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tables/table15.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backupFile="1" updateLinks="never" codeName="ThisWorkbook" defaultThemeVersion="166925"/>
  <mc:AlternateContent xmlns:mc="http://schemas.openxmlformats.org/markup-compatibility/2006">
    <mc:Choice Requires="x15">
      <x15ac:absPath xmlns:x15ac="http://schemas.microsoft.com/office/spreadsheetml/2010/11/ac" url="C:\Users\aplant\Desktop\TTforSCReports\"/>
    </mc:Choice>
  </mc:AlternateContent>
  <xr:revisionPtr revIDLastSave="0" documentId="8_{7FD6B5A6-EF6D-4C9B-B78D-E7437BE1EDD2}" xr6:coauthVersionLast="46" xr6:coauthVersionMax="46" xr10:uidLastSave="{00000000-0000-0000-0000-000000000000}"/>
  <bookViews>
    <workbookView xWindow="1763" yWindow="-98" windowWidth="18854" windowHeight="13875" tabRatio="928" xr2:uid="{A7056974-51CC-4EE2-805D-5FE90EC745DE}"/>
  </bookViews>
  <sheets>
    <sheet name="Documentation" sheetId="96" r:id="rId1"/>
    <sheet name="Calendar" sheetId="62" r:id="rId2"/>
    <sheet name="Metadata Template" sheetId="34" r:id="rId3"/>
    <sheet name="20200113mChOCT4sg2" sheetId="73" r:id="rId4"/>
    <sheet name="20200120mChOCT4sg2" sheetId="68" r:id="rId5"/>
    <sheet name="20200220mChOCT4sg2" sheetId="69" r:id="rId6"/>
    <sheet name="Data" sheetId="64" r:id="rId7"/>
    <sheet name="ActivityList" sheetId="52" r:id="rId8"/>
    <sheet name="Cell Samples" sheetId="63" r:id="rId9"/>
    <sheet name="Data validation criteria" sheetId="2" r:id="rId10"/>
    <sheet name="TransfectionsReport" sheetId="99" r:id="rId11"/>
    <sheet name="FreezeReport" sheetId="101" r:id="rId12"/>
    <sheet name="DiscontinueReport" sheetId="100" r:id="rId13"/>
    <sheet name="ExtractDNAReport" sheetId="103" r:id="rId14"/>
    <sheet name="20200113mChOCT4sg2Report" sheetId="105" r:id="rId15"/>
    <sheet name="20200120mChOCT4sg2Report" sheetId="106" r:id="rId16"/>
    <sheet name="20200220mChOCT4sg2Report" sheetId="107" r:id="rId17"/>
    <sheet name="Passage#s20200113_C6" sheetId="82" r:id="rId18"/>
    <sheet name="Passage#s20200120_B9" sheetId="85" r:id="rId19"/>
    <sheet name="Passage#s20200220_A7" sheetId="87" r:id="rId20"/>
    <sheet name="Passage#s20200220_C6" sheetId="86" r:id="rId21"/>
    <sheet name="Passage#s20200220_C10" sheetId="88" r:id="rId22"/>
    <sheet name="AllClonesIist" sheetId="81" r:id="rId23"/>
    <sheet name="ClonesSummaries" sheetId="80" r:id="rId24"/>
    <sheet name="DailyNotes" sheetId="65" r:id="rId25"/>
  </sheets>
  <externalReferences>
    <externalReference r:id="rId26"/>
    <externalReference r:id="rId27"/>
  </externalReferences>
  <definedNames>
    <definedName name="_xlnm._FilterDatabase" localSheetId="22" hidden="1">AllClonesIist!$A$1:$A$26</definedName>
    <definedName name="_xlnm._FilterDatabase" localSheetId="8" hidden="1">'Cell Samples'!$B$1:$B$42</definedName>
    <definedName name="_xlnm._FilterDatabase" localSheetId="6" hidden="1">Data!$A$2:$H$523</definedName>
    <definedName name="_xlnm._FilterDatabase" localSheetId="17" hidden="1">'Passage#s20200113_C6'!$C$1:$C$151</definedName>
    <definedName name="_xlnm._FilterDatabase" localSheetId="18" hidden="1">'Passage#s20200120_B9'!$A$1:$G$65</definedName>
    <definedName name="_xlnm._FilterDatabase" localSheetId="19" hidden="1">'Passage#s20200220_A7'!$A$1:$C$98</definedName>
    <definedName name="_xlnm._FilterDatabase" localSheetId="21" hidden="1">'Passage#s20200220_C10'!$A$1:$G$74</definedName>
    <definedName name="_xlnm._FilterDatabase" localSheetId="20" hidden="1">'Passage#s20200220_C6'!$A$1:$G$68</definedName>
    <definedName name="Activities" localSheetId="0">OFFSET([1]ActivityList!$A$1,1,0,COUNTA([1]ActivityList!$A:$A)-1,1)</definedName>
    <definedName name="Activities">OFFSET(ActivityList!$A$1,1,0,COUNTA(ActivityList!$A:$A)-1,1)</definedName>
    <definedName name="cellnames">'Cell Samples'!$A$1:$A$55</definedName>
    <definedName name="CellSampleNames" localSheetId="0">OFFSET('[1]Cell Samples'!$A$1,1,0,COUNTA('[1]Cell Samples'!$A:$A)-1,1)</definedName>
    <definedName name="CellSampleNames">OFFSET('Cell Samples'!$A$1,1,0,COUNTA('Cell Samples'!$A:$A)-1,1)</definedName>
    <definedName name="DataEntry" localSheetId="0">[1]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ExternalData_1" localSheetId="14" hidden="1">'20200113mChOCT4sg2Report'!$A$1:$J$307</definedName>
    <definedName name="ExternalData_1" localSheetId="15" hidden="1">'20200120mChOCT4sg2Report'!$A$1:$J$98</definedName>
    <definedName name="ExternalData_1" localSheetId="16" hidden="1">'20200220mChOCT4sg2Report'!$A$1:$J$301</definedName>
    <definedName name="ExternalData_1" localSheetId="12" hidden="1">DiscontinueReport!$A$1:$J$10</definedName>
    <definedName name="ExternalData_1" localSheetId="13" hidden="1">ExtractDNAReport!$A$1:$J$13</definedName>
    <definedName name="ExternalData_1" localSheetId="11" hidden="1">FreezeReport!$A$1:$J$31</definedName>
    <definedName name="ExternalData_1" localSheetId="10" hidden="1">TransfectionsReport!$A$1:$J$4</definedName>
    <definedName name="Query_from_Excel_Files" localSheetId="23" hidden="1">ClonesSummaries!#REF!</definedName>
    <definedName name="ReportGeneratorData">Data!$A$1:$H$938</definedName>
    <definedName name="StartDate" localSheetId="0">[1]Calendar!$N$3</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9" i="82" l="1"/>
  <c r="L12" i="73" l="1"/>
  <c r="L11" i="73"/>
  <c r="L12" i="69"/>
  <c r="L11" i="69"/>
  <c r="L12" i="68"/>
  <c r="L11" i="68"/>
  <c r="E33" i="34"/>
  <c r="F40" i="34"/>
  <c r="F39" i="34"/>
  <c r="C39" i="34"/>
  <c r="L30" i="34"/>
  <c r="I30" i="34"/>
  <c r="I29" i="34"/>
  <c r="E29" i="34"/>
  <c r="L29" i="34" s="1"/>
  <c r="L32" i="34" s="1"/>
  <c r="C35" i="34" s="1"/>
  <c r="L28" i="34"/>
  <c r="I28" i="34"/>
  <c r="C27" i="34"/>
  <c r="E21" i="34"/>
  <c r="E20" i="34"/>
  <c r="E19" i="34"/>
  <c r="E23" i="34" s="1"/>
  <c r="L12" i="34"/>
  <c r="L11" i="34"/>
  <c r="C34" i="34" l="1"/>
  <c r="C36" i="34" s="1"/>
  <c r="I36" i="34" s="1"/>
  <c r="E36" i="34" l="1"/>
  <c r="M32" i="34"/>
  <c r="G60" i="85"/>
  <c r="D147" i="82"/>
  <c r="D144" i="82"/>
  <c r="D143" i="82"/>
  <c r="D141" i="82"/>
  <c r="D139" i="82"/>
  <c r="D2" i="86" l="1"/>
  <c r="D5" i="86"/>
  <c r="D7" i="86"/>
  <c r="D13" i="86"/>
  <c r="D15" i="86"/>
  <c r="D17" i="86"/>
  <c r="D20" i="86"/>
  <c r="D22" i="86"/>
  <c r="D31" i="86"/>
  <c r="D35" i="86"/>
  <c r="D37" i="86"/>
  <c r="D49" i="86"/>
  <c r="D53" i="86"/>
  <c r="D61" i="86"/>
  <c r="D63" i="86"/>
  <c r="D64" i="86"/>
  <c r="D66" i="86"/>
  <c r="D2" i="88"/>
  <c r="D5" i="88"/>
  <c r="D7" i="88"/>
  <c r="D14" i="88"/>
  <c r="D16" i="88"/>
  <c r="D18" i="88"/>
  <c r="D20" i="88"/>
  <c r="D22" i="88"/>
  <c r="D31" i="88"/>
  <c r="D35" i="88"/>
  <c r="D37" i="88"/>
  <c r="D49" i="88"/>
  <c r="D64" i="88"/>
  <c r="D66" i="88"/>
  <c r="D69" i="88"/>
  <c r="G73" i="88"/>
  <c r="D92" i="87"/>
  <c r="D89" i="87"/>
  <c r="D87" i="87"/>
  <c r="D85" i="87"/>
  <c r="D82" i="87"/>
  <c r="D76" i="87"/>
  <c r="D75" i="87"/>
  <c r="D72" i="87"/>
  <c r="D45" i="87"/>
  <c r="D43" i="87"/>
  <c r="D39" i="87"/>
  <c r="D31" i="87"/>
  <c r="D29" i="87"/>
  <c r="D26" i="87"/>
  <c r="D24" i="87"/>
  <c r="D21" i="87"/>
  <c r="D15" i="87"/>
  <c r="D13" i="87"/>
  <c r="D10" i="87"/>
  <c r="D51" i="85"/>
  <c r="D49" i="85"/>
  <c r="D45" i="85"/>
  <c r="D43" i="85"/>
  <c r="D40" i="85"/>
  <c r="D34" i="85"/>
  <c r="D33" i="85"/>
  <c r="D32" i="85"/>
  <c r="D31" i="85"/>
  <c r="D28" i="85"/>
  <c r="G57" i="85" s="1"/>
  <c r="D26" i="85"/>
  <c r="D19" i="85"/>
  <c r="D17" i="85"/>
  <c r="D15" i="85"/>
  <c r="D13" i="85"/>
  <c r="D9" i="85"/>
  <c r="D7" i="85"/>
  <c r="D6" i="85"/>
  <c r="D154" i="82"/>
  <c r="D158" i="82"/>
  <c r="D160" i="82"/>
  <c r="D114" i="82"/>
  <c r="D116" i="82"/>
  <c r="D2" i="82"/>
  <c r="G116" i="82" s="1"/>
  <c r="D4" i="82"/>
  <c r="D6" i="82"/>
  <c r="D10" i="82"/>
  <c r="D13" i="82"/>
  <c r="D15" i="82"/>
  <c r="D21" i="82"/>
  <c r="D23" i="82"/>
  <c r="D27" i="82"/>
  <c r="D31" i="82"/>
  <c r="D35" i="82"/>
  <c r="D40" i="82"/>
  <c r="D53" i="82"/>
  <c r="D55" i="82"/>
  <c r="D57" i="82"/>
  <c r="D66" i="82"/>
  <c r="D69" i="82"/>
  <c r="D77" i="82"/>
  <c r="D80" i="82"/>
  <c r="D81" i="82"/>
  <c r="D88" i="82"/>
  <c r="D90" i="82"/>
  <c r="D92" i="82"/>
  <c r="C55" i="73"/>
  <c r="E51" i="73"/>
  <c r="N52" i="73"/>
  <c r="E50" i="73"/>
  <c r="F42" i="73"/>
  <c r="F41" i="73"/>
  <c r="C41" i="73"/>
  <c r="L32" i="73"/>
  <c r="I32" i="73"/>
  <c r="I31" i="73"/>
  <c r="E31" i="73"/>
  <c r="L31" i="73"/>
  <c r="L30" i="73"/>
  <c r="M34" i="73"/>
  <c r="I30" i="73"/>
  <c r="C29" i="73"/>
  <c r="E21" i="73"/>
  <c r="E20" i="73"/>
  <c r="H11" i="73"/>
  <c r="D44" i="73"/>
  <c r="H7" i="73"/>
  <c r="G50" i="73"/>
  <c r="I50" i="73"/>
  <c r="M51" i="73"/>
  <c r="N51" i="73"/>
  <c r="L34" i="73"/>
  <c r="C37" i="73"/>
  <c r="C38" i="73"/>
  <c r="E38" i="73"/>
  <c r="G51" i="73"/>
  <c r="I51" i="73"/>
  <c r="M52" i="73"/>
  <c r="E22" i="73"/>
  <c r="E24" i="73"/>
  <c r="E50" i="68"/>
  <c r="E51" i="68"/>
  <c r="G51" i="68"/>
  <c r="I51" i="68"/>
  <c r="M52" i="68"/>
  <c r="N52" i="68"/>
  <c r="G50" i="68"/>
  <c r="I50" i="68"/>
  <c r="M51" i="68"/>
  <c r="N51" i="68"/>
  <c r="C55" i="69"/>
  <c r="E51" i="69"/>
  <c r="N52" i="69"/>
  <c r="E50" i="69"/>
  <c r="F42" i="69"/>
  <c r="F41" i="69"/>
  <c r="C41" i="69"/>
  <c r="L32" i="69"/>
  <c r="I32" i="69"/>
  <c r="I31" i="69"/>
  <c r="E31" i="69"/>
  <c r="L31" i="69"/>
  <c r="L30" i="69"/>
  <c r="I30" i="69"/>
  <c r="C29" i="69"/>
  <c r="E21" i="69"/>
  <c r="E20" i="69"/>
  <c r="H11" i="69"/>
  <c r="D44" i="69"/>
  <c r="H7" i="69"/>
  <c r="G50" i="69"/>
  <c r="I50" i="69"/>
  <c r="M51" i="69"/>
  <c r="N51" i="69"/>
  <c r="G51" i="69"/>
  <c r="I51" i="69"/>
  <c r="M52" i="69"/>
  <c r="L34" i="69"/>
  <c r="C37" i="69"/>
  <c r="C38" i="69"/>
  <c r="E38" i="69"/>
  <c r="M34" i="69"/>
  <c r="E22" i="69"/>
  <c r="E24" i="69"/>
  <c r="C55" i="68"/>
  <c r="E22" i="68"/>
  <c r="F42" i="68"/>
  <c r="F41" i="68"/>
  <c r="C41" i="68"/>
  <c r="L32" i="68"/>
  <c r="I32" i="68"/>
  <c r="I31" i="68"/>
  <c r="E31" i="68"/>
  <c r="L31" i="68"/>
  <c r="L30" i="68"/>
  <c r="I30" i="68"/>
  <c r="C29" i="68"/>
  <c r="E21" i="68"/>
  <c r="E20" i="68"/>
  <c r="H11" i="68"/>
  <c r="D44" i="68"/>
  <c r="H7" i="68"/>
  <c r="E24" i="68"/>
  <c r="M34" i="68"/>
  <c r="L34" i="68"/>
  <c r="C37" i="68"/>
  <c r="C38" i="68"/>
  <c r="E38" i="68"/>
  <c r="H7" i="34"/>
  <c r="C55" i="34"/>
  <c r="H11" i="34"/>
  <c r="D44" i="34"/>
  <c r="E51" i="34"/>
  <c r="N52" i="34"/>
  <c r="E50" i="34"/>
  <c r="G51" i="34"/>
  <c r="I51" i="34"/>
  <c r="M52" i="34"/>
  <c r="G50" i="34"/>
  <c r="I50" i="34"/>
  <c r="M51" i="34"/>
  <c r="N51" i="34"/>
  <c r="H3" i="62"/>
  <c r="H23" i="62" s="1"/>
  <c r="H43" i="62" s="1"/>
  <c r="H63" i="62" s="1"/>
  <c r="H83" i="62" s="1"/>
  <c r="H103" i="62" s="1"/>
  <c r="H123" i="62" s="1"/>
  <c r="N23" i="62"/>
  <c r="N43" i="62" s="1"/>
  <c r="N63" i="62" s="1"/>
  <c r="N83" i="62" s="1"/>
  <c r="N103" i="62" s="1"/>
  <c r="N123" i="62" s="1"/>
  <c r="G67" i="86" l="1"/>
  <c r="G50" i="87"/>
  <c r="G92" i="82"/>
  <c r="G5" i="80" s="1"/>
  <c r="G160" i="82"/>
  <c r="G100" i="82"/>
  <c r="B3" i="62"/>
  <c r="B23" i="62" s="1"/>
  <c r="B43" i="62" s="1"/>
  <c r="B63" i="62" s="1"/>
  <c r="B83" i="62" s="1"/>
  <c r="B103" i="62" s="1"/>
  <c r="B123" i="6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D0A967-10D3-4DC7-AC9A-C2C0B28A96AB}" keepAlive="1" name="Query - Table17" description="Connection to the 'Table17' query in the workbook." type="5" refreshedVersion="6" background="1" saveData="1">
    <dbPr connection="Provider=Microsoft.Mashup.OleDb.1;Data Source=$Workbook$;Location=Table17;Extended Properties=&quot;&quot;" command="SELECT * FROM [Table17]"/>
  </connection>
  <connection id="2" xr16:uid="{DD662354-F96E-4DFA-9E80-B8B9F9F02D14}" keepAlive="1" name="Query - Table17 (2)" description="Connection to the 'Table17 (2)' query in the workbook." type="5" refreshedVersion="6" background="1" saveData="1">
    <dbPr connection="Provider=Microsoft.Mashup.OleDb.1;Data Source=$Workbook$;Location=&quot;Table17 (2)&quot;;Extended Properties=&quot;&quot;" command="SELECT * FROM [Table17 (2)]"/>
  </connection>
  <connection id="3" xr16:uid="{247CADE1-F6DF-42C6-8BF6-8241312C7E69}" keepAlive="1" name="Query - Table17 (3)" description="Connection to the 'Table17 (3)' query in the workbook." type="5" refreshedVersion="6" background="1" saveData="1">
    <dbPr connection="Provider=Microsoft.Mashup.OleDb.1;Data Source=$Workbook$;Location=&quot;Table17 (3)&quot;;Extended Properties=&quot;&quot;" command="SELECT * FROM [Table17 (3)]"/>
  </connection>
  <connection id="4" xr16:uid="{4AC65DD3-2E80-4800-860F-F9436D08F086}" keepAlive="1" name="Query - Table17 (4)" description="Connection to the 'Table17 (4)' query in the workbook." type="5" refreshedVersion="6" background="1" saveData="1">
    <dbPr connection="Provider=Microsoft.Mashup.OleDb.1;Data Source=$Workbook$;Location=&quot;Table17 (4)&quot;;Extended Properties=&quot;&quot;" command="SELECT * FROM [Table17 (4)]"/>
  </connection>
  <connection id="5" xr16:uid="{B58D4DD9-2874-4713-B9C0-8B205B083C06}" keepAlive="1" name="Query - Table17 (5)" description="Connection to the 'Table17 (5)' query in the workbook." type="5" refreshedVersion="6" background="1" saveData="1">
    <dbPr connection="Provider=Microsoft.Mashup.OleDb.1;Data Source=$Workbook$;Location=&quot;Table17 (5)&quot;;Extended Properties=&quot;&quot;" command="SELECT * FROM [Table17 (5)]"/>
  </connection>
  <connection id="6" xr16:uid="{29D817F2-1A2A-4987-816C-9194EC3A3416}" keepAlive="1" name="Query - Table17 (6)" description="Connection to the 'Table17 (6)' query in the workbook." type="5" refreshedVersion="6" background="1" saveData="1">
    <dbPr connection="Provider=Microsoft.Mashup.OleDb.1;Data Source=$Workbook$;Location=&quot;Table17 (6)&quot;;Extended Properties=&quot;&quot;" command="SELECT * FROM [Table17 (6)]"/>
  </connection>
  <connection id="7" xr16:uid="{963DC830-687A-4467-8FA5-225C26DED718}" keepAlive="1" name="Query - Table17 (7)" description="Connection to the 'Table17 (7)' query in the workbook." type="5" refreshedVersion="6" background="1" saveData="1">
    <dbPr connection="Provider=Microsoft.Mashup.OleDb.1;Data Source=$Workbook$;Location=&quot;Table17 (7)&quot;;Extended Properties=&quot;&quot;" command="SELECT * FROM [Table17 (7)]"/>
  </connection>
  <connection id="8" xr16:uid="{047FA8AC-9050-4D31-9E84-FF1A96342B23}" keepAlive="1" name="Query - Table17__5" description="Connection to the 'Table17__5' query in the workbook." type="5" refreshedVersion="6" background="1">
    <dbPr connection="Provider=Microsoft.Mashup.OleDb.1;Data Source=$Workbook$;Location=Table17__5;Extended Properties=&quot;&quot;" command="SELECT * FROM [Table17__5]"/>
  </connection>
</connections>
</file>

<file path=xl/sharedStrings.xml><?xml version="1.0" encoding="utf-8"?>
<sst xmlns="http://schemas.openxmlformats.org/spreadsheetml/2006/main" count="6119" uniqueCount="659">
  <si>
    <t>TRANSFECTION METADATA</t>
  </si>
  <si>
    <t>JEFF</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</si>
  <si>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</si>
  <si>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</si>
  <si>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</si>
  <si>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</si>
  <si>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</si>
  <si>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</si>
  <si>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</si>
  <si>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</si>
  <si>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</si>
  <si>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</si>
  <si>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</si>
  <si>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</si>
  <si>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</si>
  <si>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</si>
  <si>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</si>
  <si>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</si>
  <si>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</si>
  <si>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</si>
  <si>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WCT11 genomic DNA</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</si>
  <si>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</si>
  <si>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</si>
  <si>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</si>
  <si>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</si>
  <si>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</si>
  <si>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</si>
  <si>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</si>
  <si>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</si>
  <si>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</si>
  <si>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</si>
  <si>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</si>
  <si>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</si>
  <si>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</si>
  <si>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</si>
  <si>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</si>
  <si>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</si>
  <si>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</si>
  <si>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</si>
  <si>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</si>
  <si>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</si>
  <si>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</si>
  <si>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</si>
  <si>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20190516</t>
  </si>
  <si>
    <t>20190705</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</si>
  <si>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</si>
  <si>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</si>
  <si>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</si>
  <si>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</si>
  <si>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</si>
  <si>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</si>
  <si>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</si>
  <si>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</si>
  <si>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</si>
  <si>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</si>
  <si>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</si>
  <si>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</si>
  <si>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</si>
  <si>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</si>
  <si>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</si>
  <si>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</si>
  <si>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</si>
  <si>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</si>
  <si>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</si>
  <si>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</si>
  <si>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</si>
  <si>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</si>
  <si>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Mhalter</t>
  </si>
  <si>
    <t>Cytation 1810011F</t>
  </si>
  <si>
    <t>Checked</t>
  </si>
  <si>
    <t>Kerbos</t>
  </si>
  <si>
    <t>mCherry OCT4</t>
  </si>
  <si>
    <t>mTeSR</t>
  </si>
  <si>
    <t>TC 24 well</t>
  </si>
  <si>
    <t>trypsin/EDTA</t>
  </si>
  <si>
    <t>Quantitative Phase</t>
  </si>
  <si>
    <t>Ed</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</si>
  <si>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</si>
  <si>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</si>
  <si>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</si>
  <si>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</si>
  <si>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</si>
  <si>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</si>
  <si>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</si>
  <si>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</si>
  <si>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</si>
  <si>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</si>
  <si>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</si>
  <si>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</si>
  <si>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</si>
  <si>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</si>
  <si>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</si>
  <si>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</si>
  <si>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Peterson</t>
  </si>
  <si>
    <t>H09eGFP-OCT4</t>
  </si>
  <si>
    <t>mCherry Nanog</t>
  </si>
  <si>
    <t>gelatin</t>
  </si>
  <si>
    <t>TC 10cm</t>
  </si>
  <si>
    <t>AlexT</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</si>
  <si>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</si>
  <si>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</si>
  <si>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</si>
  <si>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</si>
  <si>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</si>
  <si>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</si>
  <si>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</si>
  <si>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</si>
  <si>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</si>
  <si>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</si>
  <si>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</si>
  <si>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</si>
  <si>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</si>
  <si>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</si>
  <si>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</si>
  <si>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</si>
  <si>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</si>
  <si>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</si>
  <si>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</si>
  <si>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</si>
  <si>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</si>
  <si>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</si>
  <si>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</si>
  <si>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</si>
  <si>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</si>
  <si>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</si>
  <si>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</si>
  <si>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</si>
  <si>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</si>
  <si>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</si>
  <si>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</si>
  <si>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</si>
  <si>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</si>
  <si>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</si>
  <si>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</si>
  <si>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</si>
  <si>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</si>
  <si>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</si>
  <si>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</si>
  <si>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</si>
  <si>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</si>
  <si>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</si>
  <si>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</si>
  <si>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</si>
  <si>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</si>
  <si>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</si>
  <si>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</si>
  <si>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</si>
  <si>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</si>
  <si>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</si>
  <si>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</si>
  <si>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</si>
  <si>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</si>
  <si>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</si>
  <si>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</si>
  <si>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</si>
  <si>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</si>
  <si>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</si>
  <si>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</si>
  <si>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</si>
  <si>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</si>
  <si>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</si>
  <si>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</si>
  <si>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</si>
  <si>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</si>
  <si>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</si>
  <si>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</si>
  <si>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</si>
  <si>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</si>
  <si>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live shipment</t>
  </si>
  <si>
    <t>STR anal</t>
  </si>
  <si>
    <t>mycoplasma</t>
  </si>
  <si>
    <t>Transfection method</t>
  </si>
  <si>
    <t>20200110</t>
  </si>
  <si>
    <t>Matrigel coating date</t>
  </si>
  <si>
    <t>input data</t>
  </si>
  <si>
    <t>PREP mTESR+Ri (mL)</t>
  </si>
  <si>
    <t>Harvest from 6well plate/count</t>
  </si>
  <si>
    <t>#wells</t>
  </si>
  <si>
    <t>mL/6w plate</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</si>
  <si>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</si>
  <si>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</si>
  <si>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</si>
  <si>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</si>
  <si>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</si>
  <si>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</si>
  <si>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</si>
  <si>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</si>
  <si>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</si>
  <si>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</si>
  <si>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1:3</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</si>
  <si>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</si>
  <si>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</si>
  <si>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</si>
  <si>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</si>
  <si>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</si>
  <si>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</si>
  <si>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</si>
  <si>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</si>
  <si>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</si>
  <si>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</si>
  <si>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uL</t>
  </si>
  <si>
    <t>Vol reactants</t>
  </si>
  <si>
    <t>Total vol rxn</t>
  </si>
  <si>
    <t>pmol RNA-prot cmplx</t>
  </si>
  <si>
    <t>PREPARE CELLS FOR TRANSFECTION</t>
  </si>
  <si>
    <t>Post transfection plate: 96-well</t>
  </si>
  <si>
    <t>Tot well vol</t>
  </si>
  <si>
    <t>0.1mL</t>
  </si>
  <si>
    <t># cells/well</t>
  </si>
  <si>
    <t>vol cell susp (mL)</t>
  </si>
  <si>
    <t>mL/well</t>
  </si>
  <si>
    <t>#cellstotal</t>
  </si>
  <si>
    <t>HELPER CELLS</t>
  </si>
  <si>
    <t xml:space="preserve">#cell/mL </t>
  </si>
  <si>
    <t>TRANSFECTANTS</t>
  </si>
  <si>
    <t>helpr cells</t>
  </si>
  <si>
    <t>transfctnts</t>
  </si>
  <si>
    <t>Time of plating post transfection</t>
  </si>
  <si>
    <t>Transfection designator</t>
  </si>
  <si>
    <t>Transfection protocol</t>
  </si>
  <si>
    <t>20190430</t>
  </si>
  <si>
    <t>how shipped</t>
  </si>
  <si>
    <t>cell shipping method</t>
  </si>
  <si>
    <t>live</t>
  </si>
  <si>
    <t>dry ice</t>
  </si>
  <si>
    <t>Dewer flask</t>
  </si>
  <si>
    <t>total mL</t>
  </si>
  <si>
    <t xml:space="preserve">mL </t>
  </si>
  <si>
    <t>Total volume mTESR+Ri (mL)</t>
  </si>
  <si>
    <t>vol to fill 96well posttransfctn</t>
  </si>
  <si>
    <r>
      <rPr>
        <sz val="11"/>
        <color theme="1"/>
        <rFont val="Symbol"/>
        <family val="1"/>
        <charset val="2"/>
      </rPr>
      <t>m</t>
    </r>
    <r>
      <rPr>
        <sz val="11"/>
        <color theme="1"/>
        <rFont val="Calibri"/>
        <family val="2"/>
        <scheme val="minor"/>
      </rPr>
      <t>g plasmidDNA</t>
    </r>
  </si>
  <si>
    <t>20200120</t>
  </si>
  <si>
    <t>20200120mChOCT4sg2</t>
  </si>
  <si>
    <t>NOTES</t>
  </si>
  <si>
    <t>Coulter Counter data image</t>
  </si>
  <si>
    <t># cells to be transfected</t>
  </si>
  <si>
    <t>20200220</t>
  </si>
  <si>
    <t>20200220mChOCT4sg2</t>
  </si>
  <si>
    <t>20200216</t>
  </si>
  <si>
    <t>Resource</t>
  </si>
  <si>
    <t>5' homology arm</t>
  </si>
  <si>
    <t>3' homology arm</t>
  </si>
  <si>
    <t>Note: homology arms are 3' and 5' of the stop codon</t>
  </si>
  <si>
    <t xml:space="preserve">Actually 3,155 helper cells and 3,571 transfected cells/well </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</si>
  <si>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</si>
  <si>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</si>
  <si>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</si>
  <si>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</si>
  <si>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</si>
  <si>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</si>
  <si>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</si>
  <si>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t>
  </si>
  <si>
    <t>20200113mChOCT4sg2</t>
  </si>
  <si>
    <t xml:space="preserve">Actually 7,273 helper cells and 3,571 transfected cells/well </t>
  </si>
  <si>
    <t xml:space="preserve">Actually 3,636 helper cells and 3,571 transfected cells/well </t>
  </si>
  <si>
    <t>20200113mChOCT4sg2_B8</t>
  </si>
  <si>
    <t>20200113mChOCT4sg2_B9</t>
  </si>
  <si>
    <t>20200113mChOCT4sg2_C6</t>
  </si>
  <si>
    <t>20200113mChOCT4sg2_C9</t>
  </si>
  <si>
    <t>20200113mChOCT4sg2_C7</t>
  </si>
  <si>
    <t>Sort1</t>
  </si>
  <si>
    <t>20200113mChOCT4sg2_C7_Sort1</t>
  </si>
  <si>
    <t>5 VIALS</t>
  </si>
  <si>
    <t>Sort2</t>
  </si>
  <si>
    <t>20200113mChOCT4sg2_C7_Sort2</t>
  </si>
  <si>
    <t>~50% differentiated</t>
  </si>
  <si>
    <t>20200113mChOCT4sg2_B8_Sort1</t>
  </si>
  <si>
    <t>20200113mChOCT4sg2_B9_Sort1</t>
  </si>
  <si>
    <t>20200113mChOCT4sg2_C6_Sort1</t>
  </si>
  <si>
    <t>20200113mChOCT4sg2_C11</t>
  </si>
  <si>
    <t>20200113mChOCT4sg2_C11_Sort1</t>
  </si>
  <si>
    <t>CONTAMINATED</t>
  </si>
  <si>
    <t>4 VIALS</t>
  </si>
  <si>
    <t>20200113mChOCT4sg2_B9_Sort2</t>
  </si>
  <si>
    <t>20200113mChOCT4sg2_C6_Sort2</t>
  </si>
  <si>
    <t>20200113mChOCT4sg2_B8_Sort2</t>
  </si>
  <si>
    <t>Extract DNA</t>
  </si>
  <si>
    <t>Not Pursued-Lost fluorescence</t>
  </si>
  <si>
    <t>Some differentiation evident</t>
  </si>
  <si>
    <t>Significant differentiation</t>
  </si>
  <si>
    <t>20200120mChOCT4sg2_B9</t>
  </si>
  <si>
    <t>20200120mChOCT4sg2_C11</t>
  </si>
  <si>
    <t>20200120mChOCT4sg2_D2</t>
  </si>
  <si>
    <t>20200120mChOCT4sg2_E6</t>
  </si>
  <si>
    <t>20200120mChOCT4sg2_B9_Sort1</t>
  </si>
  <si>
    <t>20200120mChOCT4sg2_C11_Sort1</t>
  </si>
  <si>
    <t>20200120mChOCT4sg2_D2_Sort1</t>
  </si>
  <si>
    <t>20200120mChOCT4sg2_E6_Sort1</t>
  </si>
  <si>
    <t>LOST-passage too dilute cells never grew out.</t>
  </si>
  <si>
    <t>20200120mChOCT4sg2_B9 Ultrasort</t>
  </si>
  <si>
    <t>20200120mChOCT4sg2_B9_Sort2</t>
  </si>
  <si>
    <t>20200120mChOCT4sg2_B9U</t>
  </si>
  <si>
    <t>3 VIALS</t>
  </si>
  <si>
    <t>20200120mChOCT4sg2_C11_Sort2</t>
  </si>
  <si>
    <t>ULTRA SORT1</t>
  </si>
  <si>
    <t>5 VIALS ULTRA SORT1</t>
  </si>
  <si>
    <t>20200220mChOCT4sg2_A7</t>
  </si>
  <si>
    <t>20200220mChOCT4sg2_C6</t>
  </si>
  <si>
    <t>20200220mChOCT4sg2_C9</t>
  </si>
  <si>
    <t>20200220mChOCT4sg2_C10</t>
  </si>
  <si>
    <t>20200220mChOCT4sg2_D8</t>
  </si>
  <si>
    <t>20200220mChOCT4sg2_D8_Sort1</t>
  </si>
  <si>
    <t>20200220mChOCT4sg2_C6_Sort1</t>
  </si>
  <si>
    <t>20200220mChOCT4sg2_C9_Sort1</t>
  </si>
  <si>
    <t>20200220mChOCT4sg2_C10_Sort1</t>
  </si>
  <si>
    <t>20200220mChOCT4sg2_A7_Sort1</t>
  </si>
  <si>
    <t>some odd morphology-Bleeps?</t>
  </si>
  <si>
    <t>Blobby morphology increase</t>
  </si>
  <si>
    <t>Dropped-lost fluorescence</t>
  </si>
  <si>
    <t>Dropped-BLOB morph. and lost fluorescence</t>
  </si>
  <si>
    <t>20200220mChOCT4sg2_C9_Sort1 and D8 Dropped.</t>
  </si>
  <si>
    <t>20200120mChOCT4sg2_B9U_Sort2</t>
  </si>
  <si>
    <t>1 VIAL</t>
  </si>
  <si>
    <t>1 VIAL-4 VIALS left Using mTeSRPLUS</t>
  </si>
  <si>
    <t>in mTeSRPLUS</t>
  </si>
  <si>
    <t>1:3 dilution</t>
  </si>
  <si>
    <t>1:4 dilution</t>
  </si>
  <si>
    <t>Sort3</t>
  </si>
  <si>
    <t>20200113mChOCT4sg2_C6_Sort3</t>
  </si>
  <si>
    <t>200K cells</t>
  </si>
  <si>
    <t>Using mTeSRPLUS. Matrigel coating 20200815</t>
  </si>
  <si>
    <t>20200113mChOCT4sg2_C7_Sort3</t>
  </si>
  <si>
    <t>No cells evident in 96well. Repeat sort.</t>
  </si>
  <si>
    <t>Differentiated cells still evident…repeat ReLSR treatment?</t>
  </si>
  <si>
    <t>Imaged in mTeSR (no phenolRed)</t>
  </si>
  <si>
    <t>in mTeSR-Plus</t>
  </si>
  <si>
    <t>Used ReLSR and mTeSR</t>
  </si>
  <si>
    <t>changed to mTeSR media.</t>
  </si>
  <si>
    <t>feed w mTeSR</t>
  </si>
  <si>
    <t>mTeSR-no unusual cells evident.</t>
  </si>
  <si>
    <t>100K cells in mTeSR Plus+Ri</t>
  </si>
  <si>
    <t>DROPPED-overgrown.</t>
  </si>
  <si>
    <t>mTeSR-no unusual cells evident. FACS for neg. control in mTeSR.</t>
  </si>
  <si>
    <t>5.5 minutes 37C in Accutase. Purity setting, red laser, 4-5% gate. 742K cells in 300uL mTeSR+Ri. Sorted with mTeSR+Ri. ~20K cells in 15 minutes collected.</t>
  </si>
  <si>
    <t>Sort4</t>
  </si>
  <si>
    <t>20200113mChOCT4sg2_C6_Sort4</t>
  </si>
  <si>
    <t>Used red laser gated out autofluorescence with WTC11. 5.5 min accutase. Use 2x10e6 cells. ~3-4% using "Ultra Purity" setting.  Cells sorted and collected into mTeSR+Ri. ~15 min. to 20000 cells collected. Matrigel coating 20200825.</t>
  </si>
  <si>
    <t>in mTeSR</t>
  </si>
  <si>
    <t>Feed w mTeSR++Ri</t>
  </si>
  <si>
    <t xml:space="preserve">mTeSR-no unusual cells evident. </t>
  </si>
  <si>
    <t>Passage using ReLSR 1:4</t>
  </si>
  <si>
    <t>mTeSR-near 100% fluorescent</t>
  </si>
  <si>
    <t>Used mTeSR w/o phenol red. Then returned to mTeSR Plus.</t>
  </si>
  <si>
    <t>Used ReLSR for passage. Transferred 250 of 750 uL into new well of 6 well.</t>
  </si>
  <si>
    <t>Thawed in mTeSR+Ri.</t>
  </si>
  <si>
    <t>Used ReLSR into mTeSRPlus+Ri</t>
  </si>
  <si>
    <t>Used ReLSR into mTeSR+Ri</t>
  </si>
  <si>
    <t>Used Accutase into mTeSRPlus+Ri</t>
  </si>
  <si>
    <t>Feed w mTeSr+</t>
  </si>
  <si>
    <t>20200113mChOCT4sg2_C7_Sort4</t>
  </si>
  <si>
    <t>matrigel-202000903</t>
  </si>
  <si>
    <t>matrigel-20200903</t>
  </si>
  <si>
    <t>Matrigel 20200923. Accutase 5.5 min. Purity sort @&lt;1.3%. Approx 2.4x10e6 total cells. In 25 min sorted 12778 cells</t>
  </si>
  <si>
    <t>Feed</t>
  </si>
  <si>
    <t>Sort5</t>
  </si>
  <si>
    <t>20200113mChOCT4sg2_C6_Sort5</t>
  </si>
  <si>
    <t>mTeSR. Used cells for no mCherry control gating during 20200113mChOCT4_c6_S5</t>
  </si>
  <si>
    <t>Matrigel 20200923. Accutase 5.5 min. No 488 laser. Used 561 laser for F/S scatter and sorting. WTC11 used for gating out non-mCherry cell population. Ran ~1x10e6 cells and collected 27,141 cells in 3.75 min. using UltraPurity setting @ ~35% gate.</t>
  </si>
  <si>
    <t>Used 561 laser, 488 laser also on. 5.5 min accutase. Use 2x10e6 cells. 11% using "purity" setting. ~13 min. to 18794 cells collected. Matrigel coating 20200825</t>
  </si>
  <si>
    <t>cells present appear nominal.</t>
  </si>
  <si>
    <t>Used 561 laser, but 488 laser also on. 5.0 min accutase. Use 2x10e6 cells. 3-4% using "purity" setting. ~13 min. to 20,000 cells collected. Matrigel coating 20200825.</t>
  </si>
  <si>
    <t>Matrigel coating 20200815. Used mTeSR Plus.</t>
  </si>
  <si>
    <t>Significant number of unusual cell morphologies emerging-flat, "sombrero"-looking w/ enlarged nucleus, in spaces between stem cell-like colonies. Used ReLSR to passage (5.5 minutes 37C) @1:4 into mTeSR Plus+Ri.</t>
  </si>
  <si>
    <t>Image in mTeSR</t>
  </si>
  <si>
    <t>Thaw in mTeSR+Ri</t>
  </si>
  <si>
    <t>In mTeSR++Ri</t>
  </si>
  <si>
    <t>20200220mChOCT4sg2_A7_Sort2</t>
  </si>
  <si>
    <t>20200220mChOCT4sg2_C6_Sort2</t>
  </si>
  <si>
    <t>Used for control for sorts of 20200220_A7 and C6.  488 laser not on, only 561. Passaged 200K into new 6 well. Ran 480000 on flow. Recorded 100,000 events.</t>
  </si>
  <si>
    <t>488 laser not on, only 561. Lower cell # than expected. 3,200,000 total cells in 500uL media sorted. Very good seperation of peaks, but very few bright cells. Collected @~&lt;1% gate with Ultra Purity setting. @10000 cells in 27min. Matrigel 9/30.</t>
  </si>
  <si>
    <t>488 laser not on, only 561. Lower cell # than expected. 600,000 total cells in 400uL media sorted. Very good seperation of peaks. Collected @~8-9% gate with Ultra Purity setting. @28627 cells in 20min. Matrigel 9/30.</t>
  </si>
  <si>
    <t>20200220mChOCT4sg2_C10_Sort2</t>
  </si>
  <si>
    <t>488 laser not on, only 561. Lower cell # than expected. 1,400,000 total cells in 500uL media sorted. No WTC11s to run. Good seperation of peaks, but very few bright cells. Collected @~&lt;0.5% gate with Ultra Purity setting (~200 cell mark on x-axis). At 1 million events...increased gate to pick up "helper cells" at that point, only 2100 cells in 20 min.  (~100 cell mark on x-axis)~2.5%. Final, 10489 cells in24 min. Matrigel 9/30.</t>
  </si>
  <si>
    <t>Sort6</t>
  </si>
  <si>
    <t>20200113mChOCT4sg2_C6_Sort6</t>
  </si>
  <si>
    <t xml:space="preserve">488 laser not on, only 561. Aborted sort because of very LOW proportion of fluorescent cell! What caused this is a mystery at this point. Turns out this was 20200113mChOCT4C7_S4 cells not C6_S5! </t>
  </si>
  <si>
    <t>Passaged into three wells at 1:10, 1:5,  and 1:2.5 ratio splits. Matrigel 20200930.</t>
  </si>
  <si>
    <t>matrigel 20200930</t>
  </si>
  <si>
    <t>matrigel 20200930. thawed into mTeSR+Ri.</t>
  </si>
  <si>
    <t>matrigel 20200930. 1:4 dilution.</t>
  </si>
  <si>
    <t>matrigel 20200930.</t>
  </si>
  <si>
    <t>passaged 1 well.</t>
  </si>
  <si>
    <t>Passaged 1:2, 1:3, 1:6</t>
  </si>
  <si>
    <t>20200113mChOCT4sg2_C7_Sort5</t>
  </si>
  <si>
    <t>Sort7</t>
  </si>
  <si>
    <t>20200113mChOCT4sg2_C6_Sort7</t>
  </si>
  <si>
    <t>20200220mChOCT4sg2_C6_Sort3</t>
  </si>
  <si>
    <t>20200220mChOCT4sg2_C10_Sort3</t>
  </si>
  <si>
    <t>Ran neg. control flow for 20201020 sorts. Recorded 100,000 events in gated area.</t>
  </si>
  <si>
    <t>Ran neg. control flow for 20201020 sorts. Collected 1 well of 6 well. Resuspended cells in 250uL, passaged 50 uL into new well in 6 well plate. Recorded 100,000 events in gated area. Matrigel 20201019.</t>
  </si>
  <si>
    <t xml:space="preserve">Matrigel 20201019. 488 laser not on, only 561. 2,000,000 total cells from 1 well in 400uL media sorted. Practically a single peak. Gated at &gt;500 on x-axis. Collected @~&lt;97% gate with Ultra Purity setting. @200000 events in 3 min. 2nd collection gated at &gt; 2000 on x-axis @~&lt;30% gate with Ultra Purity setting. @200000 events in 10min. Re-ran 10% of sorted samples to check location in gates. Sample 1 (97%) 99.33% of 1500 events in gate. Sample 2 (30%) 88% of 700 events in gate but 99% above 1000. </t>
  </si>
  <si>
    <t>Matrigel 20200930. 488 laser not on, only 561. 1,140,000 total cells from 1 well in 400uL media sorted. Excellent peak seperation, gated at &gt;1000 on x-axis. Collected @~&lt;5% gate with Ultra Purity setting. @20800 events in 18 min. Passaged to a 12 well.</t>
  </si>
  <si>
    <t>Matrigel 20200930. 488 laser not on, only 561. 1,160,000 total cells from 1 well in 400uL media sorted. Excellent peak seperation, but shifted left compared to C6. gated at &gt;500 on x-axis. Collected @~&lt;7% gate with Ultra Purity setting. @25000 events in 15 min. Passaged to a 12 well.</t>
  </si>
  <si>
    <t>Matrigel 20200930. 2.8x10e6 cells in 500uL. ODD relatively low viable cell % (~67%)…only one peak but center ~200. Collected at 500 on x-axis, ~10% gate. 90000 events collected in ~27 min. Spun down, resuspended in 200uL and run again. 2nd sort using UltraYield...saME GATE collected ~&gt;54% of events. Only recovered 11,000 events in 12 min! Put into 12 well.</t>
  </si>
  <si>
    <t>Each well imaged. 20x20 every 6 hours</t>
  </si>
  <si>
    <t>continued</t>
  </si>
  <si>
    <t>1 vial</t>
  </si>
  <si>
    <t>Passaged @ 1:3. Matrigel 20201019.</t>
  </si>
  <si>
    <t>Matrigel 20201103.</t>
  </si>
  <si>
    <t>1:2, 1:4: 1:8</t>
  </si>
  <si>
    <t>20200220mChOCT4sg2_C10_Sort4</t>
  </si>
  <si>
    <t>Used 1 well for control on 20200220mChOCT4sg2_C10_S4. Only ~150,000 cells. Relatively poor quality (~65% in target gate for "viable cells")</t>
  </si>
  <si>
    <t>Coulter counted 1.96x10e6/mL (2 mL). Use 200,000 (100uL) to plate into 1 well of 6 well (matrigel 20201103). After count, cells spun at 200g, 7 minutes. Resuspended in 500uL medium. Sorted at Ultra Purity setting at 500 on x axis (&gt;14% gate). All "26,331" events (cells) plated into 1 well of a 12 well (matrigel 20201103). Only "~250,000 events recorded, but suppossedly 2 million cells were run. What is going on here??</t>
  </si>
  <si>
    <t>Use as control. NEW CHIP. ~450,000 cells in 500uL medium loaded. Recorded 133000 events in 10 minutes. Plenty of sample left. 1 event over 500 on x-axis/100,000 events.</t>
  </si>
  <si>
    <t>matrigel 20201103</t>
  </si>
  <si>
    <t>20200220mChOCT4sg2_C6_Sort4</t>
  </si>
  <si>
    <t xml:space="preserve">Coulter counted 1.05x10e6/mL (2 mL). Use 200,000 (200uL) to plate into 1 well of 6 well (matrigel 20201103). NEW CHIP. After count, cells spun at 200g, 5 minutes. Resuspended in 600uL medium. Sorted at Ultra Purity setting at 1500 on x axis (&gt;68% gate). Sorted 850,000 in ~28 min. Restarted sort leaving gates the same but setting the limit at 1 million events sorted. 25% of collected cells respun and run through to check gate reproducability. Re Run of ~80,000 cells showed &gt;93% in gate. (matrigel20201103). </t>
  </si>
  <si>
    <t>mTeSRPLUS+Ri5 x 10cm plates. Matrigel 20201028.</t>
  </si>
  <si>
    <t>over grown-dropped</t>
  </si>
  <si>
    <t>both low and high cut cells passaged into new well. "500"@1:4, "2000" @1:5. Matrigel 20201103.</t>
  </si>
  <si>
    <t>50K cells in 3.5 minutes. Started with 2 wellsof cells~2 million in 400uL. Stated collection in Ultra Purity mode,  @~50% (300 on x-axis) moved to &lt;20% (500 on x-axis). Matrigel 20200930.  CellSamples sheet indicates creation on 10/8/2020 but that is incorrect</t>
  </si>
  <si>
    <t>vials</t>
  </si>
  <si>
    <t>did 2 sorts, one ultrapure</t>
  </si>
  <si>
    <t>20200220mChOCT4sg2_A7a_Sort3</t>
  </si>
  <si>
    <t xml:space="preserve">Gated at &gt;500 on x-axis. Collected @~&lt;97% gate with Ultra Purity setting. </t>
  </si>
  <si>
    <t>gated at &gt; 2000 on x-axis @~&lt;30% gate with Ultra Purity setting. @200000 events in 10min.</t>
  </si>
  <si>
    <t>20200220mChOCT4sg2_A7b_Sort3</t>
  </si>
  <si>
    <t>Discontinue</t>
  </si>
  <si>
    <t>Collected all 4 wells. 488 laser not on, only 561. 2,200,000 total cells in 400uL media sorted. No cells sorted. &lt;1 per 5000 in gate. Discontinued carrying this cell line</t>
  </si>
  <si>
    <t xml:space="preserve">collected at gate&gt;2000 </t>
  </si>
  <si>
    <t>collected at gate&gt;500</t>
  </si>
  <si>
    <t>"500"  Matrigel 20201019.</t>
  </si>
  <si>
    <t>"2000"  Matrigel 20201019</t>
  </si>
  <si>
    <t>5 10CM PLATES (MATRIGEL 20201028).</t>
  </si>
  <si>
    <t>HIGH CUT (2000). 40 VIALS @500K cells/vial.</t>
  </si>
  <si>
    <t>Dropped, sort 4 growing well</t>
  </si>
  <si>
    <t>matrigel 20201110</t>
  </si>
  <si>
    <t>40 vials frozen@ 10e6 cells per vial</t>
  </si>
  <si>
    <t>1:3 and 1:6 dilutions</t>
  </si>
  <si>
    <t>Matrigel 20201110.</t>
  </si>
  <si>
    <t>1:6 dilution 11/14.</t>
  </si>
  <si>
    <t>1:3 dilution cells from 11/14 used for control during flow.</t>
  </si>
  <si>
    <t>Evaluated fluorescence expression using FACS.</t>
  </si>
  <si>
    <t>Matrigel 20201110</t>
  </si>
  <si>
    <t>Matrigel 20201117</t>
  </si>
  <si>
    <t>Lost fluorescence</t>
  </si>
  <si>
    <t>Contamination</t>
  </si>
  <si>
    <t>Lost fluorescence and strange blob morphology appeared.</t>
  </si>
  <si>
    <t>mTeSR+Ri on matrigel 20201117. Use cells for fresh gDNA prep.</t>
  </si>
  <si>
    <t>mTeSR++Ri on matrigel 20201117</t>
  </si>
  <si>
    <t>Send out for analysis</t>
  </si>
  <si>
    <t>1:3, 1:6 Matrigel 20201117</t>
  </si>
  <si>
    <t>Used for control during sort</t>
  </si>
  <si>
    <t>for control samples to be sent out with edited cell analytes.</t>
  </si>
  <si>
    <t xml:space="preserve">Coulter counted 1.4x10e6 (2 mL) from 1 well. NEW CHIP. After count, cells spun at 200g, 5 minutes. Resuspended in 500uL medium. Sorted at Ultra Purity setting at 500 on x axis (&gt;~20% gate). Sorted 85,000 in ~28 min (matrigel 20201103). </t>
  </si>
  <si>
    <t>20200120mChOCT4sg2_B9U_Sort3</t>
  </si>
  <si>
    <t xml:space="preserve">Coulter counted 1.5x10e6 (2 mL) from 2 wells. NEW CHIP. After count, cells spun at 200g, 5 minutes. Resuspended in 500uL medium. Sorted at Ultra Purity setting at 2000 on x axis (&gt;~60% gate). Sorted ~300,000 in ~28 min (matrigel 20201103). </t>
  </si>
  <si>
    <t>To be sent out as control for edited cell analytes.</t>
  </si>
  <si>
    <t>Collected for samples to be sent out. Two tubes of cells @ ~1.5 million cells per tube. One tube to be used for DNA prep.</t>
  </si>
  <si>
    <t>Collected for samples to be sent out. Two tubes of cells @ ~1.5 million cells per tube. One tube to be sent out for DNA prep.</t>
  </si>
  <si>
    <t xml:space="preserve">Froze 40 vials (bar-coded) @ ~750K cells per vial. Also, collected for samples to be sent out. Two tubes of cells @ ~1.5 million cells per tube. One tube to be used for DNA prep. </t>
  </si>
  <si>
    <t>Collected for samples to be sent out. Two tubes of cells @ ~1.25 million cells per tube. One tube of ~ 2million cells to be used for DNA prep.</t>
  </si>
  <si>
    <t>Collected for samples to be sent out. Four tubes of cells @ ~1.5 million cells per tube. One tube to be used for DNA prep.</t>
  </si>
  <si>
    <t>1:3 and 1:6 dilutions.</t>
  </si>
  <si>
    <t>For Flow control</t>
  </si>
  <si>
    <t>Collected for samples to be sent out. Two tubes of cells @ ~2 million cells per tube. One tube to be used for DNA prep.</t>
  </si>
  <si>
    <t>For flow control</t>
  </si>
  <si>
    <t>DNA to StemGenomics</t>
  </si>
  <si>
    <t>equal distribution</t>
  </si>
  <si>
    <t>1:3, 1:6</t>
  </si>
  <si>
    <t>&gt;1 million cells per vial</t>
  </si>
  <si>
    <t>matrugel 11/17/2020</t>
  </si>
  <si>
    <t>#Passages</t>
  </si>
  <si>
    <t>~1.5 million cells per vial. Scan-able tubes. Two Samplescell pellets prepared for testing.</t>
  </si>
  <si>
    <t>Username</t>
  </si>
  <si>
    <t>Computer Name</t>
  </si>
  <si>
    <t>CloneID</t>
  </si>
  <si>
    <t>Passage #</t>
  </si>
  <si>
    <t>FP Copy #</t>
  </si>
  <si>
    <t>jrs8</t>
  </si>
  <si>
    <t>PG901942</t>
  </si>
  <si>
    <t>DNA extraction date</t>
  </si>
  <si>
    <t>Sort#</t>
  </si>
  <si>
    <t>passageCount</t>
  </si>
  <si>
    <t>fluorescence unstable?</t>
  </si>
  <si>
    <t>PassageCount</t>
  </si>
  <si>
    <t>Passage count</t>
  </si>
  <si>
    <t># Passages</t>
  </si>
  <si>
    <t>Passage#</t>
  </si>
  <si>
    <t>Chr11 suspect</t>
  </si>
  <si>
    <t>Chr20q (3)</t>
  </si>
  <si>
    <t>20200220mChOCT4sg2_A7b</t>
  </si>
  <si>
    <t>Used 1 well of cells for sort control.</t>
  </si>
  <si>
    <t>Address</t>
  </si>
  <si>
    <t>\\129.6.187.15\Data\EPCL\20200113mChOCT4sg2\B9</t>
  </si>
  <si>
    <t>\\129.6.187.15\Data\EPCL\20200113mChOCT4sg2\B8</t>
  </si>
  <si>
    <t>\\129.6.187.15\Data\EPCL\20200113mChOCT4sg2\C11</t>
  </si>
  <si>
    <t>\\129.6.187.15\Data\EPCL\20200113mChOCT4sg2\C6</t>
  </si>
  <si>
    <t>\\129.6.187.15\Data\EPCL\20200113mChOCT4sg2\C7</t>
  </si>
  <si>
    <t>\\129.6.187.15\Data\EPCL\20200120mChOCT4sg2\B9U</t>
  </si>
  <si>
    <t>\\129.6.187.15\Data\EPCL\20200120mChOCT4sg2\C11</t>
  </si>
  <si>
    <t>\\129.6.187.15\Data\EPCL\20200120mChOCT4sg2\D2</t>
  </si>
  <si>
    <t>\\129.6.187.15\Data\EPCL\20200120mChOCT4sg2\E6</t>
  </si>
  <si>
    <t>\\129.6.187.15\Data\EPCL\20200220mChOCT4sg2\C10</t>
  </si>
  <si>
    <t>\\129.6.187.15\Data\EPCL\20200220mChOCT4sg2\C6</t>
  </si>
  <si>
    <t>\\129.6.187.15\Data\EPCL\20200220mChOCT4sg2\C9</t>
  </si>
  <si>
    <t>\\129.6.187.15\Data\EPCL\20200220mChOCT4sg2\D8</t>
  </si>
  <si>
    <t>\\129.6.187.15\Data\EPCL\20200220mChOCT4sg2\A7</t>
  </si>
  <si>
    <t>Matrigel 20210111</t>
  </si>
  <si>
    <t>FACS analysis to evaluate fluorescent signature of banked cells after thaw.</t>
  </si>
  <si>
    <t>STR and Mycoplasma at ATCC.</t>
  </si>
  <si>
    <t>~840k cells. Used for FACS contrtol</t>
  </si>
  <si>
    <t>Matrigel 20210107</t>
  </si>
  <si>
    <t>Flow analysis of Banked lines. 200,000 events.</t>
  </si>
  <si>
    <t>not bright</t>
  </si>
  <si>
    <t>bright</t>
  </si>
  <si>
    <t>aplant</t>
  </si>
  <si>
    <t>PG902211</t>
  </si>
  <si>
    <t>After multiple sorts, no increase in proportion of fluorescent ceells evident.</t>
  </si>
  <si>
    <t>Matrigel 20210107, in mTeSR++Ri.</t>
  </si>
  <si>
    <t>Some altered cell morphologies evident. Is this because I thawed in mTeSR+…similar to WTC11??</t>
  </si>
  <si>
    <t>Mycoplasma (ATCC)</t>
  </si>
  <si>
    <t>STR (ATCC)</t>
  </si>
  <si>
    <t>most not bright, but maybe a subpop that is bright</t>
  </si>
  <si>
    <t>tendency to differentiate?</t>
  </si>
  <si>
    <t>In mTeSR+Ri.</t>
  </si>
  <si>
    <t>3 dilutions</t>
  </si>
  <si>
    <t>Used for control for FACS. ~900,000 cells.</t>
  </si>
  <si>
    <t>Feed w mTeSR+</t>
  </si>
  <si>
    <t>These cell do not look like stem cells anymore. Flat, spread, still a bit spiky after Ri removal. Repeat Sort4? An issue with the freeze? Run on flow to check fluorescence level.</t>
  </si>
  <si>
    <t>Used for control for FACS. ~750,000 cells.</t>
  </si>
  <si>
    <t>Matrigel 20210124. Used 1 well as control for sort3 of 0220mCH_OCT4sg2_C10_S2. 2nd well split into 2 wells for transfection 20210203.</t>
  </si>
  <si>
    <t>Matrigel 20210124 Counted 3.5x10e6/mL from 2 wells. Spun down 1.5 mL, suspended in 600uL. Sort at Ultra purity setting, at 500 intensity (&lt;3%). ~21000 events in 10 mins. Stopped at 25 min ~41,000 events. Put into 2 wells of a 12 well plate.</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</si>
  <si>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</si>
  <si>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</si>
  <si>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</si>
  <si>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</si>
  <si>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</si>
  <si>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</si>
  <si>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</si>
  <si>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</si>
  <si>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</si>
  <si>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</si>
  <si>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</si>
  <si>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</si>
  <si>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</si>
  <si>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</si>
  <si>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Sent for analysis date</t>
  </si>
  <si>
    <t>In-house Junctional PCR</t>
  </si>
  <si>
    <t>inconclusive</t>
  </si>
  <si>
    <t>300bp insertion downstream</t>
  </si>
  <si>
    <t>3Kbp insertion downstream</t>
  </si>
  <si>
    <t>For transfection. Matrigel20210204</t>
  </si>
  <si>
    <t>For gDNA isolation. Matrigel20210204.</t>
  </si>
  <si>
    <t>For Junctional PCR. Used "Quick-DNA miniprep" kit from zymo. Eluted in 50uL.</t>
  </si>
  <si>
    <t>Source of plasmid material</t>
  </si>
  <si>
    <t>Donor Plasmid Name</t>
  </si>
  <si>
    <t>pSOX2_GFP_Long3HA</t>
  </si>
  <si>
    <t>in-house</t>
  </si>
  <si>
    <t>WTC11 genomic DNA</t>
  </si>
  <si>
    <t>pOCT4_mCh long5'HA</t>
  </si>
  <si>
    <t>pSOX2_GFP</t>
  </si>
  <si>
    <t>P854782</t>
  </si>
  <si>
    <t>Froze?</t>
  </si>
  <si>
    <t>6?</t>
  </si>
  <si>
    <t>?</t>
  </si>
  <si>
    <t>18?</t>
  </si>
  <si>
    <t>Lost allele in PentaE locus</t>
  </si>
  <si>
    <t>Match to WTC11</t>
  </si>
  <si>
    <t>Negative</t>
  </si>
  <si>
    <t xml:space="preserve"> Negative</t>
  </si>
  <si>
    <t xml:space="preserve">Negative </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</si>
  <si>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</si>
  <si>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</si>
  <si>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</si>
  <si>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</si>
  <si>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</si>
  <si>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</si>
  <si>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</si>
  <si>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</si>
  <si>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</si>
  <si>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</si>
  <si>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</si>
  <si>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</si>
  <si>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</si>
  <si>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</si>
  <si>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t>there are no daily notes</t>
  </si>
  <si>
    <t>Excel Version:</t>
  </si>
  <si>
    <t>Microsoft Excel for Microsoft 365 MSO (16.0.13127.21490) 32-bit</t>
  </si>
  <si>
    <t>TO AUTOMATICALLY CREATE HUMAN-READABLE FOLDERS WITHIN A LOGICAL FOLDER-FILE STRUCTURE:</t>
  </si>
  <si>
    <t>PLACE THE URL OF THE HIGHEST LEVEL FOLDERS IN CELL A6 OF THIS WORKSHEET</t>
  </si>
  <si>
    <t>If this feature is not desired, make the following lines of VBA code into comments</t>
  </si>
  <si>
    <t>ModData(Code) SaveData</t>
  </si>
  <si>
    <t>ModData(Code) SelectClone</t>
  </si>
  <si>
    <t>TO AUTOMATICALLY SAVE USERID AND COMPUTER NAME TO DATA WORKSHEET:</t>
  </si>
  <si>
    <t>write username</t>
  </si>
  <si>
    <t>line 188</t>
  </si>
  <si>
    <t>.Range("I" &amp; Row).Value = Environ("UserName")</t>
  </si>
  <si>
    <t>write computer name</t>
  </si>
  <si>
    <t>line 189</t>
  </si>
  <si>
    <t>.Range("J" &amp; Row).Value = Environ("ComputerName")</t>
  </si>
  <si>
    <t xml:space="preserve">For more details see </t>
  </si>
  <si>
    <t>https://github.com/usnistgov/cell-line-engineering</t>
  </si>
  <si>
    <t>README.docx</t>
  </si>
  <si>
    <t>ORGANIZATION OF WORKSHEETS IN THIS WORKBOOK:</t>
  </si>
  <si>
    <t>Worksheet name</t>
  </si>
  <si>
    <t>Worksheet Type</t>
  </si>
  <si>
    <t>Description</t>
  </si>
  <si>
    <t>Documentation</t>
  </si>
  <si>
    <t>List key commands and workflows</t>
  </si>
  <si>
    <t xml:space="preserve">Calendar </t>
  </si>
  <si>
    <t>Data Entry</t>
  </si>
  <si>
    <t>For entering daily activities</t>
  </si>
  <si>
    <t>Metadata Template</t>
  </si>
  <si>
    <t>Template</t>
  </si>
  <si>
    <t>Blank template for entering transfection details</t>
  </si>
  <si>
    <t>20200120mCHOCT4sg2</t>
  </si>
  <si>
    <t>Template (completed)</t>
  </si>
  <si>
    <t>Data</t>
  </si>
  <si>
    <t>Report</t>
  </si>
  <si>
    <r>
      <t xml:space="preserve">Tabular form of all entries on </t>
    </r>
    <r>
      <rPr>
        <b/>
        <sz val="11"/>
        <color theme="1"/>
        <rFont val="Calibri"/>
        <family val="2"/>
        <scheme val="minor"/>
      </rPr>
      <t>Calendar</t>
    </r>
  </si>
  <si>
    <t>ActivityList</t>
  </si>
  <si>
    <t>Term list</t>
  </si>
  <si>
    <r>
      <t xml:space="preserve">Activities that can be selected on the </t>
    </r>
    <r>
      <rPr>
        <b/>
        <sz val="11"/>
        <color theme="1"/>
        <rFont val="Calibri"/>
        <family val="2"/>
        <scheme val="minor"/>
      </rPr>
      <t>Calendar</t>
    </r>
  </si>
  <si>
    <t>Cell Samples</t>
  </si>
  <si>
    <r>
      <t xml:space="preserve">Allsamples created that can be selected on the </t>
    </r>
    <r>
      <rPr>
        <b/>
        <sz val="11"/>
        <color theme="1"/>
        <rFont val="Calibri"/>
        <family val="2"/>
        <scheme val="minor"/>
      </rPr>
      <t>Calendar</t>
    </r>
  </si>
  <si>
    <t>Data validation criteria</t>
  </si>
  <si>
    <r>
      <t xml:space="preserve">Source of all drop-down lists on the </t>
    </r>
    <r>
      <rPr>
        <b/>
        <sz val="11"/>
        <color theme="1"/>
        <rFont val="Calibri"/>
        <family val="2"/>
        <scheme val="minor"/>
      </rPr>
      <t>Metadata Template</t>
    </r>
  </si>
  <si>
    <t>TransfectionsReport</t>
  </si>
  <si>
    <t>FreezeReport</t>
  </si>
  <si>
    <t xml:space="preserve">Enable content </t>
  </si>
  <si>
    <r>
      <t xml:space="preserve">Worksheet </t>
    </r>
    <r>
      <rPr>
        <b/>
        <sz val="11"/>
        <color theme="1"/>
        <rFont val="Calibri"/>
        <family val="2"/>
        <scheme val="minor"/>
      </rPr>
      <t>Calendar</t>
    </r>
    <r>
      <rPr>
        <sz val="11"/>
        <color theme="1"/>
        <rFont val="Calibri"/>
        <family val="2"/>
        <scheme val="minor"/>
      </rPr>
      <t xml:space="preserve"> allows entry of activities performed on each sample for any date</t>
    </r>
  </si>
  <si>
    <r>
      <t>A tabular record of activities performed on each cell sample on each date are listed in worksheet</t>
    </r>
    <r>
      <rPr>
        <b/>
        <sz val="11"/>
        <color theme="1"/>
        <rFont val="Calibri"/>
        <family val="2"/>
        <scheme val="minor"/>
      </rPr>
      <t xml:space="preserve"> Data</t>
    </r>
  </si>
  <si>
    <r>
      <t xml:space="preserve">All activities are listed in worksheet </t>
    </r>
    <r>
      <rPr>
        <b/>
        <sz val="11"/>
        <color theme="1"/>
        <rFont val="Calibri"/>
        <family val="2"/>
        <scheme val="minor"/>
      </rPr>
      <t>ActivityList</t>
    </r>
  </si>
  <si>
    <r>
      <t xml:space="preserve">Existing cell samples are listed in worksheet </t>
    </r>
    <r>
      <rPr>
        <b/>
        <sz val="11"/>
        <color theme="1"/>
        <rFont val="Calibri"/>
        <family val="2"/>
        <scheme val="minor"/>
      </rPr>
      <t>Cell Samples</t>
    </r>
  </si>
  <si>
    <t>TO EXAMINE THE PROGRAM:</t>
  </si>
  <si>
    <t>Cell A6 on this page is referenced in the code to direct the creation of folders and files in specified computer locations.</t>
  </si>
  <si>
    <t>The following lines of code are comments by default:</t>
  </si>
  <si>
    <t>To activate automatic creation of folders for data storage based on Cell Sample Name, or to record UserName and ComputerName associated with data entry, remove the comment indicator from these lines in the code.</t>
  </si>
  <si>
    <t>CopyNumber Variants (Stemgenomics)</t>
  </si>
  <si>
    <t>Rel intens (flow)</t>
  </si>
  <si>
    <t>qual appearance</t>
  </si>
  <si>
    <t>Discontinued Notes</t>
  </si>
  <si>
    <t>Example metadata for a specific transfection</t>
  </si>
  <si>
    <t>ExtractDNAReport</t>
  </si>
  <si>
    <t>AllClonesIist</t>
  </si>
  <si>
    <t>ClonesSummaries</t>
  </si>
  <si>
    <t xml:space="preserve">List of all unique cell samples </t>
  </si>
  <si>
    <t>Daily notes recorded on Calendar (contains no data)</t>
  </si>
  <si>
    <t>DiscontinueReport</t>
  </si>
  <si>
    <t>20200113mChOCT4sg2Report</t>
  </si>
  <si>
    <t>20200120mCHOCT4sg2Report</t>
  </si>
  <si>
    <t>20200220mCHOCT4sg2</t>
  </si>
  <si>
    <t>20200220mCHOCT4sg2Report</t>
  </si>
  <si>
    <r>
      <t xml:space="preserve">Records from </t>
    </r>
    <r>
      <rPr>
        <b/>
        <sz val="11"/>
        <color theme="1"/>
        <rFont val="Calibri"/>
        <family val="2"/>
        <scheme val="minor"/>
      </rPr>
      <t>Data</t>
    </r>
    <r>
      <rPr>
        <sz val="11"/>
        <color theme="1"/>
        <rFont val="Calibri"/>
        <family val="2"/>
        <scheme val="minor"/>
      </rPr>
      <t xml:space="preserve"> associated with selected </t>
    </r>
    <r>
      <rPr>
        <b/>
        <i/>
        <sz val="11"/>
        <color theme="1"/>
        <rFont val="Calibri"/>
        <family val="2"/>
        <scheme val="minor"/>
      </rPr>
      <t>Cell Sample Name</t>
    </r>
  </si>
  <si>
    <r>
      <t xml:space="preserve">Activities from </t>
    </r>
    <r>
      <rPr>
        <b/>
        <i/>
        <sz val="11"/>
        <color theme="1"/>
        <rFont val="Calibri"/>
        <family val="2"/>
        <scheme val="minor"/>
      </rPr>
      <t>CellSample Name</t>
    </r>
    <r>
      <rPr>
        <b/>
        <sz val="11"/>
        <color theme="1"/>
        <rFont val="Calibri"/>
        <family val="2"/>
        <scheme val="minor"/>
      </rPr>
      <t>Report</t>
    </r>
    <r>
      <rPr>
        <sz val="11"/>
        <color theme="1"/>
        <rFont val="Calibri"/>
        <family val="2"/>
        <scheme val="minor"/>
      </rPr>
      <t xml:space="preserve"> selected to allow counting of numbers of passages of a cell line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</si>
  <si>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Transfect</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</si>
  <si>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Freeze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</si>
  <si>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Discontinue</t>
    </r>
  </si>
  <si>
    <r>
      <t xml:space="preserve">Simple query of all records in </t>
    </r>
    <r>
      <rPr>
        <b/>
        <sz val="11"/>
        <color theme="1"/>
        <rFont val="Calibri"/>
        <family val="2"/>
        <scheme val="minor"/>
      </rPr>
      <t>Data</t>
    </r>
    <r>
      <rPr>
        <sz val="11"/>
        <color theme="1"/>
        <rFont val="Calibri"/>
        <family val="2"/>
        <scheme val="minor"/>
      </rPr>
      <t xml:space="preserve"> associated with </t>
    </r>
    <r>
      <rPr>
        <b/>
        <i/>
        <sz val="11"/>
        <color theme="1"/>
        <rFont val="Calibri"/>
        <family val="2"/>
        <scheme val="minor"/>
      </rPr>
      <t>Activity</t>
    </r>
    <r>
      <rPr>
        <sz val="11"/>
        <color theme="1"/>
        <rFont val="Calibri"/>
        <family val="2"/>
        <scheme val="minor"/>
      </rPr>
      <t xml:space="preserve"> </t>
    </r>
    <r>
      <rPr>
        <i/>
        <sz val="11"/>
        <color theme="1"/>
        <rFont val="Calibri"/>
        <family val="2"/>
        <scheme val="minor"/>
      </rPr>
      <t>ExtractDNA</t>
    </r>
  </si>
  <si>
    <t>Compiled data for all final clones</t>
  </si>
  <si>
    <t>Passage#s20200113_C6</t>
  </si>
  <si>
    <t>Passage#s20200120_B9</t>
  </si>
  <si>
    <t>Passage#s20200220_A7</t>
  </si>
  <si>
    <t>Passage#s20200220_C6</t>
  </si>
  <si>
    <t>Passage#s20200220_C10</t>
  </si>
  <si>
    <t>DailyNotes</t>
  </si>
  <si>
    <t>List of terms</t>
  </si>
  <si>
    <r>
      <rPr>
        <b/>
        <sz val="11"/>
        <color theme="1"/>
        <rFont val="Calibri"/>
        <family val="2"/>
        <scheme val="minor"/>
      </rPr>
      <t>VERSION</t>
    </r>
    <r>
      <rPr>
        <sz val="11"/>
        <color theme="1"/>
        <rFont val="Calibri"/>
        <family val="2"/>
        <scheme val="minor"/>
      </rPr>
      <t xml:space="preserve"> TransfectionTracker_v1221.xlsm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</si>
</sst>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43">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sz val="9"/>
      <name val="Calibri"/>
      <family val="2"/>
      <scheme val="minor"/>
    </font>
    <font>
      <b/>
      <sz val="8"/>
      <name val="Calibri"/>
      <family val="2"/>
      <scheme val="minor"/>
    </font>
    <font>
      <b/>
      <sz val="10"/>
      <name val="Calibri"/>
      <family val="2"/>
      <scheme val="minor"/>
    </font>
    <font>
      <b/>
      <i/>
      <sz val="9"/>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
      <sz val="14"/>
      <color theme="1"/>
      <name val="Calibri"/>
      <family val="2"/>
      <scheme val="minor"/>
    </font>
    <font>
      <u/>
      <sz val="14"/>
      <color theme="0" tint="-0.499984740745262"/>
      <name val="Calibri"/>
      <family val="2"/>
      <scheme val="minor"/>
    </font>
    <font>
      <sz val="14"/>
      <color theme="0" tint="-0.499984740745262"/>
      <name val="Calibri"/>
      <family val="2"/>
      <scheme val="minor"/>
    </font>
    <font>
      <u/>
      <sz val="14"/>
      <color theme="10"/>
      <name val="Calibri"/>
      <family val="2"/>
      <scheme val="minor"/>
    </font>
    <font>
      <sz val="12"/>
      <color theme="1"/>
      <name val="Calibri"/>
      <family val="2"/>
      <scheme val="minor"/>
    </font>
    <font>
      <b/>
      <sz val="14"/>
      <color theme="1"/>
      <name val="Calibri"/>
      <family val="2"/>
      <scheme val="minor"/>
    </font>
    <font>
      <i/>
      <sz val="11"/>
      <color theme="1"/>
      <name val="Calibri"/>
      <family val="2"/>
      <scheme val="minor"/>
    </font>
    <font>
      <sz val="10"/>
      <color theme="1"/>
      <name val="Trebuchet MS"/>
      <family val="2"/>
    </font>
    <font>
      <b/>
      <sz val="9"/>
      <color theme="0"/>
      <name val="Calibri"/>
      <family val="2"/>
      <scheme val="minor"/>
    </font>
  </fonts>
  <fills count="23">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theme="4" tint="0.79998168889431442"/>
      </patternFill>
    </fill>
    <fill>
      <patternFill patternType="solid">
        <fgColor rgb="FFFFFF00"/>
        <bgColor indexed="64"/>
      </patternFill>
    </fill>
    <fill>
      <patternFill patternType="solid">
        <fgColor theme="2"/>
        <bgColor indexed="64"/>
      </patternFill>
    </fill>
    <fill>
      <patternFill patternType="solid">
        <fgColor theme="3" tint="0.79998168889431442"/>
        <bgColor indexed="64"/>
      </patternFill>
    </fill>
    <fill>
      <patternFill patternType="solid">
        <fgColor rgb="FFD6DCE4"/>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2CC"/>
        <bgColor indexed="64"/>
      </patternFill>
    </fill>
  </fills>
  <borders count="9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style="thick">
        <color indexed="64"/>
      </left>
      <right/>
      <top/>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style="thin">
        <color theme="4" tint="0.39997558519241921"/>
      </left>
      <right/>
      <top/>
      <bottom/>
      <diagonal/>
    </border>
    <border>
      <left style="thin">
        <color theme="4" tint="0.39997558519241921"/>
      </left>
      <right/>
      <top/>
      <bottom style="thin">
        <color theme="4" tint="0.39997558519241921"/>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theme="4" tint="0.39997558519241921"/>
      </bottom>
      <diagonal/>
    </border>
    <border>
      <left/>
      <right style="thin">
        <color indexed="64"/>
      </right>
      <top/>
      <bottom/>
      <diagonal/>
    </border>
    <border>
      <left/>
      <right style="thin">
        <color theme="4" tint="0.39997558519241921"/>
      </right>
      <top style="thin">
        <color theme="4" tint="0.39997558519241921"/>
      </top>
      <bottom/>
      <diagonal/>
    </border>
    <border>
      <left/>
      <right style="thin">
        <color indexed="64"/>
      </right>
      <top style="thin">
        <color auto="1"/>
      </top>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568">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6" fillId="0" borderId="0" xfId="0" applyFont="1"/>
    <xf numFmtId="0" fontId="0" fillId="0" borderId="0" xfId="0" applyAlignment="1">
      <alignment horizontal="center"/>
    </xf>
    <xf numFmtId="0" fontId="6" fillId="0" borderId="0" xfId="0" applyFont="1" applyFill="1" applyBorder="1"/>
    <xf numFmtId="0" fontId="0" fillId="0" borderId="0" xfId="0" applyFont="1" applyFill="1" applyBorder="1" applyAlignment="1">
      <alignment horizontal="right"/>
    </xf>
    <xf numFmtId="0" fontId="10" fillId="0" borderId="0" xfId="0" applyFont="1"/>
    <xf numFmtId="0" fontId="0" fillId="0" borderId="0" xfId="0" applyFont="1" applyFill="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1" fillId="0" borderId="0" xfId="0" applyFont="1" applyAlignment="1">
      <alignment horizontal="center"/>
    </xf>
    <xf numFmtId="14" fontId="11" fillId="0" borderId="0" xfId="0" applyNumberFormat="1" applyFont="1" applyAlignment="1">
      <alignment horizontal="center"/>
    </xf>
    <xf numFmtId="14" fontId="4" fillId="0" borderId="0" xfId="0" applyNumberFormat="1" applyFont="1"/>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2" fillId="9" borderId="0" xfId="0" applyFont="1" applyFill="1"/>
    <xf numFmtId="0" fontId="2" fillId="9" borderId="0" xfId="0" applyFont="1" applyFill="1" applyAlignment="1">
      <alignment horizontal="right"/>
    </xf>
    <xf numFmtId="0" fontId="0" fillId="8" borderId="0" xfId="0" applyFont="1" applyFill="1"/>
    <xf numFmtId="0" fontId="0" fillId="8" borderId="1" xfId="0" applyFont="1" applyFill="1" applyBorder="1"/>
    <xf numFmtId="0" fontId="0" fillId="8" borderId="0" xfId="0" applyFont="1" applyFill="1" applyAlignment="1">
      <alignment horizontal="right"/>
    </xf>
    <xf numFmtId="0" fontId="0" fillId="0" borderId="0" xfId="0" applyFont="1" applyFill="1" applyBorder="1"/>
    <xf numFmtId="49" fontId="0" fillId="0" borderId="0" xfId="0" applyNumberFormat="1" applyFont="1" applyFill="1" applyBorder="1"/>
    <xf numFmtId="0" fontId="0" fillId="9" borderId="0" xfId="0" applyFont="1" applyFill="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2" fillId="11" borderId="0" xfId="0" applyFont="1" applyFill="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166" fontId="16" fillId="12" borderId="42" xfId="3" applyNumberFormat="1" applyFill="1" applyBorder="1" applyAlignment="1">
      <alignment horizontal="left"/>
    </xf>
    <xf numFmtId="0" fontId="0" fillId="11" borderId="30" xfId="0" applyFill="1" applyBorder="1"/>
    <xf numFmtId="0" fontId="0" fillId="11" borderId="32" xfId="0" applyFill="1" applyBorder="1"/>
    <xf numFmtId="0" fontId="2" fillId="11" borderId="32" xfId="0" applyFont="1" applyFill="1" applyBorder="1" applyAlignment="1">
      <alignment horizontal="center"/>
    </xf>
    <xf numFmtId="0" fontId="0" fillId="11" borderId="43" xfId="0" applyFill="1" applyBorder="1"/>
    <xf numFmtId="20" fontId="0" fillId="11" borderId="26" xfId="0" applyNumberFormat="1" applyFill="1" applyBorder="1"/>
    <xf numFmtId="0" fontId="0" fillId="11" borderId="44" xfId="0" applyFill="1" applyBorder="1"/>
    <xf numFmtId="166" fontId="0" fillId="11" borderId="0" xfId="0" applyNumberFormat="1" applyFill="1"/>
    <xf numFmtId="0" fontId="0" fillId="11" borderId="45" xfId="0" applyFill="1" applyBorder="1"/>
    <xf numFmtId="0" fontId="16" fillId="12" borderId="42" xfId="3" applyFill="1" applyBorder="1"/>
    <xf numFmtId="0" fontId="16" fillId="11" borderId="0" xfId="0" applyFont="1" applyFill="1"/>
    <xf numFmtId="0" fontId="0" fillId="11" borderId="46" xfId="0" applyFill="1" applyBorder="1"/>
    <xf numFmtId="0" fontId="18" fillId="11" borderId="1" xfId="0" applyFont="1" applyFill="1" applyBorder="1"/>
    <xf numFmtId="0" fontId="0" fillId="11" borderId="0" xfId="0" applyFill="1" applyAlignment="1">
      <alignment horizontal="right"/>
    </xf>
    <xf numFmtId="0" fontId="15" fillId="7" borderId="47" xfId="2" applyBorder="1"/>
    <xf numFmtId="0" fontId="0" fillId="10" borderId="23" xfId="0" applyFill="1" applyBorder="1" applyAlignment="1">
      <alignment horizontal="right"/>
    </xf>
    <xf numFmtId="0" fontId="15" fillId="10" borderId="48"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9" xfId="0" applyFill="1" applyBorder="1"/>
    <xf numFmtId="0" fontId="0" fillId="10" borderId="49"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applyAlignment="1">
      <alignment horizontal="center"/>
    </xf>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2" fillId="9" borderId="0" xfId="0" applyFont="1" applyFill="1" applyAlignment="1">
      <alignment horizontal="left"/>
    </xf>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0" fontId="2" fillId="11" borderId="0" xfId="0" applyFont="1" applyFill="1" applyBorder="1" applyAlignment="1">
      <alignment horizontal="center"/>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0" xfId="0" applyFont="1" applyFill="1" applyBorder="1" applyAlignment="1">
      <alignment horizontal="left"/>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53" xfId="0" applyFont="1" applyFill="1" applyBorder="1" applyAlignment="1">
      <alignment horizontal="center"/>
    </xf>
    <xf numFmtId="0" fontId="16" fillId="11" borderId="15" xfId="0" applyFont="1" applyFill="1" applyBorder="1" applyAlignment="1">
      <alignment horizontal="center"/>
    </xf>
    <xf numFmtId="0" fontId="19" fillId="11" borderId="49" xfId="0" applyFont="1" applyFill="1" applyBorder="1" applyAlignment="1">
      <alignment horizontal="center"/>
    </xf>
    <xf numFmtId="166" fontId="18" fillId="11" borderId="54"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5" xfId="0" applyFill="1" applyBorder="1"/>
    <xf numFmtId="0" fontId="19" fillId="11" borderId="0" xfId="0" applyFont="1" applyFill="1" applyAlignment="1">
      <alignment horizontal="right"/>
    </xf>
    <xf numFmtId="0" fontId="0" fillId="10" borderId="0" xfId="0" applyFill="1" applyBorder="1"/>
    <xf numFmtId="0" fontId="16" fillId="11" borderId="1" xfId="0" applyFont="1" applyFill="1" applyBorder="1" applyAlignment="1">
      <alignment horizontal="left"/>
    </xf>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18" fontId="15" fillId="7" borderId="50" xfId="2" applyNumberFormat="1" applyBorder="1" applyProtection="1">
      <protection locked="0"/>
    </xf>
    <xf numFmtId="11" fontId="15" fillId="7" borderId="22" xfId="2" applyNumberFormat="1" applyProtection="1">
      <protection locked="0"/>
    </xf>
    <xf numFmtId="0" fontId="15" fillId="7" borderId="22" xfId="2"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5"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6" xfId="0" applyFont="1" applyBorder="1"/>
    <xf numFmtId="0" fontId="0" fillId="0" borderId="67" xfId="0" applyBorder="1"/>
    <xf numFmtId="0" fontId="0" fillId="0" borderId="5" xfId="0" applyBorder="1"/>
    <xf numFmtId="0" fontId="4" fillId="0" borderId="68" xfId="0" applyFont="1" applyBorder="1"/>
    <xf numFmtId="0" fontId="4" fillId="0" borderId="28" xfId="0" applyFont="1" applyBorder="1"/>
    <xf numFmtId="0" fontId="6" fillId="7" borderId="22" xfId="2" applyFont="1" applyProtection="1">
      <protection locked="0"/>
    </xf>
    <xf numFmtId="0" fontId="6" fillId="0" borderId="24" xfId="0" applyFont="1" applyBorder="1"/>
    <xf numFmtId="0" fontId="9" fillId="0" borderId="24" xfId="0" applyFont="1" applyBorder="1" applyAlignment="1">
      <alignment horizontal="right"/>
    </xf>
    <xf numFmtId="0" fontId="25" fillId="0" borderId="0" xfId="0" applyFont="1"/>
    <xf numFmtId="0" fontId="6" fillId="0" borderId="26" xfId="0" applyFont="1" applyBorder="1"/>
    <xf numFmtId="49" fontId="6" fillId="7" borderId="22" xfId="2" applyNumberFormat="1" applyFont="1" applyProtection="1">
      <protection locked="0"/>
    </xf>
    <xf numFmtId="0" fontId="26" fillId="0" borderId="0" xfId="0" applyFont="1" applyAlignment="1">
      <alignment horizontal="right"/>
    </xf>
    <xf numFmtId="0" fontId="6" fillId="0" borderId="27" xfId="0" applyFont="1" applyBorder="1"/>
    <xf numFmtId="0" fontId="9" fillId="0" borderId="0" xfId="0" applyFont="1"/>
    <xf numFmtId="0" fontId="26" fillId="0" borderId="0" xfId="0" applyFont="1"/>
    <xf numFmtId="0" fontId="6" fillId="0" borderId="29" xfId="0" applyFont="1" applyBorder="1"/>
    <xf numFmtId="0" fontId="26" fillId="0" borderId="32" xfId="0" applyFont="1" applyBorder="1" applyAlignment="1">
      <alignment horizontal="right"/>
    </xf>
    <xf numFmtId="0" fontId="9" fillId="0" borderId="32" xfId="0" applyFont="1" applyBorder="1" applyAlignment="1">
      <alignment horizontal="left" indent="1"/>
    </xf>
    <xf numFmtId="0" fontId="6" fillId="0" borderId="32" xfId="0" applyFont="1" applyBorder="1" applyAlignment="1">
      <alignment horizontal="left" vertical="center"/>
    </xf>
    <xf numFmtId="0" fontId="27" fillId="0" borderId="24" xfId="0" applyFont="1" applyBorder="1"/>
    <xf numFmtId="0" fontId="27" fillId="0" borderId="24" xfId="0" applyFont="1" applyBorder="1" applyAlignment="1">
      <alignment horizontal="left" indent="1"/>
    </xf>
    <xf numFmtId="0" fontId="9" fillId="0" borderId="26" xfId="0" applyFont="1" applyBorder="1"/>
    <xf numFmtId="0" fontId="9" fillId="0" borderId="26" xfId="0" applyFont="1" applyBorder="1" applyAlignment="1">
      <alignment horizontal="right"/>
    </xf>
    <xf numFmtId="0" fontId="6" fillId="7" borderId="65" xfId="2" applyFont="1" applyBorder="1" applyProtection="1">
      <protection locked="0"/>
    </xf>
    <xf numFmtId="0" fontId="25" fillId="0" borderId="26" xfId="0" applyFont="1" applyBorder="1"/>
    <xf numFmtId="0" fontId="25" fillId="0" borderId="27" xfId="0" applyFont="1" applyBorder="1"/>
    <xf numFmtId="0" fontId="9" fillId="0" borderId="0" xfId="0" applyFont="1" applyBorder="1"/>
    <xf numFmtId="0" fontId="9" fillId="0" borderId="0" xfId="0" applyFont="1" applyBorder="1" applyAlignment="1">
      <alignment horizontal="right"/>
    </xf>
    <xf numFmtId="0" fontId="6" fillId="0" borderId="0" xfId="0" applyFont="1" applyBorder="1"/>
    <xf numFmtId="0" fontId="25" fillId="0" borderId="0" xfId="0" applyFont="1" applyBorder="1"/>
    <xf numFmtId="0" fontId="25" fillId="0" borderId="29" xfId="0" applyFont="1" applyBorder="1"/>
    <xf numFmtId="0" fontId="9" fillId="0" borderId="1" xfId="0" applyFont="1" applyBorder="1" applyAlignment="1">
      <alignment horizontal="left"/>
    </xf>
    <xf numFmtId="0" fontId="9" fillId="0" borderId="1" xfId="0" applyFont="1" applyBorder="1"/>
    <xf numFmtId="0" fontId="6" fillId="0" borderId="1" xfId="0" applyFont="1" applyBorder="1"/>
    <xf numFmtId="0" fontId="9" fillId="0" borderId="1" xfId="0" applyFont="1" applyBorder="1" applyAlignment="1">
      <alignment horizontal="right"/>
    </xf>
    <xf numFmtId="0" fontId="6" fillId="0" borderId="5" xfId="0" applyFont="1" applyBorder="1"/>
    <xf numFmtId="0" fontId="25" fillId="0" borderId="1" xfId="0" applyFont="1" applyBorder="1"/>
    <xf numFmtId="0" fontId="6" fillId="7" borderId="1" xfId="2" applyFont="1" applyBorder="1" applyProtection="1">
      <protection locked="0"/>
    </xf>
    <xf numFmtId="0" fontId="28" fillId="0" borderId="0" xfId="0" applyFont="1"/>
    <xf numFmtId="0" fontId="9" fillId="0" borderId="23" xfId="0" applyFont="1" applyBorder="1"/>
    <xf numFmtId="0" fontId="9" fillId="0" borderId="25" xfId="0" applyFont="1" applyBorder="1" applyAlignment="1">
      <alignment horizontal="left" indent="1"/>
    </xf>
    <xf numFmtId="0" fontId="9" fillId="0" borderId="28" xfId="0" applyFont="1" applyBorder="1" applyAlignment="1">
      <alignment horizontal="left" indent="3"/>
    </xf>
    <xf numFmtId="0" fontId="25" fillId="0" borderId="0" xfId="0" applyFont="1" applyFill="1"/>
    <xf numFmtId="0" fontId="9" fillId="0" borderId="30" xfId="0" applyFont="1" applyBorder="1"/>
    <xf numFmtId="0" fontId="9" fillId="0" borderId="23" xfId="0" applyFont="1" applyBorder="1" applyAlignment="1">
      <alignment horizontal="left"/>
    </xf>
    <xf numFmtId="0" fontId="9" fillId="0" borderId="25" xfId="0" applyFont="1" applyBorder="1"/>
    <xf numFmtId="0" fontId="9" fillId="0" borderId="28" xfId="0" applyFont="1" applyBorder="1"/>
    <xf numFmtId="0" fontId="25" fillId="0" borderId="66" xfId="0" applyFont="1" applyBorder="1"/>
    <xf numFmtId="0" fontId="6" fillId="0" borderId="67" xfId="0" applyFont="1" applyBorder="1"/>
    <xf numFmtId="0" fontId="6" fillId="0" borderId="30" xfId="0" applyFont="1" applyBorder="1"/>
    <xf numFmtId="0" fontId="9" fillId="0" borderId="32" xfId="0" applyFont="1" applyBorder="1"/>
    <xf numFmtId="0" fontId="6" fillId="0" borderId="32" xfId="0" applyFont="1" applyBorder="1"/>
    <xf numFmtId="0" fontId="9" fillId="0" borderId="32" xfId="0" applyFont="1" applyBorder="1" applyAlignment="1">
      <alignment horizontal="right"/>
    </xf>
    <xf numFmtId="0" fontId="25" fillId="0" borderId="32" xfId="0" applyFont="1" applyBorder="1"/>
    <xf numFmtId="0" fontId="6" fillId="0" borderId="35" xfId="0" applyFont="1" applyBorder="1"/>
    <xf numFmtId="0" fontId="6" fillId="7" borderId="25" xfId="2" applyFont="1" applyBorder="1"/>
    <xf numFmtId="49" fontId="6" fillId="8" borderId="1" xfId="0" applyNumberFormat="1" applyFont="1" applyFill="1" applyBorder="1" applyProtection="1">
      <protection locked="0"/>
    </xf>
    <xf numFmtId="0" fontId="6" fillId="8" borderId="3" xfId="0" applyFont="1" applyFill="1" applyBorder="1"/>
    <xf numFmtId="0" fontId="6" fillId="8" borderId="2" xfId="0" applyFont="1" applyFill="1" applyBorder="1"/>
    <xf numFmtId="0" fontId="6" fillId="7" borderId="22" xfId="2" applyFont="1"/>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51"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52" xfId="2" applyFont="1" applyBorder="1" applyAlignment="1" applyProtection="1">
      <alignment horizontal="center"/>
      <protection locked="0"/>
    </xf>
    <xf numFmtId="0" fontId="6" fillId="8" borderId="1" xfId="0" applyFont="1" applyFill="1" applyBorder="1"/>
    <xf numFmtId="49" fontId="6" fillId="0" borderId="0" xfId="0" applyNumberFormat="1" applyFont="1" applyFill="1" applyBorder="1"/>
    <xf numFmtId="0" fontId="6" fillId="0" borderId="0" xfId="0" applyFont="1" applyFill="1" applyBorder="1" applyAlignment="1">
      <alignment horizontal="right"/>
    </xf>
    <xf numFmtId="18" fontId="6" fillId="7" borderId="50"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9" xfId="0" applyFont="1" applyBorder="1"/>
    <xf numFmtId="11" fontId="6" fillId="7" borderId="72" xfId="2" applyNumberFormat="1" applyFont="1" applyBorder="1" applyProtection="1">
      <protection locked="0"/>
    </xf>
    <xf numFmtId="2" fontId="18" fillId="10" borderId="71" xfId="0" applyNumberFormat="1" applyFont="1" applyFill="1" applyBorder="1" applyAlignment="1">
      <alignment horizontal="center"/>
    </xf>
    <xf numFmtId="0" fontId="0" fillId="10" borderId="70" xfId="0" applyFill="1" applyBorder="1"/>
    <xf numFmtId="2" fontId="18" fillId="10" borderId="73" xfId="0" applyNumberFormat="1" applyFont="1" applyFill="1" applyBorder="1" applyAlignment="1">
      <alignment horizontal="center"/>
    </xf>
    <xf numFmtId="0" fontId="0" fillId="10" borderId="70" xfId="0" applyFill="1" applyBorder="1" applyAlignment="1">
      <alignment horizontal="center" wrapText="1"/>
    </xf>
    <xf numFmtId="2" fontId="18" fillId="10" borderId="74" xfId="0" applyNumberFormat="1" applyFont="1" applyFill="1" applyBorder="1" applyAlignment="1">
      <alignment horizontal="center"/>
    </xf>
    <xf numFmtId="0" fontId="8" fillId="10" borderId="75" xfId="0" applyFont="1" applyFill="1" applyBorder="1" applyAlignment="1">
      <alignment horizontal="center" wrapText="1"/>
    </xf>
    <xf numFmtId="0" fontId="18" fillId="10" borderId="49" xfId="0" applyFont="1" applyFill="1" applyBorder="1" applyAlignment="1">
      <alignment horizontal="center"/>
    </xf>
    <xf numFmtId="0" fontId="0" fillId="10" borderId="49" xfId="0" applyFill="1" applyBorder="1" applyAlignment="1">
      <alignment horizontal="center" vertical="center"/>
    </xf>
    <xf numFmtId="0" fontId="6" fillId="7" borderId="47" xfId="2" applyFont="1" applyBorder="1"/>
    <xf numFmtId="0" fontId="2" fillId="11" borderId="26" xfId="0" applyFont="1" applyFill="1" applyBorder="1"/>
    <xf numFmtId="0" fontId="0" fillId="11" borderId="0" xfId="0" applyFill="1" applyBorder="1"/>
    <xf numFmtId="0" fontId="0" fillId="11" borderId="0" xfId="0" applyFill="1" applyBorder="1" applyAlignment="1">
      <alignment horizontal="center"/>
    </xf>
    <xf numFmtId="0" fontId="21" fillId="11" borderId="0" xfId="0" applyFont="1" applyFill="1" applyBorder="1" applyAlignment="1">
      <alignment horizontal="center"/>
    </xf>
    <xf numFmtId="0" fontId="23" fillId="11" borderId="0" xfId="0" applyFont="1" applyFill="1" applyBorder="1" applyAlignment="1">
      <alignment horizontal="right"/>
    </xf>
    <xf numFmtId="166" fontId="0" fillId="11" borderId="0" xfId="0" applyNumberFormat="1" applyFill="1" applyBorder="1" applyAlignment="1">
      <alignment horizontal="center"/>
    </xf>
    <xf numFmtId="0" fontId="0" fillId="11" borderId="36" xfId="0" applyFill="1" applyBorder="1"/>
    <xf numFmtId="166" fontId="0" fillId="11" borderId="0" xfId="0" applyNumberFormat="1" applyFill="1" applyBorder="1"/>
    <xf numFmtId="0" fontId="16" fillId="11" borderId="0" xfId="0" applyFont="1" applyFill="1" applyBorder="1"/>
    <xf numFmtId="0" fontId="0" fillId="11" borderId="35" xfId="0" applyFill="1" applyBorder="1"/>
    <xf numFmtId="0" fontId="0" fillId="11" borderId="0" xfId="0" applyFill="1" applyBorder="1" applyAlignment="1">
      <alignment horizontal="right"/>
    </xf>
    <xf numFmtId="11" fontId="6" fillId="7" borderId="22" xfId="2" applyNumberFormat="1" applyFont="1" applyBorder="1" applyProtection="1">
      <protection locked="0"/>
    </xf>
    <xf numFmtId="0" fontId="19" fillId="11" borderId="0" xfId="0" applyFont="1" applyFill="1" applyBorder="1" applyAlignment="1">
      <alignment horizontal="right"/>
    </xf>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6" fillId="8" borderId="26" xfId="0" applyFont="1" applyFill="1" applyBorder="1"/>
    <xf numFmtId="0" fontId="6" fillId="8" borderId="28" xfId="0" applyFont="1" applyFill="1" applyBorder="1"/>
    <xf numFmtId="0" fontId="6" fillId="8" borderId="0" xfId="0" applyFont="1" applyFill="1" applyBorder="1"/>
    <xf numFmtId="0" fontId="6" fillId="8" borderId="0" xfId="0" applyFont="1" applyFill="1" applyBorder="1" applyAlignment="1">
      <alignment horizontal="right"/>
    </xf>
    <xf numFmtId="49" fontId="6" fillId="7" borderId="22" xfId="2" applyNumberFormat="1" applyFont="1" applyBorder="1" applyProtection="1">
      <protection locked="0"/>
    </xf>
    <xf numFmtId="0" fontId="6" fillId="7" borderId="22" xfId="2" applyFont="1" applyBorder="1" applyProtection="1">
      <protection locked="0"/>
    </xf>
    <xf numFmtId="0" fontId="6" fillId="0" borderId="28" xfId="0" applyFont="1" applyFill="1" applyBorder="1"/>
    <xf numFmtId="0" fontId="6" fillId="0" borderId="28" xfId="0" applyFont="1" applyBorder="1"/>
    <xf numFmtId="0" fontId="6" fillId="9" borderId="28" xfId="0" applyFont="1" applyFill="1" applyBorder="1"/>
    <xf numFmtId="0" fontId="9" fillId="9" borderId="0" xfId="0" applyFont="1" applyFill="1" applyBorder="1" applyAlignment="1">
      <alignment horizontal="left"/>
    </xf>
    <xf numFmtId="0" fontId="9" fillId="9" borderId="0" xfId="0" applyFont="1" applyFill="1" applyBorder="1"/>
    <xf numFmtId="0" fontId="9" fillId="9" borderId="0" xfId="0" applyFont="1" applyFill="1" applyBorder="1" applyAlignment="1">
      <alignment horizontal="right"/>
    </xf>
    <xf numFmtId="0" fontId="6" fillId="9" borderId="0" xfId="0" applyFont="1" applyFill="1" applyBorder="1"/>
    <xf numFmtId="0" fontId="6" fillId="0" borderId="9" xfId="0" applyFont="1" applyBorder="1"/>
    <xf numFmtId="0" fontId="0" fillId="10" borderId="76" xfId="0" applyFill="1" applyBorder="1" applyAlignment="1">
      <alignment horizontal="center" wrapText="1"/>
    </xf>
    <xf numFmtId="0" fontId="6" fillId="7" borderId="0" xfId="2" applyFont="1" applyBorder="1" applyAlignment="1" applyProtection="1">
      <alignment horizontal="left"/>
      <protection locked="0"/>
    </xf>
    <xf numFmtId="0" fontId="6" fillId="7" borderId="22" xfId="2" applyFont="1" applyProtection="1">
      <protection locked="0"/>
    </xf>
    <xf numFmtId="0" fontId="6" fillId="7" borderId="1" xfId="2" applyFont="1" applyBorder="1" applyProtection="1">
      <protection locked="0"/>
    </xf>
    <xf numFmtId="0" fontId="6" fillId="7" borderId="65" xfId="2" applyFont="1" applyBorder="1" applyProtection="1">
      <protection locked="0"/>
    </xf>
    <xf numFmtId="0" fontId="15" fillId="7" borderId="22" xfId="2" applyProtection="1">
      <protection locked="0"/>
    </xf>
    <xf numFmtId="0" fontId="0" fillId="0" borderId="0" xfId="0" applyAlignment="1">
      <alignment vertical="center"/>
    </xf>
    <xf numFmtId="22" fontId="0" fillId="0" borderId="0" xfId="0" applyNumberFormat="1"/>
    <xf numFmtId="0" fontId="0" fillId="0" borderId="0" xfId="0" applyAlignment="1">
      <alignment wrapText="1"/>
    </xf>
    <xf numFmtId="0" fontId="11" fillId="0" borderId="0" xfId="0" applyFont="1" applyAlignment="1">
      <alignment horizontal="center" vertical="top"/>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7" xfId="0" applyFont="1" applyFill="1" applyBorder="1"/>
    <xf numFmtId="0" fontId="0" fillId="0" borderId="77" xfId="0" applyFont="1" applyBorder="1"/>
    <xf numFmtId="0" fontId="0" fillId="2" borderId="78" xfId="0" applyFont="1" applyFill="1" applyBorder="1"/>
    <xf numFmtId="0" fontId="0" fillId="0" borderId="78" xfId="0" applyFont="1" applyBorder="1"/>
    <xf numFmtId="0" fontId="31" fillId="13" borderId="79" xfId="0" applyFont="1" applyFill="1" applyBorder="1"/>
    <xf numFmtId="0" fontId="31" fillId="13" borderId="4" xfId="0" applyFont="1" applyFill="1" applyBorder="1"/>
    <xf numFmtId="22" fontId="0" fillId="0" borderId="79" xfId="0" applyNumberFormat="1" applyFont="1" applyBorder="1"/>
    <xf numFmtId="22" fontId="0" fillId="2" borderId="79" xfId="0" applyNumberFormat="1" applyFont="1" applyFill="1" applyBorder="1"/>
    <xf numFmtId="0" fontId="2" fillId="0" borderId="4" xfId="0" applyNumberFormat="1" applyFont="1" applyBorder="1"/>
    <xf numFmtId="0" fontId="2" fillId="2" borderId="4" xfId="0" applyNumberFormat="1" applyFont="1" applyFill="1" applyBorder="1"/>
    <xf numFmtId="0" fontId="2" fillId="2" borderId="4" xfId="0" applyFont="1" applyFill="1" applyBorder="1"/>
    <xf numFmtId="0" fontId="31" fillId="13" borderId="0" xfId="0" applyFont="1" applyFill="1" applyBorder="1"/>
    <xf numFmtId="0" fontId="2" fillId="0" borderId="4" xfId="0" applyFont="1" applyBorder="1"/>
    <xf numFmtId="0" fontId="31" fillId="13" borderId="78" xfId="0" applyFont="1" applyFill="1" applyBorder="1" applyAlignment="1">
      <alignment horizontal="center"/>
    </xf>
    <xf numFmtId="0" fontId="0" fillId="0" borderId="0" xfId="0" applyFont="1" applyBorder="1"/>
    <xf numFmtId="0" fontId="4" fillId="0" borderId="0" xfId="0" applyFont="1" applyFill="1" applyAlignment="1" applyProtection="1">
      <alignment horizontal="left" vertical="top"/>
      <protection locked="0" hidden="1"/>
    </xf>
    <xf numFmtId="0" fontId="0" fillId="2" borderId="0" xfId="0" applyFont="1" applyFill="1" applyBorder="1"/>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9" xfId="3" quotePrefix="1" applyNumberFormat="1" applyFill="1" applyBorder="1" applyAlignment="1">
      <alignment horizontal="left"/>
    </xf>
    <xf numFmtId="0" fontId="0" fillId="11" borderId="80" xfId="0" applyFill="1" applyBorder="1"/>
    <xf numFmtId="0" fontId="0" fillId="11" borderId="80" xfId="0" applyFill="1" applyBorder="1" applyAlignment="1">
      <alignment horizontal="right"/>
    </xf>
    <xf numFmtId="0" fontId="2" fillId="11" borderId="80" xfId="0" applyFont="1" applyFill="1" applyBorder="1" applyAlignment="1">
      <alignment horizontal="left"/>
    </xf>
    <xf numFmtId="0" fontId="4" fillId="11" borderId="80" xfId="0" applyFont="1" applyFill="1" applyBorder="1"/>
    <xf numFmtId="0" fontId="4" fillId="11" borderId="81"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0" fillId="2" borderId="77" xfId="0" applyFont="1" applyFill="1" applyBorder="1" applyAlignment="1">
      <alignment wrapText="1"/>
    </xf>
    <xf numFmtId="0" fontId="0" fillId="0" borderId="77" xfId="0" applyFont="1" applyBorder="1" applyAlignment="1">
      <alignment wrapText="1"/>
    </xf>
    <xf numFmtId="0" fontId="0" fillId="2" borderId="77" xfId="0" applyFont="1" applyFill="1" applyBorder="1" applyAlignment="1"/>
    <xf numFmtId="0" fontId="2" fillId="2" borderId="77"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82" xfId="2" applyBorder="1"/>
    <xf numFmtId="0" fontId="4" fillId="9" borderId="35" xfId="0" applyFont="1" applyFill="1" applyBorder="1"/>
    <xf numFmtId="0" fontId="29" fillId="0" borderId="6" xfId="0" applyFont="1" applyBorder="1"/>
    <xf numFmtId="0" fontId="30" fillId="0" borderId="6" xfId="0" applyFont="1" applyBorder="1"/>
    <xf numFmtId="0" fontId="6" fillId="0" borderId="0" xfId="1" applyFont="1"/>
    <xf numFmtId="0" fontId="6" fillId="7" borderId="22" xfId="2" applyFont="1" applyProtection="1">
      <protection locked="0"/>
    </xf>
    <xf numFmtId="0" fontId="31" fillId="13" borderId="77" xfId="0" applyFont="1" applyFill="1" applyBorder="1"/>
    <xf numFmtId="0" fontId="0" fillId="0" borderId="0" xfId="0" applyFill="1" applyBorder="1"/>
    <xf numFmtId="0" fontId="0" fillId="0" borderId="80" xfId="0" applyFill="1" applyBorder="1"/>
    <xf numFmtId="11" fontId="6" fillId="0" borderId="80" xfId="2" applyNumberFormat="1" applyFont="1" applyFill="1" applyBorder="1" applyProtection="1">
      <protection locked="0"/>
    </xf>
    <xf numFmtId="0" fontId="19" fillId="0" borderId="80" xfId="0" applyFont="1" applyFill="1" applyBorder="1" applyAlignment="1">
      <alignment horizontal="right"/>
    </xf>
    <xf numFmtId="0" fontId="16" fillId="0" borderId="80" xfId="0" applyFont="1" applyFill="1" applyBorder="1" applyAlignment="1">
      <alignment horizontal="left"/>
    </xf>
    <xf numFmtId="0" fontId="6" fillId="7" borderId="83" xfId="2" applyFont="1" applyBorder="1" applyProtection="1">
      <protection locked="0"/>
    </xf>
    <xf numFmtId="0" fontId="3" fillId="0" borderId="77" xfId="1" applyBorder="1"/>
    <xf numFmtId="0" fontId="32" fillId="2" borderId="77" xfId="0" applyFont="1" applyFill="1" applyBorder="1"/>
    <xf numFmtId="0" fontId="31" fillId="13" borderId="84" xfId="0" applyFont="1" applyFill="1" applyBorder="1" applyAlignment="1">
      <alignment horizontal="center"/>
    </xf>
    <xf numFmtId="0" fontId="0" fillId="2" borderId="84" xfId="0" applyFont="1" applyFill="1" applyBorder="1"/>
    <xf numFmtId="0" fontId="0" fillId="0" borderId="84" xfId="0" applyFont="1" applyBorder="1"/>
    <xf numFmtId="22" fontId="0" fillId="15" borderId="79" xfId="0" applyNumberFormat="1" applyFont="1" applyFill="1" applyBorder="1"/>
    <xf numFmtId="0" fontId="0" fillId="16" borderId="0" xfId="0" applyFill="1"/>
    <xf numFmtId="0" fontId="0" fillId="17" borderId="0" xfId="0" applyFill="1"/>
    <xf numFmtId="0" fontId="0" fillId="18" borderId="0" xfId="0" applyFill="1"/>
    <xf numFmtId="0" fontId="33" fillId="18" borderId="0" xfId="0" applyFont="1" applyFill="1"/>
    <xf numFmtId="0" fontId="12" fillId="19" borderId="0" xfId="0" applyFont="1" applyFill="1" applyAlignment="1">
      <alignment vertical="center"/>
    </xf>
    <xf numFmtId="0" fontId="0" fillId="20" borderId="0" xfId="0" applyFill="1"/>
    <xf numFmtId="0" fontId="3" fillId="20" borderId="0" xfId="1" applyFill="1"/>
    <xf numFmtId="0" fontId="0" fillId="21" borderId="0" xfId="0" applyFill="1"/>
    <xf numFmtId="0" fontId="2" fillId="21" borderId="2" xfId="0" applyFont="1" applyFill="1" applyBorder="1"/>
    <xf numFmtId="0" fontId="0" fillId="21" borderId="2" xfId="0" applyFill="1" applyBorder="1"/>
    <xf numFmtId="0" fontId="0" fillId="21" borderId="5" xfId="0" applyFill="1" applyBorder="1"/>
    <xf numFmtId="0" fontId="12" fillId="22" borderId="5" xfId="0" applyFont="1" applyFill="1" applyBorder="1" applyAlignment="1">
      <alignment vertical="center"/>
    </xf>
    <xf numFmtId="0" fontId="2" fillId="21" borderId="0" xfId="0" applyFont="1" applyFill="1"/>
    <xf numFmtId="0" fontId="0" fillId="21" borderId="88" xfId="0" applyFill="1" applyBorder="1"/>
    <xf numFmtId="0" fontId="2" fillId="21" borderId="80" xfId="0" applyFont="1" applyFill="1" applyBorder="1"/>
    <xf numFmtId="0" fontId="0" fillId="21" borderId="80" xfId="0" applyFill="1" applyBorder="1"/>
    <xf numFmtId="0" fontId="0" fillId="21" borderId="89" xfId="0" applyFill="1" applyBorder="1"/>
    <xf numFmtId="0" fontId="2" fillId="21" borderId="3" xfId="0" applyFont="1" applyFill="1" applyBorder="1"/>
    <xf numFmtId="0" fontId="0" fillId="21" borderId="3" xfId="0" applyFill="1" applyBorder="1"/>
    <xf numFmtId="0" fontId="0" fillId="21" borderId="90" xfId="0" applyFill="1" applyBorder="1"/>
    <xf numFmtId="0" fontId="16" fillId="18" borderId="0" xfId="0" applyFont="1" applyFill="1"/>
    <xf numFmtId="0" fontId="34" fillId="0" borderId="0" xfId="0" applyFont="1" applyAlignment="1">
      <alignment horizontal="center"/>
    </xf>
    <xf numFmtId="0" fontId="34" fillId="0" borderId="0" xfId="0" applyFont="1"/>
    <xf numFmtId="0" fontId="34" fillId="0" borderId="0" xfId="0" applyFont="1" applyAlignment="1">
      <alignment wrapText="1"/>
    </xf>
    <xf numFmtId="0" fontId="34" fillId="0" borderId="0" xfId="0" applyFont="1" applyAlignment="1"/>
    <xf numFmtId="22" fontId="0" fillId="0" borderId="85" xfId="0" applyNumberFormat="1" applyFont="1" applyBorder="1"/>
    <xf numFmtId="22" fontId="0" fillId="2" borderId="85" xfId="0" applyNumberFormat="1" applyFont="1" applyFill="1" applyBorder="1"/>
    <xf numFmtId="0" fontId="0" fillId="2" borderId="7" xfId="0" applyFont="1" applyFill="1" applyBorder="1"/>
    <xf numFmtId="22" fontId="0" fillId="0" borderId="87" xfId="0" applyNumberFormat="1" applyFont="1" applyBorder="1"/>
    <xf numFmtId="0" fontId="0" fillId="0" borderId="91" xfId="0" applyFont="1" applyBorder="1"/>
    <xf numFmtId="22" fontId="0" fillId="2" borderId="86" xfId="0" applyNumberFormat="1" applyFont="1" applyFill="1" applyBorder="1"/>
    <xf numFmtId="22" fontId="0" fillId="2" borderId="87" xfId="0" applyNumberFormat="1" applyFont="1" applyFill="1" applyBorder="1"/>
    <xf numFmtId="0" fontId="0" fillId="2" borderId="91" xfId="0" applyFont="1" applyFill="1" applyBorder="1"/>
    <xf numFmtId="22" fontId="0" fillId="0" borderId="86" xfId="0" applyNumberFormat="1" applyFont="1" applyBorder="1"/>
    <xf numFmtId="22" fontId="0" fillId="2" borderId="1" xfId="0" applyNumberFormat="1" applyFont="1" applyFill="1" applyBorder="1"/>
    <xf numFmtId="0" fontId="0" fillId="2" borderId="1" xfId="0" applyFont="1" applyFill="1" applyBorder="1"/>
    <xf numFmtId="22" fontId="0" fillId="0" borderId="1" xfId="0" applyNumberFormat="1" applyFont="1" applyBorder="1"/>
    <xf numFmtId="0" fontId="0" fillId="0" borderId="1" xfId="0" applyFont="1" applyBorder="1"/>
    <xf numFmtId="0" fontId="2" fillId="2" borderId="1" xfId="0" applyFont="1" applyFill="1" applyBorder="1"/>
    <xf numFmtId="22" fontId="0" fillId="0" borderId="1" xfId="0" applyNumberFormat="1" applyBorder="1"/>
    <xf numFmtId="0" fontId="31" fillId="13" borderId="85" xfId="0" applyFont="1" applyFill="1" applyBorder="1" applyAlignment="1">
      <alignment wrapText="1"/>
    </xf>
    <xf numFmtId="0" fontId="31" fillId="13" borderId="7" xfId="0" applyFont="1" applyFill="1" applyBorder="1" applyAlignment="1">
      <alignment wrapText="1"/>
    </xf>
    <xf numFmtId="0" fontId="31" fillId="13" borderId="0" xfId="0" applyFont="1" applyFill="1" applyBorder="1" applyAlignment="1">
      <alignment wrapText="1"/>
    </xf>
    <xf numFmtId="0" fontId="39" fillId="0" borderId="0" xfId="0" applyFont="1" applyAlignment="1">
      <alignment horizontal="center" wrapText="1"/>
    </xf>
    <xf numFmtId="0" fontId="39" fillId="0" borderId="1" xfId="0" applyFont="1" applyBorder="1" applyAlignment="1">
      <alignment horizontal="center" wrapText="1"/>
    </xf>
    <xf numFmtId="0" fontId="36" fillId="0" borderId="1" xfId="0" applyFont="1" applyBorder="1"/>
    <xf numFmtId="0" fontId="35" fillId="0" borderId="1" xfId="1" applyFont="1" applyBorder="1"/>
    <xf numFmtId="0" fontId="36" fillId="2" borderId="1" xfId="0" applyFont="1" applyFill="1" applyBorder="1"/>
    <xf numFmtId="0" fontId="34" fillId="0" borderId="1" xfId="0" applyFont="1" applyBorder="1"/>
    <xf numFmtId="0" fontId="34" fillId="0" borderId="1" xfId="0" applyFont="1" applyBorder="1" applyAlignment="1">
      <alignment horizontal="center"/>
    </xf>
    <xf numFmtId="0" fontId="34" fillId="0" borderId="1" xfId="0" applyFont="1" applyBorder="1" applyAlignment="1">
      <alignment wrapText="1"/>
    </xf>
    <xf numFmtId="0" fontId="34" fillId="0" borderId="1" xfId="0" applyFont="1" applyBorder="1" applyAlignment="1">
      <alignment horizontal="center" wrapText="1"/>
    </xf>
    <xf numFmtId="0" fontId="35" fillId="2" borderId="1" xfId="1" applyFont="1" applyFill="1" applyBorder="1"/>
    <xf numFmtId="14" fontId="34" fillId="0" borderId="1" xfId="0" applyNumberFormat="1" applyFont="1" applyBorder="1" applyAlignment="1">
      <alignment horizontal="center"/>
    </xf>
    <xf numFmtId="49" fontId="0" fillId="0" borderId="1" xfId="0" applyNumberFormat="1" applyFont="1" applyBorder="1" applyAlignment="1" applyProtection="1">
      <alignment horizontal="left" vertical="distributed" wrapText="1"/>
      <protection locked="0"/>
    </xf>
    <xf numFmtId="0" fontId="38" fillId="0" borderId="1" xfId="0" applyFont="1" applyBorder="1" applyAlignment="1">
      <alignment vertical="center" wrapText="1"/>
    </xf>
    <xf numFmtId="0" fontId="36" fillId="0" borderId="1" xfId="0" applyFont="1" applyBorder="1" applyAlignment="1">
      <alignment horizontal="center"/>
    </xf>
    <xf numFmtId="0" fontId="37" fillId="0" borderId="1" xfId="1" applyFont="1" applyBorder="1"/>
    <xf numFmtId="0" fontId="34" fillId="2" borderId="1" xfId="0" applyFont="1" applyFill="1" applyBorder="1"/>
    <xf numFmtId="0" fontId="37" fillId="2" borderId="1" xfId="1" applyFont="1" applyFill="1" applyBorder="1"/>
    <xf numFmtId="0" fontId="34" fillId="0" borderId="1" xfId="0" applyFont="1" applyBorder="1" applyAlignment="1"/>
    <xf numFmtId="0" fontId="0" fillId="21" borderId="0" xfId="0" applyFill="1" applyBorder="1"/>
    <xf numFmtId="0" fontId="0" fillId="21" borderId="92" xfId="0" applyFill="1" applyBorder="1"/>
    <xf numFmtId="0" fontId="0" fillId="0" borderId="3" xfId="0" applyBorder="1"/>
    <xf numFmtId="0" fontId="41" fillId="21" borderId="0" xfId="0" applyFont="1" applyFill="1"/>
    <xf numFmtId="0" fontId="0" fillId="0" borderId="0" xfId="0" applyNumberFormat="1"/>
    <xf numFmtId="14" fontId="4" fillId="2" borderId="85" xfId="0" applyNumberFormat="1" applyFont="1" applyFill="1" applyBorder="1" applyAlignment="1">
      <alignment vertical="top"/>
    </xf>
    <xf numFmtId="0" fontId="4" fillId="2" borderId="7" xfId="0" applyFont="1" applyFill="1" applyBorder="1" applyAlignment="1">
      <alignment vertical="top"/>
    </xf>
    <xf numFmtId="0" fontId="4" fillId="2" borderId="7" xfId="0" applyFont="1" applyFill="1" applyBorder="1" applyAlignment="1">
      <alignment vertical="top" wrapText="1"/>
    </xf>
    <xf numFmtId="0" fontId="4" fillId="2" borderId="93" xfId="0" applyFont="1" applyFill="1" applyBorder="1" applyAlignment="1">
      <alignment vertical="top"/>
    </xf>
    <xf numFmtId="14" fontId="4" fillId="0" borderId="85" xfId="0" applyNumberFormat="1" applyFont="1" applyBorder="1" applyAlignment="1">
      <alignment vertical="top"/>
    </xf>
    <xf numFmtId="0" fontId="4" fillId="0" borderId="7" xfId="0" applyFont="1" applyBorder="1" applyAlignment="1">
      <alignment vertical="top"/>
    </xf>
    <xf numFmtId="0" fontId="4" fillId="0" borderId="7" xfId="0" applyFont="1" applyBorder="1" applyAlignment="1">
      <alignment vertical="top" wrapText="1"/>
    </xf>
    <xf numFmtId="0" fontId="4" fillId="0" borderId="93" xfId="0" applyFont="1" applyBorder="1" applyAlignment="1">
      <alignment vertical="top"/>
    </xf>
    <xf numFmtId="14" fontId="4" fillId="2" borderId="7" xfId="0" applyNumberFormat="1" applyFont="1" applyFill="1" applyBorder="1" applyAlignment="1">
      <alignment vertical="top"/>
    </xf>
    <xf numFmtId="14" fontId="4" fillId="0" borderId="7" xfId="0" applyNumberFormat="1" applyFont="1" applyBorder="1" applyAlignment="1">
      <alignment vertical="top"/>
    </xf>
    <xf numFmtId="14" fontId="42" fillId="13" borderId="0" xfId="0" applyNumberFormat="1" applyFont="1" applyFill="1" applyBorder="1" applyAlignment="1">
      <alignment horizontal="center" vertical="top"/>
    </xf>
    <xf numFmtId="0" fontId="42" fillId="13" borderId="0" xfId="0" applyFont="1" applyFill="1" applyBorder="1" applyAlignment="1">
      <alignment horizontal="center" vertical="top"/>
    </xf>
    <xf numFmtId="0" fontId="42" fillId="13" borderId="0" xfId="0" applyFont="1" applyFill="1" applyBorder="1" applyAlignment="1">
      <alignment horizontal="center" vertical="top" wrapText="1"/>
    </xf>
    <xf numFmtId="0" fontId="11" fillId="21" borderId="0" xfId="0" applyFont="1" applyFill="1"/>
    <xf numFmtId="0" fontId="0" fillId="21" borderId="94" xfId="0" applyFill="1" applyBorder="1"/>
    <xf numFmtId="0" fontId="0" fillId="0" borderId="84" xfId="0" applyBorder="1"/>
    <xf numFmtId="0" fontId="4" fillId="0" borderId="32" xfId="0" applyFont="1" applyBorder="1" applyAlignment="1" applyProtection="1">
      <alignment horizontal="left" vertical="top" wrapText="1"/>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5" xfId="2" applyFont="1" applyBorder="1" applyProtection="1">
      <protection locked="0"/>
    </xf>
    <xf numFmtId="0" fontId="15" fillId="7" borderId="59" xfId="2" applyBorder="1" applyProtection="1">
      <protection locked="0"/>
    </xf>
    <xf numFmtId="0" fontId="15" fillId="7" borderId="60" xfId="2" applyBorder="1" applyProtection="1">
      <protection locked="0"/>
    </xf>
    <xf numFmtId="0" fontId="15" fillId="7" borderId="61" xfId="2" applyBorder="1" applyProtection="1">
      <protection locked="0"/>
    </xf>
    <xf numFmtId="0" fontId="15" fillId="7" borderId="62" xfId="2" applyBorder="1" applyProtection="1">
      <protection locked="0"/>
    </xf>
    <xf numFmtId="0" fontId="15" fillId="7" borderId="63" xfId="2" applyBorder="1" applyProtection="1">
      <protection locked="0"/>
    </xf>
    <xf numFmtId="0" fontId="15" fillId="7" borderId="64"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6" fillId="7" borderId="59" xfId="2" applyFont="1" applyBorder="1" applyProtection="1">
      <protection locked="0"/>
    </xf>
    <xf numFmtId="0" fontId="6" fillId="7" borderId="60" xfId="2" applyFont="1" applyBorder="1" applyProtection="1">
      <protection locked="0"/>
    </xf>
    <xf numFmtId="0" fontId="6" fillId="7" borderId="61" xfId="2" applyFont="1" applyBorder="1" applyProtection="1">
      <protection locked="0"/>
    </xf>
    <xf numFmtId="0" fontId="15" fillId="7" borderId="22" xfId="2" applyProtection="1">
      <protection locked="0"/>
    </xf>
    <xf numFmtId="0" fontId="6" fillId="7" borderId="25" xfId="2" applyFont="1" applyBorder="1" applyProtection="1">
      <protection locked="0"/>
    </xf>
    <xf numFmtId="0" fontId="6" fillId="7" borderId="26" xfId="2" applyFont="1" applyBorder="1" applyProtection="1">
      <protection locked="0"/>
    </xf>
    <xf numFmtId="0" fontId="6" fillId="7" borderId="56" xfId="2" applyFont="1" applyBorder="1" applyProtection="1">
      <protection locked="0"/>
    </xf>
    <xf numFmtId="0" fontId="6" fillId="7" borderId="57" xfId="2" applyFont="1" applyBorder="1" applyProtection="1">
      <protection locked="0"/>
    </xf>
    <xf numFmtId="0" fontId="6" fillId="7" borderId="58" xfId="2" applyFont="1" applyBorder="1" applyProtection="1">
      <protection locked="0"/>
    </xf>
    <xf numFmtId="0" fontId="6" fillId="7" borderId="9" xfId="2" applyFont="1" applyBorder="1" applyProtection="1">
      <protection locked="0"/>
    </xf>
    <xf numFmtId="0" fontId="34" fillId="2" borderId="1" xfId="0" applyFont="1" applyFill="1" applyBorder="1" applyAlignment="1">
      <alignment horizontal="center" vertical="center"/>
    </xf>
    <xf numFmtId="0" fontId="34" fillId="0" borderId="1" xfId="0" applyFont="1" applyBorder="1" applyAlignment="1">
      <alignment horizontal="center" vertical="center"/>
    </xf>
    <xf numFmtId="0" fontId="37" fillId="2" borderId="1" xfId="1" applyFont="1" applyFill="1" applyBorder="1" applyAlignment="1">
      <alignment horizontal="left" vertical="center"/>
    </xf>
    <xf numFmtId="0" fontId="37" fillId="0" borderId="1" xfId="1" applyFont="1" applyBorder="1" applyAlignment="1">
      <alignment vertical="center"/>
    </xf>
  </cellXfs>
  <cellStyles count="4">
    <cellStyle name="Hyperlink" xfId="1" builtinId="8"/>
    <cellStyle name="Input" xfId="2" builtinId="20"/>
    <cellStyle name="Normal" xfId="0" builtinId="0"/>
    <cellStyle name="Warning Text" xfId="3" builtinId="11"/>
  </cellStyles>
  <dxfs count="14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9"/>
        <color theme="1"/>
        <name val="Calibri"/>
        <family val="2"/>
        <scheme val="minor"/>
      </font>
      <numFmt numFmtId="19" formatCode="m/d/yyyy"/>
      <alignment horizontal="general" vertical="top"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i val="0"/>
        <strike val="0"/>
        <condense val="0"/>
        <extend val="0"/>
        <outline val="0"/>
        <shadow val="0"/>
        <u val="none"/>
        <vertAlign val="baseline"/>
        <sz val="9"/>
        <color theme="0"/>
        <name val="Calibri"/>
        <family val="2"/>
        <scheme val="minor"/>
      </font>
      <fill>
        <patternFill patternType="solid">
          <fgColor theme="4"/>
          <bgColor theme="4"/>
        </patternFill>
      </fill>
      <alignment horizontal="center"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30</xdr:row>
      <xdr:rowOff>48175</xdr:rowOff>
    </xdr:from>
    <xdr:to>
      <xdr:col>18</xdr:col>
      <xdr:colOff>997078</xdr:colOff>
      <xdr:row>40</xdr:row>
      <xdr:rowOff>63046</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102167" y="5551508"/>
          <a:ext cx="2521078" cy="1888122"/>
        </a:xfrm>
        <a:prstGeom prst="rect">
          <a:avLst/>
        </a:prstGeom>
      </xdr:spPr>
    </xdr:pic>
    <xdr:clientData/>
  </xdr:twoCellAnchor>
  <xdr:twoCellAnchor editAs="oneCell">
    <xdr:from>
      <xdr:col>19</xdr:col>
      <xdr:colOff>126522</xdr:colOff>
      <xdr:row>30</xdr:row>
      <xdr:rowOff>0</xdr:rowOff>
    </xdr:from>
    <xdr:to>
      <xdr:col>23</xdr:col>
      <xdr:colOff>217792</xdr:colOff>
      <xdr:row>40</xdr:row>
      <xdr:rowOff>84666</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5853355" y="5503333"/>
          <a:ext cx="2768854" cy="19579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28</xdr:row>
      <xdr:rowOff>0</xdr:rowOff>
    </xdr:from>
    <xdr:to>
      <xdr:col>20</xdr:col>
      <xdr:colOff>399105</xdr:colOff>
      <xdr:row>43</xdr:row>
      <xdr:rowOff>153460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3123333" y="5132917"/>
          <a:ext cx="3627022" cy="2936876"/>
        </a:xfrm>
        <a:prstGeom prst="rect">
          <a:avLst/>
        </a:prstGeom>
      </xdr:spPr>
    </xdr:pic>
    <xdr:clientData/>
  </xdr:twoCellAnchor>
  <xdr:twoCellAnchor editAs="oneCell">
    <xdr:from>
      <xdr:col>20</xdr:col>
      <xdr:colOff>519256</xdr:colOff>
      <xdr:row>28</xdr:row>
      <xdr:rowOff>31749</xdr:rowOff>
    </xdr:from>
    <xdr:to>
      <xdr:col>26</xdr:col>
      <xdr:colOff>211280</xdr:colOff>
      <xdr:row>43</xdr:row>
      <xdr:rowOff>151056</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stretch>
          <a:fillRect/>
        </a:stretch>
      </xdr:blipFill>
      <xdr:spPr>
        <a:xfrm>
          <a:off x="16870506" y="5164666"/>
          <a:ext cx="3597274" cy="290272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572745</xdr:colOff>
      <xdr:row>26</xdr:row>
      <xdr:rowOff>186763</xdr:rowOff>
    </xdr:from>
    <xdr:to>
      <xdr:col>26</xdr:col>
      <xdr:colOff>24903</xdr:colOff>
      <xdr:row>54</xdr:row>
      <xdr:rowOff>141919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2413627" y="4980390"/>
          <a:ext cx="7794315" cy="5399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Downloads/Transfection%20Tracker_v2.0520.1%2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20mChOCT4sg2"/>
      <sheetName val="Data"/>
      <sheetName val="ActivityList"/>
      <sheetName val="Cell Samples"/>
      <sheetName val="Data validation criteria"/>
      <sheetName val="TransfectionsReport"/>
      <sheetName val="FreezeReport"/>
      <sheetName val="DiscontinueReport"/>
      <sheetName val="Clone Report"/>
      <sheetName val="Passage#s200120_B9"/>
    </sheetNames>
    <sheetDataSet>
      <sheetData sheetId="0" refreshError="1"/>
      <sheetData sheetId="1">
        <row r="3">
          <cell r="N3">
            <v>44269</v>
          </cell>
        </row>
        <row r="5">
          <cell r="B5" t="str">
            <v>20200318GFPSOX2sg3_A1_Sort2</v>
          </cell>
          <cell r="C5" t="str">
            <v>Passage</v>
          </cell>
          <cell r="D5">
            <v>5</v>
          </cell>
          <cell r="E5">
            <v>6</v>
          </cell>
          <cell r="F5"/>
          <cell r="G5"/>
          <cell r="H5" t="str">
            <v>20210208GFPSOX2sg3_F9_Sort1</v>
          </cell>
          <cell r="I5" t="str">
            <v>Passage</v>
          </cell>
          <cell r="J5">
            <v>1</v>
          </cell>
          <cell r="K5">
            <v>12</v>
          </cell>
          <cell r="L5"/>
          <cell r="M5"/>
          <cell r="N5" t="str">
            <v>20210208GFPSOX2sg3_E7_Sort1</v>
          </cell>
          <cell r="O5" t="str">
            <v>Passage</v>
          </cell>
          <cell r="P5">
            <v>5</v>
          </cell>
          <cell r="Q5">
            <v>6</v>
          </cell>
          <cell r="R5"/>
          <cell r="S5"/>
        </row>
        <row r="6">
          <cell r="B6" t="str">
            <v>20210208GFPSOX2sg3_E7</v>
          </cell>
          <cell r="C6" t="str">
            <v>Passage</v>
          </cell>
          <cell r="D6">
            <v>5</v>
          </cell>
          <cell r="E6">
            <v>6</v>
          </cell>
          <cell r="F6"/>
          <cell r="G6"/>
          <cell r="H6" t="str">
            <v>20200318GFPSOX2sg3_E12_Sort4</v>
          </cell>
          <cell r="I6" t="str">
            <v>Passage</v>
          </cell>
          <cell r="J6">
            <v>1</v>
          </cell>
          <cell r="K6">
            <v>6</v>
          </cell>
          <cell r="L6"/>
          <cell r="M6"/>
          <cell r="N6" t="str">
            <v>20210208GFPSOX2sg3_F9_Sort1</v>
          </cell>
          <cell r="O6" t="str">
            <v>Passage</v>
          </cell>
          <cell r="P6">
            <v>5</v>
          </cell>
          <cell r="Q6">
            <v>6</v>
          </cell>
          <cell r="R6"/>
          <cell r="S6"/>
        </row>
        <row r="7">
          <cell r="B7" t="str">
            <v>20210208GFPSOX2sg3_F9</v>
          </cell>
          <cell r="C7" t="str">
            <v>Passage</v>
          </cell>
          <cell r="D7">
            <v>5</v>
          </cell>
          <cell r="E7">
            <v>6</v>
          </cell>
          <cell r="F7"/>
          <cell r="G7"/>
          <cell r="H7" t="str">
            <v>20210208GFPSOX2sg3_E7_Sort1</v>
          </cell>
          <cell r="I7"/>
          <cell r="J7"/>
          <cell r="K7"/>
          <cell r="L7" t="str">
            <v>fed w mTESR</v>
          </cell>
          <cell r="M7"/>
          <cell r="N7" t="str">
            <v>20200318GFPSOX2sg3_A3_Sort4</v>
          </cell>
          <cell r="O7" t="str">
            <v>Feed w mTeSR++Ri</v>
          </cell>
          <cell r="P7">
            <v>5</v>
          </cell>
          <cell r="Q7">
            <v>10</v>
          </cell>
          <cell r="R7"/>
          <cell r="S7"/>
        </row>
        <row r="8">
          <cell r="B8"/>
          <cell r="C8"/>
          <cell r="D8"/>
          <cell r="E8"/>
          <cell r="F8"/>
          <cell r="G8"/>
          <cell r="H8" t="str">
            <v>WTC11</v>
          </cell>
          <cell r="I8" t="str">
            <v>Thaw</v>
          </cell>
          <cell r="J8">
            <v>2</v>
          </cell>
          <cell r="K8">
            <v>6</v>
          </cell>
          <cell r="L8" t="str">
            <v>In mTeSR1+Ri.</v>
          </cell>
          <cell r="M8"/>
          <cell r="N8" t="str">
            <v>20200318GFPSOX2sg3_A3_Sort4</v>
          </cell>
          <cell r="O8" t="str">
            <v>Feed w mTeSr+</v>
          </cell>
          <cell r="P8">
            <v>5</v>
          </cell>
          <cell r="Q8">
            <v>10</v>
          </cell>
          <cell r="R8"/>
          <cell r="S8"/>
        </row>
        <row r="9">
          <cell r="B9"/>
          <cell r="C9"/>
          <cell r="D9"/>
          <cell r="E9"/>
          <cell r="F9"/>
          <cell r="G9"/>
          <cell r="H9" t="str">
            <v>20200318GFPSOX2sg3_A3_Sort4</v>
          </cell>
          <cell r="I9" t="str">
            <v>Passage</v>
          </cell>
          <cell r="J9">
            <v>1</v>
          </cell>
          <cell r="K9">
            <v>6</v>
          </cell>
          <cell r="L9"/>
          <cell r="M9"/>
          <cell r="N9"/>
          <cell r="O9"/>
          <cell r="P9"/>
          <cell r="Q9"/>
          <cell r="R9"/>
          <cell r="S9"/>
        </row>
        <row r="10">
          <cell r="B10"/>
          <cell r="C10"/>
          <cell r="D10"/>
          <cell r="E10"/>
          <cell r="F10"/>
          <cell r="G10"/>
          <cell r="H10"/>
          <cell r="I10"/>
          <cell r="J10"/>
          <cell r="K10"/>
          <cell r="L10"/>
          <cell r="M10"/>
          <cell r="N10"/>
          <cell r="O10"/>
          <cell r="P10"/>
          <cell r="Q10"/>
          <cell r="R10"/>
          <cell r="S10"/>
        </row>
        <row r="11">
          <cell r="B11"/>
          <cell r="C11"/>
          <cell r="D11"/>
          <cell r="E11"/>
          <cell r="F11"/>
          <cell r="G11"/>
          <cell r="H11"/>
          <cell r="I11"/>
          <cell r="J11"/>
          <cell r="K11"/>
          <cell r="L11"/>
          <cell r="M11"/>
          <cell r="N11"/>
          <cell r="O11"/>
          <cell r="P11"/>
          <cell r="Q11"/>
          <cell r="R11"/>
          <cell r="S11"/>
        </row>
        <row r="12">
          <cell r="B12"/>
          <cell r="C12"/>
          <cell r="D12"/>
          <cell r="E12"/>
          <cell r="F12"/>
          <cell r="G12"/>
          <cell r="H12"/>
          <cell r="I12"/>
          <cell r="J12"/>
          <cell r="K12"/>
          <cell r="L12"/>
          <cell r="M12"/>
          <cell r="N12"/>
          <cell r="O12"/>
          <cell r="P12"/>
          <cell r="Q12"/>
          <cell r="R12"/>
          <cell r="S12"/>
        </row>
        <row r="13">
          <cell r="B13"/>
          <cell r="C13"/>
          <cell r="D13"/>
          <cell r="E13"/>
          <cell r="F13"/>
          <cell r="G13"/>
          <cell r="H13"/>
          <cell r="I13"/>
          <cell r="J13"/>
          <cell r="K13"/>
          <cell r="L13"/>
          <cell r="M13"/>
          <cell r="N13"/>
          <cell r="O13"/>
          <cell r="P13"/>
          <cell r="Q13"/>
          <cell r="R13"/>
          <cell r="S13"/>
        </row>
        <row r="14">
          <cell r="B14"/>
          <cell r="C14"/>
          <cell r="D14"/>
          <cell r="E14"/>
          <cell r="F14"/>
          <cell r="G14"/>
          <cell r="H14"/>
          <cell r="I14"/>
          <cell r="J14"/>
          <cell r="K14"/>
          <cell r="L14"/>
          <cell r="M14"/>
          <cell r="N14"/>
          <cell r="O14"/>
          <cell r="P14"/>
          <cell r="Q14"/>
          <cell r="R14"/>
          <cell r="S14"/>
        </row>
        <row r="15">
          <cell r="B15"/>
          <cell r="C15"/>
          <cell r="D15"/>
          <cell r="E15"/>
          <cell r="F15"/>
          <cell r="G15"/>
          <cell r="H15"/>
          <cell r="I15"/>
          <cell r="J15"/>
          <cell r="K15"/>
          <cell r="L15"/>
          <cell r="M15"/>
          <cell r="N15"/>
          <cell r="O15"/>
          <cell r="P15"/>
          <cell r="Q15"/>
          <cell r="R15"/>
          <cell r="S15"/>
        </row>
        <row r="16">
          <cell r="B16"/>
          <cell r="C16"/>
          <cell r="D16"/>
          <cell r="E16"/>
          <cell r="F16"/>
          <cell r="G16"/>
          <cell r="H16"/>
          <cell r="I16"/>
          <cell r="J16"/>
          <cell r="K16"/>
          <cell r="L16"/>
          <cell r="M16"/>
          <cell r="N16"/>
          <cell r="O16"/>
          <cell r="P16"/>
          <cell r="Q16"/>
          <cell r="R16"/>
          <cell r="S16"/>
        </row>
        <row r="17">
          <cell r="B17"/>
          <cell r="C17"/>
          <cell r="D17"/>
          <cell r="E17"/>
          <cell r="F17"/>
          <cell r="G17"/>
          <cell r="H17"/>
          <cell r="I17"/>
          <cell r="J17"/>
          <cell r="K17"/>
          <cell r="L17"/>
          <cell r="M17"/>
          <cell r="N17"/>
          <cell r="O17"/>
          <cell r="P17"/>
          <cell r="Q17"/>
          <cell r="R17"/>
          <cell r="S17"/>
        </row>
        <row r="18">
          <cell r="B18"/>
          <cell r="C18"/>
          <cell r="D18"/>
          <cell r="E18"/>
          <cell r="F18"/>
          <cell r="G18"/>
          <cell r="H18"/>
          <cell r="I18"/>
          <cell r="J18"/>
          <cell r="K18"/>
          <cell r="L18"/>
          <cell r="M18"/>
          <cell r="N18"/>
          <cell r="O18"/>
          <cell r="P18"/>
          <cell r="Q18"/>
          <cell r="R18"/>
          <cell r="S18"/>
        </row>
        <row r="19">
          <cell r="B19"/>
          <cell r="C19"/>
          <cell r="D19"/>
          <cell r="E19"/>
          <cell r="F19"/>
          <cell r="G19"/>
          <cell r="H19"/>
          <cell r="I19"/>
          <cell r="J19"/>
          <cell r="K19"/>
          <cell r="L19"/>
          <cell r="M19"/>
          <cell r="N19"/>
          <cell r="O19"/>
          <cell r="P19"/>
          <cell r="Q19"/>
          <cell r="R19"/>
          <cell r="S19"/>
        </row>
        <row r="21">
          <cell r="B21"/>
          <cell r="H21"/>
          <cell r="N21"/>
        </row>
        <row r="25">
          <cell r="B25" t="str">
            <v>WTC11</v>
          </cell>
          <cell r="C25" t="str">
            <v>Passage</v>
          </cell>
          <cell r="D25"/>
          <cell r="E25"/>
          <cell r="F25" t="str">
            <v>Passage 49. Used for control during FACS.</v>
          </cell>
          <cell r="G25"/>
          <cell r="H25" t="str">
            <v>20210208GFPSOX2sg3_E7_Sort1</v>
          </cell>
          <cell r="I25" t="str">
            <v>Passage</v>
          </cell>
          <cell r="J25">
            <v>1</v>
          </cell>
          <cell r="K25">
            <v>12</v>
          </cell>
          <cell r="L25"/>
          <cell r="M25"/>
          <cell r="N25" t="str">
            <v>20210208GFPSOX2sg3_E7_Sort1</v>
          </cell>
          <cell r="O25" t="str">
            <v>Feed w Ri</v>
          </cell>
          <cell r="P25">
            <v>5</v>
          </cell>
          <cell r="Q25">
            <v>6</v>
          </cell>
          <cell r="R25"/>
          <cell r="S25"/>
        </row>
        <row r="26">
          <cell r="B26" t="str">
            <v>20200318GFPSOX2sg3_A3_Sort3</v>
          </cell>
          <cell r="C26" t="str">
            <v>Passage</v>
          </cell>
          <cell r="D26">
            <v>1</v>
          </cell>
          <cell r="E26">
            <v>6</v>
          </cell>
          <cell r="F26" t="str">
            <v xml:space="preserve">Evaluation of distribution of fluorescent population. </v>
          </cell>
          <cell r="G26"/>
          <cell r="H26" t="str">
            <v>20210208GFPSOX2sg3_F9_Sort1</v>
          </cell>
          <cell r="I26" t="str">
            <v>Feed w Ri</v>
          </cell>
          <cell r="J26">
            <v>1</v>
          </cell>
          <cell r="K26">
            <v>12</v>
          </cell>
          <cell r="L26"/>
          <cell r="M26"/>
          <cell r="N26" t="str">
            <v>20210208GFPSOX2sg3_F9_Sort1</v>
          </cell>
          <cell r="O26" t="str">
            <v>Feed w Ri</v>
          </cell>
          <cell r="P26">
            <v>5</v>
          </cell>
          <cell r="Q26">
            <v>6</v>
          </cell>
          <cell r="R26"/>
          <cell r="S26"/>
        </row>
        <row r="27">
          <cell r="B27" t="str">
            <v>20210208GFPSOX2sg3_E7</v>
          </cell>
          <cell r="C27" t="str">
            <v>Feed w Ri</v>
          </cell>
          <cell r="D27">
            <v>5</v>
          </cell>
          <cell r="E27">
            <v>6</v>
          </cell>
          <cell r="F27"/>
          <cell r="G27"/>
          <cell r="H27" t="str">
            <v>20200318GFPSOX2sg3_A3_Sort4</v>
          </cell>
          <cell r="I27" t="str">
            <v>Feed w mTeSR++Ri</v>
          </cell>
          <cell r="J27">
            <v>1</v>
          </cell>
          <cell r="K27">
            <v>6</v>
          </cell>
          <cell r="L27"/>
          <cell r="M27"/>
          <cell r="N27" t="str">
            <v>20200318GFPSOX2sg3_A3_Sort4</v>
          </cell>
          <cell r="O27" t="str">
            <v>Feed w mTeSr+</v>
          </cell>
          <cell r="P27">
            <v>5</v>
          </cell>
          <cell r="Q27">
            <v>10</v>
          </cell>
          <cell r="R27"/>
          <cell r="S27"/>
        </row>
        <row r="28">
          <cell r="B28" t="str">
            <v>20210208GFPSOX2sg3_F9</v>
          </cell>
          <cell r="C28" t="str">
            <v>Feed w Ri</v>
          </cell>
          <cell r="D28">
            <v>5</v>
          </cell>
          <cell r="E28">
            <v>6</v>
          </cell>
          <cell r="F28"/>
          <cell r="G28"/>
          <cell r="H28" t="str">
            <v>20200318GFPSOX2sg3_E12_Sort4</v>
          </cell>
          <cell r="I28" t="str">
            <v>Feed w mTeSr+</v>
          </cell>
          <cell r="J28">
            <v>1</v>
          </cell>
          <cell r="K28">
            <v>6</v>
          </cell>
          <cell r="L28"/>
          <cell r="M28"/>
          <cell r="N28" t="str">
            <v>20200318GFPSOX2sg3_E12_Sort4</v>
          </cell>
          <cell r="O28" t="str">
            <v>Feed w mTeSr+</v>
          </cell>
          <cell r="P28">
            <v>5</v>
          </cell>
          <cell r="Q28">
            <v>10</v>
          </cell>
          <cell r="R28"/>
          <cell r="S28"/>
        </row>
        <row r="29">
          <cell r="B29" t="str">
            <v>20200318GFPSOX2sg3_A3_Sort3</v>
          </cell>
          <cell r="C29" t="str">
            <v>Sort</v>
          </cell>
          <cell r="D29">
            <v>1</v>
          </cell>
          <cell r="E29">
            <v>12</v>
          </cell>
          <cell r="F29" t="str">
            <v>matrigel20210218. Counted 1.7x10e6/mL. First sort @ 3x10e6 cells. On Ultra sort collected &lt;2% cell population @25000 intensity. 22K events/ 30min collected. Second sort,   Pool two sorts seeding 1 well of a 12 well.</v>
          </cell>
          <cell r="G29" t="str">
            <v>Sort4</v>
          </cell>
          <cell r="H29"/>
          <cell r="I29"/>
          <cell r="J29"/>
          <cell r="K29"/>
          <cell r="L29"/>
          <cell r="M29"/>
          <cell r="N29"/>
          <cell r="O29"/>
          <cell r="P29"/>
          <cell r="Q29"/>
          <cell r="R29"/>
          <cell r="S29"/>
        </row>
        <row r="30">
          <cell r="B30" t="str">
            <v>20200318GFPSOX2sg3_A3_Sort3</v>
          </cell>
          <cell r="C30" t="str">
            <v>Freeze</v>
          </cell>
          <cell r="D30">
            <v>4</v>
          </cell>
          <cell r="E30" t="str">
            <v>VIALS</v>
          </cell>
          <cell r="F30" t="str">
            <v>~1.5x10e6/vial.</v>
          </cell>
          <cell r="G30"/>
          <cell r="H30"/>
          <cell r="I30"/>
          <cell r="J30"/>
          <cell r="K30"/>
          <cell r="L30"/>
          <cell r="M30"/>
          <cell r="N30"/>
          <cell r="O30"/>
          <cell r="P30"/>
          <cell r="Q30"/>
          <cell r="R30"/>
          <cell r="S30"/>
        </row>
        <row r="31">
          <cell r="B31"/>
          <cell r="C31"/>
          <cell r="D31"/>
          <cell r="E31"/>
          <cell r="F31"/>
          <cell r="G31"/>
          <cell r="H31"/>
          <cell r="I31"/>
          <cell r="J31"/>
          <cell r="K31"/>
          <cell r="L31"/>
          <cell r="M31"/>
          <cell r="N31"/>
          <cell r="O31"/>
          <cell r="P31"/>
          <cell r="Q31"/>
          <cell r="R31"/>
          <cell r="S31"/>
        </row>
        <row r="32">
          <cell r="B32"/>
          <cell r="C32"/>
          <cell r="D32"/>
          <cell r="E32"/>
          <cell r="F32"/>
          <cell r="G32"/>
          <cell r="H32"/>
          <cell r="I32"/>
          <cell r="J32"/>
          <cell r="K32"/>
          <cell r="L32"/>
          <cell r="M32"/>
          <cell r="N32"/>
          <cell r="O32"/>
          <cell r="P32"/>
          <cell r="Q32"/>
          <cell r="R32"/>
          <cell r="S32"/>
        </row>
        <row r="33">
          <cell r="B33"/>
          <cell r="C33"/>
          <cell r="D33"/>
          <cell r="E33"/>
          <cell r="F33"/>
          <cell r="G33"/>
          <cell r="H33"/>
          <cell r="I33"/>
          <cell r="J33"/>
          <cell r="K33"/>
          <cell r="L33"/>
          <cell r="M33"/>
          <cell r="N33"/>
          <cell r="O33"/>
          <cell r="P33"/>
          <cell r="Q33"/>
          <cell r="R33"/>
          <cell r="S33"/>
        </row>
        <row r="34">
          <cell r="B34"/>
          <cell r="C34"/>
          <cell r="D34"/>
          <cell r="E34"/>
          <cell r="F34"/>
          <cell r="G34"/>
          <cell r="H34"/>
          <cell r="I34"/>
          <cell r="J34"/>
          <cell r="K34"/>
          <cell r="L34"/>
          <cell r="M34"/>
          <cell r="N34"/>
          <cell r="O34"/>
          <cell r="P34"/>
          <cell r="Q34"/>
          <cell r="R34"/>
          <cell r="S34"/>
        </row>
        <row r="35">
          <cell r="B35"/>
          <cell r="C35"/>
          <cell r="D35"/>
          <cell r="E35"/>
          <cell r="F35"/>
          <cell r="G35"/>
          <cell r="H35"/>
          <cell r="I35"/>
          <cell r="J35"/>
          <cell r="K35"/>
          <cell r="L35"/>
          <cell r="M35"/>
          <cell r="N35"/>
          <cell r="O35"/>
          <cell r="P35"/>
          <cell r="Q35"/>
          <cell r="R35"/>
          <cell r="S35"/>
        </row>
        <row r="36">
          <cell r="B36"/>
          <cell r="C36"/>
          <cell r="D36"/>
          <cell r="E36"/>
          <cell r="F36"/>
          <cell r="G36"/>
          <cell r="H36"/>
          <cell r="I36"/>
          <cell r="J36"/>
          <cell r="K36"/>
          <cell r="L36"/>
          <cell r="M36"/>
          <cell r="N36"/>
          <cell r="O36"/>
          <cell r="P36"/>
          <cell r="Q36"/>
          <cell r="R36"/>
          <cell r="S36"/>
        </row>
        <row r="37">
          <cell r="B37"/>
          <cell r="C37"/>
          <cell r="D37"/>
          <cell r="E37"/>
          <cell r="F37"/>
          <cell r="G37"/>
          <cell r="H37"/>
          <cell r="I37"/>
          <cell r="J37"/>
          <cell r="K37"/>
          <cell r="L37"/>
          <cell r="M37"/>
          <cell r="N37"/>
          <cell r="O37"/>
          <cell r="P37"/>
          <cell r="Q37"/>
          <cell r="R37"/>
          <cell r="S37"/>
        </row>
        <row r="38">
          <cell r="B38"/>
          <cell r="C38"/>
          <cell r="D38"/>
          <cell r="E38"/>
          <cell r="F38"/>
          <cell r="G38"/>
          <cell r="H38"/>
          <cell r="I38"/>
          <cell r="J38"/>
          <cell r="K38"/>
          <cell r="L38"/>
          <cell r="M38"/>
          <cell r="N38"/>
          <cell r="O38"/>
          <cell r="P38"/>
          <cell r="Q38"/>
          <cell r="R38"/>
          <cell r="S38"/>
        </row>
        <row r="39">
          <cell r="B39"/>
          <cell r="C39"/>
          <cell r="D39"/>
          <cell r="E39"/>
          <cell r="F39"/>
          <cell r="G39"/>
          <cell r="H39"/>
          <cell r="I39"/>
          <cell r="J39"/>
          <cell r="K39"/>
          <cell r="L39"/>
          <cell r="M39"/>
          <cell r="N39"/>
          <cell r="O39"/>
          <cell r="P39"/>
          <cell r="Q39"/>
          <cell r="R39"/>
          <cell r="S39"/>
        </row>
        <row r="41">
          <cell r="B41"/>
          <cell r="H41"/>
          <cell r="N41"/>
        </row>
        <row r="45">
          <cell r="B45" t="str">
            <v>20200318GFPSOX2sg3_E12_Sort3</v>
          </cell>
          <cell r="C45" t="str">
            <v>Sort</v>
          </cell>
          <cell r="D45">
            <v>1</v>
          </cell>
          <cell r="E45">
            <v>12</v>
          </cell>
          <cell r="F45" t="str">
            <v>matrigel20210218. Counted 1.8x10e6/mL. First sort @ 3x10e6 cells. On Ultra sort collected &gt;2% cell population @29000 intensity. 31K events/ 30min collected. Second sort,  40K events Pool two sorts seeding 1 well of a 12 well.</v>
          </cell>
          <cell r="G45" t="str">
            <v>Sort4</v>
          </cell>
          <cell r="H45" t="str">
            <v>20200318GFPSOX2sg3_E12_Sort4</v>
          </cell>
          <cell r="I45" t="str">
            <v>Passage</v>
          </cell>
          <cell r="J45">
            <v>5</v>
          </cell>
          <cell r="K45">
            <v>6</v>
          </cell>
          <cell r="L45"/>
          <cell r="M45"/>
          <cell r="N45" t="str">
            <v>20210208GFPSOX2sg3_E7_Sort1</v>
          </cell>
          <cell r="O45"/>
          <cell r="P45">
            <v>5</v>
          </cell>
          <cell r="Q45">
            <v>6</v>
          </cell>
          <cell r="R45"/>
          <cell r="S45"/>
        </row>
        <row r="46">
          <cell r="B46" t="str">
            <v>20200318GFPSOX2sg3_A3_Sort4</v>
          </cell>
          <cell r="C46" t="str">
            <v>Feed w mTeSR++Ri</v>
          </cell>
          <cell r="D46">
            <v>1</v>
          </cell>
          <cell r="E46">
            <v>12</v>
          </cell>
          <cell r="F46"/>
          <cell r="G46"/>
          <cell r="H46" t="str">
            <v>20200318GFPSOX2sg3_A3_Sort4</v>
          </cell>
          <cell r="I46" t="str">
            <v>Passage</v>
          </cell>
          <cell r="J46">
            <v>5</v>
          </cell>
          <cell r="K46">
            <v>6</v>
          </cell>
          <cell r="L46"/>
          <cell r="M46"/>
          <cell r="N46" t="str">
            <v>20210208GFPSOX2sg3_F9_Sort1</v>
          </cell>
          <cell r="O46"/>
          <cell r="P46">
            <v>5</v>
          </cell>
          <cell r="Q46">
            <v>6</v>
          </cell>
          <cell r="R46"/>
          <cell r="S46"/>
        </row>
        <row r="47">
          <cell r="B47" t="str">
            <v>20200318GFPSOX2sg3_A1_Sort2</v>
          </cell>
          <cell r="C47" t="str">
            <v>Feed w mTeSr+</v>
          </cell>
          <cell r="D47">
            <v>5</v>
          </cell>
          <cell r="E47">
            <v>6</v>
          </cell>
          <cell r="F47"/>
          <cell r="G47"/>
          <cell r="H47" t="str">
            <v>20210208GFPSOX2sg3_E7_Sort1</v>
          </cell>
          <cell r="I47" t="str">
            <v>Feed w Ri</v>
          </cell>
          <cell r="J47">
            <v>1</v>
          </cell>
          <cell r="K47">
            <v>12</v>
          </cell>
          <cell r="L47"/>
          <cell r="M47"/>
          <cell r="N47" t="str">
            <v>20200318GFPSOX2sg3_A3_Sort4</v>
          </cell>
          <cell r="O47" t="str">
            <v>Freeze</v>
          </cell>
          <cell r="P47">
            <v>39</v>
          </cell>
          <cell r="Q47" t="str">
            <v>VIALS</v>
          </cell>
          <cell r="R47"/>
          <cell r="S47"/>
        </row>
        <row r="48">
          <cell r="B48" t="str">
            <v>20200318GFPSOX2sg3_E12_Sort3</v>
          </cell>
          <cell r="C48" t="str">
            <v>Freeze</v>
          </cell>
          <cell r="D48">
            <v>4</v>
          </cell>
          <cell r="E48" t="str">
            <v>VIALS</v>
          </cell>
          <cell r="F48" t="str">
            <v>~1.5x10e6/vial.</v>
          </cell>
          <cell r="G48"/>
          <cell r="H48" t="str">
            <v>20210208GFPSOX2sg3_F9_Sort1</v>
          </cell>
          <cell r="I48" t="str">
            <v>Feed w Ri</v>
          </cell>
          <cell r="J48">
            <v>1</v>
          </cell>
          <cell r="K48">
            <v>12</v>
          </cell>
          <cell r="L48"/>
          <cell r="M48"/>
          <cell r="N48" t="str">
            <v>20200318GFPSOX2sg3_E12_Sort4</v>
          </cell>
          <cell r="O48" t="str">
            <v>Freeze</v>
          </cell>
          <cell r="P48">
            <v>39</v>
          </cell>
          <cell r="Q48" t="str">
            <v>VIALS</v>
          </cell>
          <cell r="R48"/>
          <cell r="S48"/>
        </row>
        <row r="49">
          <cell r="B49"/>
          <cell r="C49"/>
          <cell r="D49"/>
          <cell r="E49"/>
          <cell r="F49"/>
          <cell r="G49"/>
          <cell r="H49"/>
          <cell r="I49"/>
          <cell r="J49"/>
          <cell r="K49"/>
          <cell r="L49"/>
          <cell r="M49"/>
          <cell r="N49" t="str">
            <v>20210309mChOCT4sg2</v>
          </cell>
          <cell r="O49" t="str">
            <v>Transfect</v>
          </cell>
          <cell r="P49">
            <v>96</v>
          </cell>
          <cell r="Q49">
            <v>96</v>
          </cell>
          <cell r="R49" t="str">
            <v>matrigel 02192021</v>
          </cell>
          <cell r="S49" t="str">
            <v>Transfect</v>
          </cell>
        </row>
        <row r="50">
          <cell r="B50"/>
          <cell r="C50"/>
          <cell r="D50"/>
          <cell r="E50"/>
          <cell r="F50"/>
          <cell r="G50"/>
          <cell r="H50"/>
          <cell r="I50"/>
          <cell r="J50"/>
          <cell r="K50"/>
          <cell r="L50"/>
          <cell r="M50"/>
          <cell r="N50"/>
          <cell r="O50"/>
          <cell r="P50"/>
          <cell r="Q50"/>
          <cell r="R50"/>
          <cell r="S50"/>
        </row>
        <row r="51">
          <cell r="B51"/>
          <cell r="C51"/>
          <cell r="D51"/>
          <cell r="E51"/>
          <cell r="F51"/>
          <cell r="G51"/>
          <cell r="H51"/>
          <cell r="I51"/>
          <cell r="J51"/>
          <cell r="K51"/>
          <cell r="L51"/>
          <cell r="M51"/>
          <cell r="N51"/>
          <cell r="O51"/>
          <cell r="P51"/>
          <cell r="Q51"/>
          <cell r="R51"/>
          <cell r="S51"/>
        </row>
        <row r="52">
          <cell r="B52"/>
          <cell r="C52"/>
          <cell r="D52"/>
          <cell r="E52"/>
          <cell r="F52"/>
          <cell r="G52"/>
          <cell r="H52"/>
          <cell r="I52"/>
          <cell r="J52"/>
          <cell r="K52"/>
          <cell r="L52"/>
          <cell r="M52"/>
          <cell r="N52"/>
          <cell r="O52"/>
          <cell r="P52"/>
          <cell r="Q52"/>
          <cell r="R52"/>
          <cell r="S52"/>
        </row>
        <row r="53">
          <cell r="B53"/>
          <cell r="C53"/>
          <cell r="D53"/>
          <cell r="E53"/>
          <cell r="F53"/>
          <cell r="G53"/>
          <cell r="H53"/>
          <cell r="I53"/>
          <cell r="J53"/>
          <cell r="K53"/>
          <cell r="L53"/>
          <cell r="M53"/>
          <cell r="N53"/>
          <cell r="O53"/>
          <cell r="P53"/>
          <cell r="Q53"/>
          <cell r="R53"/>
          <cell r="S53"/>
        </row>
        <row r="54">
          <cell r="B54"/>
          <cell r="C54"/>
          <cell r="D54"/>
          <cell r="E54"/>
          <cell r="F54"/>
          <cell r="G54"/>
          <cell r="H54"/>
          <cell r="I54"/>
          <cell r="J54"/>
          <cell r="K54"/>
          <cell r="L54"/>
          <cell r="M54"/>
          <cell r="N54"/>
          <cell r="O54"/>
          <cell r="P54"/>
          <cell r="Q54"/>
          <cell r="R54"/>
          <cell r="S54"/>
        </row>
        <row r="55">
          <cell r="B55"/>
          <cell r="C55"/>
          <cell r="D55"/>
          <cell r="E55"/>
          <cell r="F55"/>
          <cell r="G55"/>
          <cell r="H55"/>
          <cell r="I55"/>
          <cell r="J55"/>
          <cell r="K55"/>
          <cell r="L55"/>
          <cell r="M55"/>
          <cell r="N55"/>
          <cell r="O55"/>
          <cell r="P55"/>
          <cell r="Q55"/>
          <cell r="R55"/>
          <cell r="S55"/>
        </row>
        <row r="56">
          <cell r="B56"/>
          <cell r="C56"/>
          <cell r="D56"/>
          <cell r="E56"/>
          <cell r="F56"/>
          <cell r="G56"/>
          <cell r="H56"/>
          <cell r="I56"/>
          <cell r="J56"/>
          <cell r="K56"/>
          <cell r="L56"/>
          <cell r="M56"/>
          <cell r="N56"/>
          <cell r="O56"/>
          <cell r="P56"/>
          <cell r="Q56"/>
          <cell r="R56"/>
          <cell r="S56"/>
        </row>
        <row r="57">
          <cell r="B57"/>
          <cell r="C57"/>
          <cell r="D57"/>
          <cell r="E57"/>
          <cell r="F57"/>
          <cell r="G57"/>
          <cell r="H57"/>
          <cell r="I57"/>
          <cell r="J57"/>
          <cell r="K57"/>
          <cell r="L57"/>
          <cell r="M57"/>
          <cell r="N57"/>
          <cell r="O57"/>
          <cell r="P57"/>
          <cell r="Q57"/>
          <cell r="R57"/>
          <cell r="S57"/>
        </row>
        <row r="58">
          <cell r="B58"/>
          <cell r="C58"/>
          <cell r="D58"/>
          <cell r="E58"/>
          <cell r="F58"/>
          <cell r="G58"/>
          <cell r="H58"/>
          <cell r="I58"/>
          <cell r="J58"/>
          <cell r="K58"/>
          <cell r="L58"/>
          <cell r="M58"/>
          <cell r="N58"/>
          <cell r="O58"/>
          <cell r="P58"/>
          <cell r="Q58"/>
          <cell r="R58"/>
          <cell r="S58"/>
        </row>
        <row r="59">
          <cell r="B59"/>
          <cell r="C59"/>
          <cell r="D59"/>
          <cell r="E59"/>
          <cell r="F59"/>
          <cell r="G59"/>
          <cell r="H59"/>
          <cell r="I59"/>
          <cell r="J59"/>
          <cell r="K59"/>
          <cell r="L59"/>
          <cell r="M59"/>
          <cell r="N59"/>
          <cell r="O59"/>
          <cell r="P59"/>
          <cell r="Q59"/>
          <cell r="R59"/>
          <cell r="S59"/>
        </row>
        <row r="61">
          <cell r="B61"/>
          <cell r="H61"/>
          <cell r="N61"/>
        </row>
        <row r="65">
          <cell r="B65" t="str">
            <v>20200318GFPSOX2sg3_A1_Sort2</v>
          </cell>
          <cell r="C65" t="str">
            <v>Passage</v>
          </cell>
          <cell r="D65"/>
          <cell r="E65"/>
          <cell r="F65" t="str">
            <v>Evaluation of distribution of fluorescent population. No increase in propotion of fluorescent cells after 2 sorts. Discontinue.</v>
          </cell>
          <cell r="G65"/>
          <cell r="H65" t="str">
            <v>20210208GFPSOX2sg3_E7_Sort1</v>
          </cell>
          <cell r="I65" t="str">
            <v>Feed w Ri</v>
          </cell>
          <cell r="J65">
            <v>1</v>
          </cell>
          <cell r="K65">
            <v>12</v>
          </cell>
          <cell r="L65"/>
          <cell r="M65"/>
          <cell r="N65" t="str">
            <v>20210208GFPSOX2sg3_E7_Sort1</v>
          </cell>
          <cell r="O65" t="str">
            <v>Sort</v>
          </cell>
          <cell r="P65">
            <v>1</v>
          </cell>
          <cell r="Q65">
            <v>96</v>
          </cell>
          <cell r="R65" t="str">
            <v>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v>
          </cell>
          <cell r="S65" t="str">
            <v>Sort2</v>
          </cell>
        </row>
        <row r="66">
          <cell r="B66" t="str">
            <v>20200318GFPSOX2sg3_A3_Sort4</v>
          </cell>
          <cell r="C66" t="str">
            <v>Feed w mTeSR++Ri</v>
          </cell>
          <cell r="D66">
            <v>1</v>
          </cell>
          <cell r="E66">
            <v>12</v>
          </cell>
          <cell r="F66"/>
          <cell r="G66"/>
          <cell r="H66" t="str">
            <v>20210208GFPSOX2sg3_F9_Sort1</v>
          </cell>
          <cell r="I66" t="str">
            <v>Feed w Ri</v>
          </cell>
          <cell r="J66">
            <v>1</v>
          </cell>
          <cell r="K66">
            <v>12</v>
          </cell>
          <cell r="L66"/>
          <cell r="M66"/>
          <cell r="N66" t="str">
            <v>20210208GFPSOX2sg3_F9_Sort1</v>
          </cell>
          <cell r="O66" t="str">
            <v>Sort</v>
          </cell>
          <cell r="P66">
            <v>1</v>
          </cell>
          <cell r="Q66">
            <v>96</v>
          </cell>
          <cell r="R66" t="str">
            <v>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v>
          </cell>
          <cell r="S66" t="str">
            <v>Sort2</v>
          </cell>
        </row>
        <row r="67">
          <cell r="B67" t="str">
            <v>20200318GFPSOX2sg3_E12_Sort4</v>
          </cell>
          <cell r="C67" t="str">
            <v>Feed w mTeSR++Ri</v>
          </cell>
          <cell r="D67">
            <v>1</v>
          </cell>
          <cell r="E67">
            <v>12</v>
          </cell>
          <cell r="F67"/>
          <cell r="G67"/>
          <cell r="H67" t="str">
            <v>20200318GFPSOX2sg3_A3_Sort4</v>
          </cell>
          <cell r="I67" t="str">
            <v>Feed w mTeSr+</v>
          </cell>
          <cell r="J67">
            <v>5</v>
          </cell>
          <cell r="K67">
            <v>6</v>
          </cell>
          <cell r="L67"/>
          <cell r="M67"/>
          <cell r="N67" t="str">
            <v>WTC11</v>
          </cell>
          <cell r="O67" t="str">
            <v>Passage</v>
          </cell>
          <cell r="P67">
            <v>1</v>
          </cell>
          <cell r="Q67">
            <v>6</v>
          </cell>
          <cell r="R67" t="str">
            <v>Used for flow control P44.</v>
          </cell>
          <cell r="S67"/>
        </row>
        <row r="68">
          <cell r="B68" t="str">
            <v>20210208GFPSOX2sg3_F9</v>
          </cell>
          <cell r="C68" t="str">
            <v>Sort</v>
          </cell>
          <cell r="D68">
            <v>1</v>
          </cell>
          <cell r="E68">
            <v>12</v>
          </cell>
          <cell r="F68" t="str">
            <v>matrigel20210218. Counted 1.16x10e6/mL. First sort @ 2.32x10e6 cells in 400uL. On Normal sort collected &gt;1.5% cell population @2500 intensity. 13K events/ 19min collected. Second sort,  16K/27min. events. Pool two sorts seeding 1 well of a 96 well.</v>
          </cell>
          <cell r="G68" t="str">
            <v>Sort1</v>
          </cell>
          <cell r="H68" t="str">
            <v>20200318GFPSOX2sg3_E12_Sort4</v>
          </cell>
          <cell r="I68" t="str">
            <v>Feed w mTeSr+</v>
          </cell>
          <cell r="J68">
            <v>5</v>
          </cell>
          <cell r="K68">
            <v>6</v>
          </cell>
          <cell r="L68"/>
          <cell r="M68"/>
          <cell r="N68" t="str">
            <v>20200318GFPSOX2sg3_A3_Sort4</v>
          </cell>
          <cell r="O68" t="str">
            <v>Thaw</v>
          </cell>
          <cell r="P68">
            <v>3</v>
          </cell>
          <cell r="Q68">
            <v>6</v>
          </cell>
          <cell r="R68" t="str">
            <v>Thawed two vials, transferred to 3 wells. Matrigel 20210222.</v>
          </cell>
          <cell r="S68"/>
        </row>
        <row r="69">
          <cell r="B69" t="str">
            <v>20210208GFPSOX2sg3_E7</v>
          </cell>
          <cell r="C69" t="str">
            <v>Feed w Ri</v>
          </cell>
          <cell r="D69">
            <v>5</v>
          </cell>
          <cell r="E69">
            <v>6</v>
          </cell>
          <cell r="F69"/>
          <cell r="G69"/>
          <cell r="H69" t="str">
            <v>20200318GFPSOX2sg3_A3_Sort4</v>
          </cell>
          <cell r="I69" t="str">
            <v>Image</v>
          </cell>
          <cell r="J69"/>
          <cell r="K69"/>
          <cell r="L69"/>
          <cell r="M69"/>
          <cell r="N69" t="str">
            <v>20200318GFPSOX2sg3_E12_Sort4</v>
          </cell>
          <cell r="O69" t="str">
            <v>Thaw</v>
          </cell>
          <cell r="P69">
            <v>3</v>
          </cell>
          <cell r="Q69">
            <v>6</v>
          </cell>
          <cell r="R69" t="str">
            <v>Thawed two vials, transferred to 3 wells. Matrigel 20210222.</v>
          </cell>
          <cell r="S69"/>
        </row>
        <row r="70">
          <cell r="B70" t="str">
            <v>WTC11</v>
          </cell>
          <cell r="C70" t="str">
            <v>Passage</v>
          </cell>
          <cell r="D70">
            <v>1</v>
          </cell>
          <cell r="E70">
            <v>6</v>
          </cell>
          <cell r="F70" t="str">
            <v>Passage 49. Used for control during FACS.</v>
          </cell>
          <cell r="G70"/>
          <cell r="H70" t="str">
            <v>20200318GFPSOX2sg3_E12_Sort4</v>
          </cell>
          <cell r="I70" t="str">
            <v>Image</v>
          </cell>
          <cell r="J70"/>
          <cell r="K70"/>
          <cell r="L70"/>
          <cell r="M70"/>
          <cell r="N70" t="str">
            <v>20210208GFPSOX2sg3_E7_Sort1</v>
          </cell>
          <cell r="O70" t="str">
            <v>Freeze</v>
          </cell>
          <cell r="P70">
            <v>3</v>
          </cell>
          <cell r="Q70" t="str">
            <v>VIALs</v>
          </cell>
          <cell r="R70"/>
          <cell r="S70"/>
        </row>
        <row r="71">
          <cell r="B71" t="str">
            <v>20200318GFPSOX2sg3_A1_Sort2</v>
          </cell>
          <cell r="C71" t="str">
            <v>Discontinue</v>
          </cell>
          <cell r="D71"/>
          <cell r="E71"/>
          <cell r="F71" t="str">
            <v>No increase in propotion of fluorescent cells after 2 sorts. Discontinue.</v>
          </cell>
          <cell r="G71"/>
          <cell r="H71"/>
          <cell r="I71"/>
          <cell r="J71"/>
          <cell r="K71"/>
          <cell r="L71"/>
          <cell r="M71"/>
          <cell r="N71" t="str">
            <v>20210208GFPSOX2sg3_F9_Sort1</v>
          </cell>
          <cell r="O71" t="str">
            <v>Freeze</v>
          </cell>
          <cell r="P71">
            <v>3</v>
          </cell>
          <cell r="Q71" t="str">
            <v>VIALS</v>
          </cell>
          <cell r="R71"/>
          <cell r="S71"/>
        </row>
        <row r="72">
          <cell r="B72" t="str">
            <v>20210208GFPSOX2sg3_F9</v>
          </cell>
          <cell r="C72" t="str">
            <v>Freeze</v>
          </cell>
          <cell r="D72">
            <v>2</v>
          </cell>
          <cell r="E72" t="str">
            <v>VIALS</v>
          </cell>
          <cell r="F72" t="str">
            <v>~1.5x10e6/vial.</v>
          </cell>
          <cell r="G72"/>
          <cell r="H72"/>
          <cell r="I72"/>
          <cell r="J72"/>
          <cell r="K72"/>
          <cell r="L72"/>
          <cell r="M72"/>
          <cell r="N72" t="str">
            <v>20210208GFPSOX2sg3_E7_Sort2</v>
          </cell>
          <cell r="O72" t="str">
            <v>Discontinue</v>
          </cell>
          <cell r="P72"/>
          <cell r="Q72"/>
          <cell r="R72" t="str">
            <v>Not saved, go back to sort1</v>
          </cell>
          <cell r="S72"/>
        </row>
        <row r="73">
          <cell r="B73"/>
          <cell r="C73"/>
          <cell r="D73"/>
          <cell r="E73"/>
          <cell r="F73"/>
          <cell r="G73"/>
          <cell r="H73"/>
          <cell r="I73"/>
          <cell r="J73"/>
          <cell r="K73"/>
          <cell r="L73"/>
          <cell r="M73"/>
          <cell r="N73" t="str">
            <v>20210208GFPSOX2sg3_F9_Sort2</v>
          </cell>
          <cell r="O73" t="str">
            <v>Discontinue</v>
          </cell>
          <cell r="P73"/>
          <cell r="Q73"/>
          <cell r="R73" t="str">
            <v>Not saved, go back to sort1</v>
          </cell>
          <cell r="S73"/>
        </row>
        <row r="74">
          <cell r="B74"/>
          <cell r="C74"/>
          <cell r="D74"/>
          <cell r="E74"/>
          <cell r="F74"/>
          <cell r="G74"/>
          <cell r="H74"/>
          <cell r="I74"/>
          <cell r="J74"/>
          <cell r="K74"/>
          <cell r="L74"/>
          <cell r="M74"/>
          <cell r="N74"/>
          <cell r="O74"/>
          <cell r="P74"/>
          <cell r="Q74"/>
          <cell r="R74"/>
          <cell r="S74"/>
        </row>
        <row r="75">
          <cell r="B75"/>
          <cell r="C75"/>
          <cell r="D75"/>
          <cell r="E75"/>
          <cell r="F75"/>
          <cell r="G75"/>
          <cell r="H75"/>
          <cell r="I75"/>
          <cell r="J75"/>
          <cell r="K75"/>
          <cell r="L75"/>
          <cell r="M75"/>
          <cell r="N75"/>
          <cell r="O75"/>
          <cell r="P75"/>
          <cell r="Q75"/>
          <cell r="R75"/>
          <cell r="S75"/>
        </row>
        <row r="76">
          <cell r="B76"/>
          <cell r="C76"/>
          <cell r="D76"/>
          <cell r="E76"/>
          <cell r="F76"/>
          <cell r="G76"/>
          <cell r="H76"/>
          <cell r="I76"/>
          <cell r="J76"/>
          <cell r="K76"/>
          <cell r="L76"/>
          <cell r="M76"/>
          <cell r="N76"/>
          <cell r="O76"/>
          <cell r="P76"/>
          <cell r="Q76"/>
          <cell r="R76"/>
          <cell r="S76"/>
        </row>
        <row r="77">
          <cell r="B77"/>
          <cell r="C77"/>
          <cell r="D77"/>
          <cell r="E77"/>
          <cell r="F77"/>
          <cell r="G77"/>
          <cell r="H77"/>
          <cell r="I77"/>
          <cell r="J77"/>
          <cell r="K77"/>
          <cell r="L77"/>
          <cell r="M77"/>
          <cell r="N77"/>
          <cell r="O77"/>
          <cell r="P77"/>
          <cell r="Q77"/>
          <cell r="R77"/>
          <cell r="S77"/>
        </row>
        <row r="78">
          <cell r="B78"/>
          <cell r="C78"/>
          <cell r="D78"/>
          <cell r="E78"/>
          <cell r="F78"/>
          <cell r="G78"/>
          <cell r="H78"/>
          <cell r="I78"/>
          <cell r="J78"/>
          <cell r="K78"/>
          <cell r="L78"/>
          <cell r="M78"/>
          <cell r="N78"/>
          <cell r="O78"/>
          <cell r="P78"/>
          <cell r="Q78"/>
          <cell r="R78"/>
          <cell r="S78"/>
        </row>
        <row r="79">
          <cell r="B79"/>
          <cell r="C79"/>
          <cell r="D79"/>
          <cell r="E79"/>
          <cell r="F79"/>
          <cell r="H79"/>
          <cell r="I79"/>
          <cell r="J79"/>
          <cell r="K79"/>
          <cell r="L79"/>
          <cell r="N79"/>
          <cell r="O79"/>
          <cell r="P79"/>
          <cell r="Q79"/>
          <cell r="R79"/>
          <cell r="S79"/>
        </row>
        <row r="85">
          <cell r="B85" t="str">
            <v>20210208GFPSOX2sg3_E7</v>
          </cell>
          <cell r="C85" t="str">
            <v>Sort</v>
          </cell>
          <cell r="D85">
            <v>1</v>
          </cell>
          <cell r="E85">
            <v>96</v>
          </cell>
          <cell r="F85" t="str">
            <v>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v>
          </cell>
          <cell r="G85" t="str">
            <v>Sort1</v>
          </cell>
          <cell r="H85" t="str">
            <v>20210208GFPSOX2sg3_E7_Sort1</v>
          </cell>
          <cell r="I85" t="str">
            <v>Feed w Ri</v>
          </cell>
          <cell r="J85">
            <v>1</v>
          </cell>
          <cell r="K85">
            <v>12</v>
          </cell>
          <cell r="L85"/>
          <cell r="M85"/>
          <cell r="N85"/>
          <cell r="O85"/>
          <cell r="P85"/>
          <cell r="Q85"/>
          <cell r="R85"/>
          <cell r="S85"/>
        </row>
        <row r="86">
          <cell r="B86" t="str">
            <v>20210208GFPSOX2sg3_F9_Sort1</v>
          </cell>
          <cell r="C86" t="str">
            <v>Feed w Ri</v>
          </cell>
          <cell r="D86">
            <v>1</v>
          </cell>
          <cell r="E86">
            <v>96</v>
          </cell>
          <cell r="F86"/>
          <cell r="G86"/>
          <cell r="H86" t="str">
            <v>20210208GFPSOX2sg3_F9_Sort1</v>
          </cell>
          <cell r="I86" t="str">
            <v>Feed w Ri</v>
          </cell>
          <cell r="J86">
            <v>1</v>
          </cell>
          <cell r="K86">
            <v>12</v>
          </cell>
          <cell r="L86"/>
          <cell r="M86"/>
          <cell r="N86" t="str">
            <v>20200318GFPSOX2sg3_E12_Sort4</v>
          </cell>
          <cell r="O86" t="str">
            <v>Feed w mTeSR++Ri</v>
          </cell>
          <cell r="P86">
            <v>3</v>
          </cell>
          <cell r="Q86">
            <v>6</v>
          </cell>
          <cell r="R86" t="str">
            <v>Collected flow profile on 20210312</v>
          </cell>
          <cell r="S86"/>
        </row>
        <row r="87">
          <cell r="B87" t="str">
            <v>20200318GFPSOX2sg3_A3_Sort4</v>
          </cell>
          <cell r="C87" t="str">
            <v>Feed w mTeSr+</v>
          </cell>
          <cell r="D87">
            <v>1</v>
          </cell>
          <cell r="E87">
            <v>12</v>
          </cell>
          <cell r="F87"/>
          <cell r="G87"/>
          <cell r="H87" t="str">
            <v>20200318GFPSOX2sg3_A3_Sort4</v>
          </cell>
          <cell r="I87" t="str">
            <v>Feed w mTeSr+</v>
          </cell>
          <cell r="J87">
            <v>5</v>
          </cell>
          <cell r="K87">
            <v>6</v>
          </cell>
          <cell r="L87"/>
          <cell r="M87"/>
          <cell r="N87" t="str">
            <v>20200318GFPSOX2sg3_A3_Sort4</v>
          </cell>
          <cell r="O87" t="str">
            <v>Feed w mTeSR++Ri</v>
          </cell>
          <cell r="P87">
            <v>3</v>
          </cell>
          <cell r="Q87">
            <v>6</v>
          </cell>
          <cell r="R87" t="str">
            <v>Collected flow profile on 20210312</v>
          </cell>
          <cell r="S87"/>
        </row>
        <row r="88">
          <cell r="B88" t="str">
            <v>20200318GFPSOX2sg3_E12_Sort4</v>
          </cell>
          <cell r="C88" t="str">
            <v>Feed w mTeSR++Ri</v>
          </cell>
          <cell r="D88">
            <v>1</v>
          </cell>
          <cell r="E88">
            <v>12</v>
          </cell>
          <cell r="F88"/>
          <cell r="G88"/>
          <cell r="H88" t="str">
            <v>20200318GFPSOX2sg3_E12_Sort4</v>
          </cell>
          <cell r="I88" t="str">
            <v>Feed w mTeSr+</v>
          </cell>
          <cell r="J88">
            <v>5</v>
          </cell>
          <cell r="K88">
            <v>6</v>
          </cell>
          <cell r="L88"/>
          <cell r="M88"/>
          <cell r="N88"/>
          <cell r="O88"/>
          <cell r="P88"/>
          <cell r="Q88"/>
          <cell r="R88"/>
          <cell r="S88"/>
        </row>
        <row r="89">
          <cell r="B89" t="str">
            <v>20210208GFPSOX2sg3_E7</v>
          </cell>
          <cell r="C89" t="str">
            <v>Freeze</v>
          </cell>
          <cell r="D89">
            <v>2</v>
          </cell>
          <cell r="E89" t="str">
            <v>VIALS</v>
          </cell>
          <cell r="F89" t="str">
            <v>~1.5x10e6/vial.</v>
          </cell>
          <cell r="G89"/>
          <cell r="H89"/>
          <cell r="I89"/>
          <cell r="J89"/>
          <cell r="K89"/>
          <cell r="L89"/>
          <cell r="M89"/>
          <cell r="N89"/>
          <cell r="O89"/>
          <cell r="P89"/>
          <cell r="Q89"/>
          <cell r="R89"/>
          <cell r="S89"/>
        </row>
        <row r="90">
          <cell r="B90"/>
          <cell r="C90"/>
          <cell r="D90"/>
          <cell r="E90"/>
          <cell r="F90"/>
          <cell r="G90"/>
          <cell r="H90"/>
          <cell r="I90"/>
          <cell r="J90"/>
          <cell r="K90"/>
          <cell r="L90"/>
          <cell r="M90"/>
          <cell r="N90"/>
          <cell r="O90"/>
          <cell r="P90"/>
          <cell r="Q90"/>
          <cell r="R90"/>
          <cell r="S90"/>
        </row>
        <row r="91">
          <cell r="B91"/>
          <cell r="C91"/>
          <cell r="D91"/>
          <cell r="E91"/>
          <cell r="F91"/>
          <cell r="G91"/>
          <cell r="H91"/>
          <cell r="I91"/>
          <cell r="J91"/>
          <cell r="K91"/>
          <cell r="L91"/>
          <cell r="M91"/>
          <cell r="N91"/>
          <cell r="O91"/>
          <cell r="P91"/>
          <cell r="Q91"/>
          <cell r="R91"/>
          <cell r="S91"/>
        </row>
        <row r="92">
          <cell r="B92"/>
          <cell r="C92"/>
          <cell r="D92"/>
          <cell r="E92"/>
          <cell r="F92"/>
          <cell r="G92"/>
          <cell r="H92"/>
          <cell r="I92"/>
          <cell r="J92"/>
          <cell r="K92"/>
          <cell r="L92"/>
          <cell r="M92"/>
          <cell r="N92"/>
          <cell r="O92"/>
          <cell r="P92"/>
          <cell r="Q92"/>
          <cell r="R92"/>
          <cell r="S92"/>
        </row>
        <row r="93">
          <cell r="B93"/>
          <cell r="C93"/>
          <cell r="D93"/>
          <cell r="E93"/>
          <cell r="F93"/>
          <cell r="G93"/>
          <cell r="H93"/>
          <cell r="I93"/>
          <cell r="J93"/>
          <cell r="K93"/>
          <cell r="L93"/>
          <cell r="M93"/>
          <cell r="N93"/>
          <cell r="O93"/>
          <cell r="P93"/>
          <cell r="Q93"/>
          <cell r="R93"/>
          <cell r="S93"/>
        </row>
        <row r="94">
          <cell r="B94"/>
          <cell r="C94"/>
          <cell r="D94"/>
          <cell r="E94"/>
          <cell r="F94"/>
          <cell r="G94"/>
          <cell r="H94"/>
          <cell r="I94"/>
          <cell r="J94"/>
          <cell r="K94"/>
          <cell r="L94"/>
          <cell r="M94"/>
          <cell r="N94"/>
          <cell r="O94"/>
          <cell r="P94"/>
          <cell r="Q94"/>
          <cell r="R94"/>
          <cell r="S94"/>
        </row>
        <row r="95">
          <cell r="B95"/>
          <cell r="C95"/>
          <cell r="D95"/>
          <cell r="E95"/>
          <cell r="F95"/>
          <cell r="G95"/>
          <cell r="H95"/>
          <cell r="I95"/>
          <cell r="J95"/>
          <cell r="K95"/>
          <cell r="L95"/>
          <cell r="M95"/>
          <cell r="N95"/>
          <cell r="O95"/>
          <cell r="P95"/>
          <cell r="Q95"/>
          <cell r="R95"/>
          <cell r="S95"/>
        </row>
        <row r="96">
          <cell r="B96"/>
          <cell r="C96"/>
          <cell r="D96"/>
          <cell r="E96"/>
          <cell r="F96"/>
          <cell r="G96"/>
          <cell r="H96"/>
          <cell r="I96"/>
          <cell r="J96"/>
          <cell r="K96"/>
          <cell r="L96"/>
          <cell r="M96"/>
          <cell r="N96"/>
          <cell r="O96"/>
          <cell r="P96"/>
          <cell r="Q96"/>
          <cell r="R96"/>
          <cell r="S96"/>
        </row>
        <row r="97">
          <cell r="B97"/>
          <cell r="C97"/>
          <cell r="D97"/>
          <cell r="E97"/>
          <cell r="F97"/>
          <cell r="G97"/>
          <cell r="H97"/>
          <cell r="I97"/>
          <cell r="J97"/>
          <cell r="K97"/>
          <cell r="L97"/>
          <cell r="M97"/>
          <cell r="N97"/>
          <cell r="O97"/>
          <cell r="P97"/>
          <cell r="Q97"/>
          <cell r="R97"/>
          <cell r="S97"/>
        </row>
        <row r="98">
          <cell r="B98"/>
          <cell r="C98"/>
          <cell r="D98"/>
          <cell r="E98"/>
          <cell r="F98"/>
          <cell r="G98"/>
          <cell r="H98"/>
          <cell r="I98"/>
          <cell r="J98"/>
          <cell r="K98"/>
          <cell r="L98"/>
          <cell r="M98"/>
          <cell r="N98"/>
          <cell r="O98"/>
          <cell r="P98"/>
          <cell r="Q98"/>
          <cell r="R98"/>
          <cell r="S98"/>
        </row>
        <row r="99">
          <cell r="B99"/>
          <cell r="C99"/>
          <cell r="D99"/>
          <cell r="E99"/>
          <cell r="F99"/>
          <cell r="G99"/>
          <cell r="H99"/>
          <cell r="I99"/>
          <cell r="J99"/>
          <cell r="K99"/>
          <cell r="L99"/>
          <cell r="M99"/>
          <cell r="N99"/>
          <cell r="O99"/>
          <cell r="P99"/>
          <cell r="Q99"/>
          <cell r="R99"/>
          <cell r="S99"/>
        </row>
        <row r="101">
          <cell r="B101"/>
          <cell r="H101"/>
          <cell r="N101"/>
        </row>
        <row r="105">
          <cell r="B105" t="str">
            <v>20210208GFPSOX2sg3_E7_Sort1</v>
          </cell>
          <cell r="C105" t="str">
            <v>Feed w Ri</v>
          </cell>
          <cell r="D105">
            <v>1</v>
          </cell>
          <cell r="E105">
            <v>96</v>
          </cell>
          <cell r="F105"/>
          <cell r="G105"/>
          <cell r="H105" t="str">
            <v>20210208GFPSOX2sg3_E7_Sort1</v>
          </cell>
          <cell r="I105" t="str">
            <v>Passage</v>
          </cell>
          <cell r="J105">
            <v>1</v>
          </cell>
          <cell r="K105">
            <v>6</v>
          </cell>
          <cell r="L105"/>
          <cell r="M105"/>
          <cell r="N105" t="str">
            <v>20200318GFPSOX2sg3_A3_Sort4</v>
          </cell>
          <cell r="O105" t="str">
            <v>Passage</v>
          </cell>
          <cell r="P105"/>
          <cell r="Q105"/>
          <cell r="R105" t="str">
            <v>Ran flow to document fluorescence profile.</v>
          </cell>
          <cell r="S105"/>
        </row>
        <row r="106">
          <cell r="B106" t="str">
            <v>20210208GFPSOX2sg3_F9_Sort1</v>
          </cell>
          <cell r="C106" t="str">
            <v>Feed w Ri</v>
          </cell>
          <cell r="D106">
            <v>1</v>
          </cell>
          <cell r="E106">
            <v>96</v>
          </cell>
          <cell r="F106"/>
          <cell r="G106"/>
          <cell r="H106" t="str">
            <v>20210208GFPSOX2sg3_F9_Sort1</v>
          </cell>
          <cell r="I106" t="str">
            <v>Passage</v>
          </cell>
          <cell r="J106">
            <v>1</v>
          </cell>
          <cell r="K106">
            <v>6</v>
          </cell>
          <cell r="L106"/>
          <cell r="M106"/>
          <cell r="N106" t="str">
            <v>20200318GFPSOX2sg3_E12_Sort4</v>
          </cell>
          <cell r="O106" t="str">
            <v>Passage</v>
          </cell>
          <cell r="P106"/>
          <cell r="Q106"/>
          <cell r="R106" t="str">
            <v>Ran flow to document fluorescence profile.</v>
          </cell>
          <cell r="S106"/>
        </row>
        <row r="107">
          <cell r="B107" t="str">
            <v>20200318GFPSOX2sg3_A3_Sort4</v>
          </cell>
          <cell r="C107" t="str">
            <v>Feed w mTeSR++Ri</v>
          </cell>
          <cell r="D107">
            <v>1</v>
          </cell>
          <cell r="E107">
            <v>12</v>
          </cell>
          <cell r="F107"/>
          <cell r="G107"/>
          <cell r="H107" t="str">
            <v>20200318GFPSOX2sg3_A3_Sort4</v>
          </cell>
          <cell r="I107" t="str">
            <v>Feed w mTeSr+</v>
          </cell>
          <cell r="J107">
            <v>5</v>
          </cell>
          <cell r="K107">
            <v>6</v>
          </cell>
          <cell r="L107"/>
          <cell r="M107"/>
          <cell r="N107" t="str">
            <v>20210309mChOCT4sg2</v>
          </cell>
          <cell r="O107" t="str">
            <v>Image</v>
          </cell>
          <cell r="P107">
            <v>96</v>
          </cell>
          <cell r="Q107">
            <v>96</v>
          </cell>
          <cell r="R107" t="str">
            <v>Imaged using mTeSR+Ri w/o phenolRed.</v>
          </cell>
          <cell r="S107"/>
        </row>
        <row r="108">
          <cell r="B108" t="str">
            <v>20200318GFPSOX2sg3_E12_Sort4</v>
          </cell>
          <cell r="C108" t="str">
            <v>Feed w mTeSR++Ri</v>
          </cell>
          <cell r="D108">
            <v>1</v>
          </cell>
          <cell r="E108">
            <v>12</v>
          </cell>
          <cell r="F108"/>
          <cell r="G108"/>
          <cell r="H108" t="str">
            <v>20200318GFPSOX2sg3_E12_Sort4</v>
          </cell>
          <cell r="I108" t="str">
            <v>Passage</v>
          </cell>
          <cell r="J108">
            <v>5</v>
          </cell>
          <cell r="K108">
            <v>10</v>
          </cell>
          <cell r="L108"/>
          <cell r="M108"/>
          <cell r="N108"/>
          <cell r="O108"/>
          <cell r="P108"/>
          <cell r="Q108"/>
          <cell r="R108"/>
          <cell r="S108"/>
        </row>
        <row r="109">
          <cell r="B109"/>
          <cell r="C109"/>
          <cell r="D109"/>
          <cell r="E109"/>
          <cell r="F109"/>
          <cell r="G109"/>
          <cell r="H109"/>
          <cell r="I109"/>
          <cell r="J109"/>
          <cell r="K109"/>
          <cell r="L109"/>
          <cell r="M109"/>
          <cell r="N109"/>
          <cell r="O109"/>
          <cell r="P109"/>
          <cell r="Q109"/>
          <cell r="R109"/>
          <cell r="S109"/>
        </row>
        <row r="110">
          <cell r="B110"/>
          <cell r="C110"/>
          <cell r="D110"/>
          <cell r="E110"/>
          <cell r="F110"/>
          <cell r="G110"/>
          <cell r="H110"/>
          <cell r="I110"/>
          <cell r="J110"/>
          <cell r="K110"/>
          <cell r="L110"/>
          <cell r="M110"/>
          <cell r="N110"/>
          <cell r="O110"/>
          <cell r="P110"/>
          <cell r="Q110"/>
          <cell r="R110"/>
          <cell r="S110"/>
        </row>
        <row r="111">
          <cell r="B111"/>
          <cell r="C111"/>
          <cell r="D111"/>
          <cell r="E111"/>
          <cell r="F111"/>
          <cell r="G111"/>
          <cell r="H111"/>
          <cell r="I111"/>
          <cell r="J111"/>
          <cell r="K111"/>
          <cell r="L111"/>
          <cell r="M111"/>
          <cell r="N111"/>
          <cell r="O111"/>
          <cell r="P111"/>
          <cell r="Q111"/>
          <cell r="R111"/>
          <cell r="S111"/>
        </row>
        <row r="112">
          <cell r="B112"/>
          <cell r="C112"/>
          <cell r="D112"/>
          <cell r="E112"/>
          <cell r="F112"/>
          <cell r="G112"/>
          <cell r="H112"/>
          <cell r="I112"/>
          <cell r="J112"/>
          <cell r="K112"/>
          <cell r="L112"/>
          <cell r="M112"/>
          <cell r="N112"/>
          <cell r="O112"/>
          <cell r="P112"/>
          <cell r="Q112"/>
          <cell r="R112"/>
          <cell r="S112"/>
        </row>
        <row r="113">
          <cell r="B113"/>
          <cell r="C113"/>
          <cell r="D113"/>
          <cell r="E113"/>
          <cell r="F113"/>
          <cell r="G113"/>
          <cell r="H113"/>
          <cell r="I113"/>
          <cell r="J113"/>
          <cell r="K113"/>
          <cell r="L113"/>
          <cell r="M113"/>
          <cell r="N113"/>
          <cell r="O113"/>
          <cell r="P113"/>
          <cell r="Q113"/>
          <cell r="R113"/>
          <cell r="S113"/>
        </row>
        <row r="114">
          <cell r="B114"/>
          <cell r="C114"/>
          <cell r="D114"/>
          <cell r="E114"/>
          <cell r="F114"/>
          <cell r="G114"/>
          <cell r="H114"/>
          <cell r="I114"/>
          <cell r="J114"/>
          <cell r="K114"/>
          <cell r="L114"/>
          <cell r="M114"/>
          <cell r="N114"/>
          <cell r="O114"/>
          <cell r="P114"/>
          <cell r="Q114"/>
          <cell r="R114"/>
          <cell r="S114"/>
        </row>
        <row r="115">
          <cell r="B115"/>
          <cell r="C115"/>
          <cell r="D115"/>
          <cell r="E115"/>
          <cell r="F115"/>
          <cell r="G115"/>
          <cell r="H115"/>
          <cell r="I115"/>
          <cell r="J115"/>
          <cell r="K115"/>
          <cell r="L115"/>
          <cell r="M115"/>
          <cell r="N115"/>
          <cell r="O115"/>
          <cell r="P115"/>
          <cell r="Q115"/>
          <cell r="R115"/>
          <cell r="S115"/>
        </row>
        <row r="116">
          <cell r="B116"/>
          <cell r="C116"/>
          <cell r="D116"/>
          <cell r="E116"/>
          <cell r="F116"/>
          <cell r="G116"/>
          <cell r="H116"/>
          <cell r="I116"/>
          <cell r="J116"/>
          <cell r="K116"/>
          <cell r="L116"/>
          <cell r="M116"/>
          <cell r="N116"/>
          <cell r="O116"/>
          <cell r="P116"/>
          <cell r="Q116"/>
          <cell r="R116"/>
          <cell r="S116"/>
        </row>
        <row r="117">
          <cell r="B117"/>
          <cell r="C117"/>
          <cell r="D117"/>
          <cell r="E117"/>
          <cell r="F117"/>
          <cell r="G117"/>
          <cell r="H117"/>
          <cell r="I117"/>
          <cell r="J117"/>
          <cell r="K117"/>
          <cell r="L117"/>
          <cell r="M117"/>
          <cell r="N117"/>
          <cell r="O117"/>
          <cell r="P117"/>
          <cell r="Q117"/>
          <cell r="R117"/>
          <cell r="S117"/>
        </row>
        <row r="118">
          <cell r="B118"/>
          <cell r="C118"/>
          <cell r="D118"/>
          <cell r="E118"/>
          <cell r="F118"/>
          <cell r="G118"/>
          <cell r="H118"/>
          <cell r="I118"/>
          <cell r="J118"/>
          <cell r="K118"/>
          <cell r="L118"/>
          <cell r="M118"/>
          <cell r="N118"/>
          <cell r="O118"/>
          <cell r="P118"/>
          <cell r="Q118"/>
          <cell r="R118"/>
          <cell r="S118"/>
        </row>
        <row r="119">
          <cell r="B119"/>
          <cell r="C119"/>
          <cell r="D119"/>
          <cell r="E119"/>
          <cell r="F119"/>
          <cell r="G119"/>
          <cell r="H119"/>
          <cell r="I119"/>
          <cell r="J119"/>
          <cell r="K119"/>
          <cell r="L119"/>
          <cell r="M119"/>
          <cell r="N119"/>
          <cell r="O119"/>
          <cell r="P119"/>
          <cell r="Q119"/>
          <cell r="R119"/>
          <cell r="S119"/>
        </row>
        <row r="121">
          <cell r="B121"/>
          <cell r="H121"/>
          <cell r="N121"/>
        </row>
        <row r="125">
          <cell r="B125" t="str">
            <v>20210208GFPSOX2sg3_E7_Sort1</v>
          </cell>
          <cell r="C125" t="str">
            <v>Feed w Ri</v>
          </cell>
          <cell r="D125">
            <v>1</v>
          </cell>
          <cell r="E125">
            <v>96</v>
          </cell>
          <cell r="F125"/>
          <cell r="G125"/>
          <cell r="H125" t="str">
            <v>20210208GFPSOX2sg3_E7_Sort1</v>
          </cell>
          <cell r="I125" t="str">
            <v>Feed w Ri</v>
          </cell>
          <cell r="J125">
            <v>1</v>
          </cell>
          <cell r="K125">
            <v>6</v>
          </cell>
          <cell r="L125"/>
          <cell r="M125"/>
          <cell r="N125"/>
          <cell r="O125"/>
          <cell r="P125"/>
          <cell r="Q125"/>
          <cell r="R125"/>
          <cell r="S125"/>
        </row>
        <row r="126">
          <cell r="B126" t="str">
            <v>20210208GFPSOX2sg3_F9_Sort1</v>
          </cell>
          <cell r="C126" t="str">
            <v>Feed w Ri</v>
          </cell>
          <cell r="D126">
            <v>1</v>
          </cell>
          <cell r="E126">
            <v>96</v>
          </cell>
          <cell r="F126"/>
          <cell r="G126"/>
          <cell r="H126" t="str">
            <v>20210208GFPSOX2sg3_F9_Sort1</v>
          </cell>
          <cell r="I126" t="str">
            <v>Feed w Ri</v>
          </cell>
          <cell r="J126">
            <v>1</v>
          </cell>
          <cell r="K126">
            <v>6</v>
          </cell>
          <cell r="L126"/>
          <cell r="M126"/>
          <cell r="N126"/>
          <cell r="O126"/>
          <cell r="P126"/>
          <cell r="Q126"/>
          <cell r="R126"/>
          <cell r="S126"/>
        </row>
        <row r="127">
          <cell r="B127" t="str">
            <v>20200318GFPSOX2sg3_A3_Sort4</v>
          </cell>
          <cell r="C127" t="str">
            <v>Feed w mTeSr+</v>
          </cell>
          <cell r="D127">
            <v>1</v>
          </cell>
          <cell r="E127">
            <v>12</v>
          </cell>
          <cell r="F127"/>
          <cell r="G127"/>
          <cell r="H127" t="str">
            <v>20200318GFPSOX2sg3_A3_Sort4</v>
          </cell>
          <cell r="I127" t="str">
            <v>Passage</v>
          </cell>
          <cell r="J127">
            <v>5</v>
          </cell>
          <cell r="K127">
            <v>10</v>
          </cell>
          <cell r="L127"/>
          <cell r="M127"/>
          <cell r="N127"/>
          <cell r="O127"/>
          <cell r="P127"/>
          <cell r="Q127"/>
          <cell r="R127"/>
          <cell r="S127"/>
        </row>
        <row r="128">
          <cell r="B128" t="str">
            <v>20200318GFPSOX2sg3_E12_Sort4</v>
          </cell>
          <cell r="C128" t="str">
            <v>Feed w mTeSr+</v>
          </cell>
          <cell r="D128">
            <v>1</v>
          </cell>
          <cell r="E128">
            <v>12</v>
          </cell>
          <cell r="F128"/>
          <cell r="G128"/>
          <cell r="H128" t="str">
            <v>20200318GFPSOX2sg3_E12_Sort4</v>
          </cell>
          <cell r="I128" t="str">
            <v>Feed w mTeSR++Ri</v>
          </cell>
          <cell r="J128">
            <v>5</v>
          </cell>
          <cell r="K128">
            <v>10</v>
          </cell>
          <cell r="L128"/>
          <cell r="M128"/>
          <cell r="N128"/>
          <cell r="O128"/>
          <cell r="P128"/>
          <cell r="Q128"/>
          <cell r="R128"/>
          <cell r="S128"/>
        </row>
        <row r="129">
          <cell r="B129"/>
          <cell r="C129"/>
          <cell r="D129"/>
          <cell r="E129"/>
          <cell r="F129"/>
          <cell r="G129"/>
          <cell r="H129"/>
          <cell r="I129"/>
          <cell r="J129"/>
          <cell r="K129"/>
          <cell r="L129"/>
          <cell r="M129"/>
          <cell r="N129"/>
          <cell r="O129"/>
          <cell r="P129"/>
          <cell r="Q129"/>
          <cell r="R129"/>
          <cell r="S129"/>
        </row>
        <row r="130">
          <cell r="B130"/>
          <cell r="C130"/>
          <cell r="D130"/>
          <cell r="E130"/>
          <cell r="F130"/>
          <cell r="G130"/>
          <cell r="H130"/>
          <cell r="I130"/>
          <cell r="J130"/>
          <cell r="K130"/>
          <cell r="L130"/>
          <cell r="M130"/>
          <cell r="N130"/>
          <cell r="O130"/>
          <cell r="P130"/>
          <cell r="Q130"/>
          <cell r="R130"/>
          <cell r="S130"/>
        </row>
        <row r="131">
          <cell r="B131"/>
          <cell r="C131"/>
          <cell r="D131"/>
          <cell r="E131"/>
          <cell r="F131"/>
          <cell r="G131"/>
          <cell r="H131"/>
          <cell r="I131"/>
          <cell r="J131"/>
          <cell r="K131"/>
          <cell r="L131"/>
          <cell r="M131"/>
          <cell r="N131"/>
          <cell r="O131"/>
          <cell r="P131"/>
          <cell r="Q131"/>
          <cell r="R131"/>
          <cell r="S131"/>
        </row>
        <row r="132">
          <cell r="B132"/>
          <cell r="C132"/>
          <cell r="D132"/>
          <cell r="E132"/>
          <cell r="F132"/>
          <cell r="G132"/>
          <cell r="H132"/>
          <cell r="I132"/>
          <cell r="J132"/>
          <cell r="K132"/>
          <cell r="L132"/>
          <cell r="M132"/>
          <cell r="N132"/>
          <cell r="O132"/>
          <cell r="P132"/>
          <cell r="Q132"/>
          <cell r="R132"/>
          <cell r="S132"/>
        </row>
        <row r="133">
          <cell r="B133"/>
          <cell r="C133"/>
          <cell r="D133"/>
          <cell r="E133"/>
          <cell r="F133"/>
          <cell r="G133"/>
          <cell r="H133"/>
          <cell r="I133"/>
          <cell r="J133"/>
          <cell r="K133"/>
          <cell r="L133"/>
          <cell r="M133"/>
          <cell r="N133"/>
          <cell r="O133"/>
          <cell r="P133"/>
          <cell r="Q133"/>
          <cell r="R133"/>
          <cell r="S133"/>
        </row>
        <row r="134">
          <cell r="B134"/>
          <cell r="C134"/>
          <cell r="D134"/>
          <cell r="E134"/>
          <cell r="F134"/>
          <cell r="G134"/>
          <cell r="H134"/>
          <cell r="I134"/>
          <cell r="J134"/>
          <cell r="K134"/>
          <cell r="L134"/>
          <cell r="M134"/>
          <cell r="N134"/>
          <cell r="O134"/>
          <cell r="P134"/>
          <cell r="Q134"/>
          <cell r="R134"/>
          <cell r="S134"/>
        </row>
        <row r="135">
          <cell r="B135"/>
          <cell r="C135"/>
          <cell r="D135"/>
          <cell r="E135"/>
          <cell r="F135"/>
          <cell r="G135"/>
          <cell r="H135"/>
          <cell r="I135"/>
          <cell r="J135"/>
          <cell r="K135"/>
          <cell r="L135"/>
          <cell r="M135"/>
          <cell r="N135"/>
          <cell r="O135"/>
          <cell r="P135"/>
          <cell r="Q135"/>
          <cell r="R135"/>
          <cell r="S135"/>
        </row>
        <row r="136">
          <cell r="B136"/>
          <cell r="C136"/>
          <cell r="D136"/>
          <cell r="E136"/>
          <cell r="F136"/>
          <cell r="G136"/>
          <cell r="H136"/>
          <cell r="I136"/>
          <cell r="J136"/>
          <cell r="K136"/>
          <cell r="L136"/>
          <cell r="M136"/>
          <cell r="N136"/>
          <cell r="O136"/>
          <cell r="P136"/>
          <cell r="Q136"/>
          <cell r="R136"/>
          <cell r="S136"/>
        </row>
        <row r="137">
          <cell r="B137"/>
          <cell r="C137"/>
          <cell r="D137"/>
          <cell r="E137"/>
          <cell r="F137"/>
          <cell r="G137"/>
          <cell r="H137"/>
          <cell r="I137"/>
          <cell r="J137"/>
          <cell r="K137"/>
          <cell r="L137"/>
          <cell r="M137"/>
          <cell r="N137"/>
          <cell r="O137"/>
          <cell r="P137"/>
          <cell r="Q137"/>
          <cell r="R137"/>
          <cell r="S137"/>
        </row>
        <row r="138">
          <cell r="B138"/>
          <cell r="C138"/>
          <cell r="D138"/>
          <cell r="E138"/>
          <cell r="F138"/>
          <cell r="G138"/>
          <cell r="H138"/>
          <cell r="I138"/>
          <cell r="J138"/>
          <cell r="K138"/>
          <cell r="L138"/>
          <cell r="M138"/>
          <cell r="N138"/>
          <cell r="O138"/>
          <cell r="P138"/>
          <cell r="Q138"/>
          <cell r="R138"/>
          <cell r="S138"/>
        </row>
        <row r="139">
          <cell r="B139"/>
          <cell r="C139"/>
          <cell r="D139"/>
          <cell r="E139"/>
          <cell r="F139"/>
          <cell r="G139"/>
          <cell r="H139"/>
          <cell r="I139"/>
          <cell r="J139"/>
          <cell r="K139"/>
          <cell r="L139"/>
          <cell r="M139"/>
          <cell r="N139"/>
          <cell r="O139"/>
          <cell r="P139"/>
          <cell r="Q139"/>
          <cell r="R139"/>
          <cell r="S139"/>
        </row>
        <row r="141">
          <cell r="N141"/>
        </row>
      </sheetData>
      <sheetData sheetId="2" refreshError="1"/>
      <sheetData sheetId="3" refreshError="1"/>
      <sheetData sheetId="4" refreshError="1"/>
      <sheetData sheetId="5">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6">
        <row r="1">
          <cell r="A1" t="str">
            <v>Cell Sample Names</v>
          </cell>
        </row>
        <row r="2">
          <cell r="A2" t="str">
            <v>20210208GFPSOX2sg3_F9_Sort2</v>
          </cell>
        </row>
        <row r="3">
          <cell r="A3" t="str">
            <v>20210208GFPSOX2sg3_E7_Sort2</v>
          </cell>
        </row>
        <row r="4">
          <cell r="A4" t="str">
            <v>20210309mChOCT4sg2</v>
          </cell>
        </row>
        <row r="5">
          <cell r="A5" t="str">
            <v>20210208GFPSOX2sg3_E7_Sort1</v>
          </cell>
        </row>
        <row r="6">
          <cell r="A6" t="str">
            <v>20210208GFPSOX2sg3_F9_Sort1</v>
          </cell>
        </row>
        <row r="7">
          <cell r="A7" t="str">
            <v>20200318GFPSOX2sg3_E12_Sort4</v>
          </cell>
        </row>
        <row r="8">
          <cell r="A8" t="str">
            <v>20200318GFPSOX2sg3_A3_Sort4</v>
          </cell>
        </row>
        <row r="9">
          <cell r="A9" t="str">
            <v>20210208GFPSOX2sg3_F9</v>
          </cell>
        </row>
        <row r="10">
          <cell r="A10" t="str">
            <v>20210208GFPSOX2sg3_E7</v>
          </cell>
        </row>
        <row r="11">
          <cell r="A11" t="str">
            <v>20210208GFPSOX2sg3</v>
          </cell>
        </row>
        <row r="12">
          <cell r="A12" t="str">
            <v>20200318GFPSOX2sg3_E12_Sort3</v>
          </cell>
        </row>
        <row r="13">
          <cell r="A13" t="str">
            <v>20200318GFPSOX2sg3_A3_Sort3</v>
          </cell>
        </row>
        <row r="14">
          <cell r="A14" t="str">
            <v>20210203GFPSOX2sg3</v>
          </cell>
        </row>
        <row r="15">
          <cell r="A15" t="str">
            <v>20200318GFPSOX2sg3_E12_Sort2</v>
          </cell>
        </row>
        <row r="16">
          <cell r="A16" t="str">
            <v>20200318GFPSOX2sg3_A3_Sort2</v>
          </cell>
        </row>
        <row r="17">
          <cell r="A17" t="str">
            <v>20200318GFPSOX2sg3_A1_Sort2</v>
          </cell>
        </row>
        <row r="18">
          <cell r="A18" t="str">
            <v>20200318GFPSOX2sg3_A1_Sort1</v>
          </cell>
        </row>
        <row r="19">
          <cell r="A19" t="str">
            <v>20200318GFPSOX2sg3_E12_Sort1</v>
          </cell>
        </row>
        <row r="20">
          <cell r="A20" t="str">
            <v>20200318GFPSOX2sg3_A3_Sort1</v>
          </cell>
        </row>
        <row r="21">
          <cell r="A21" t="str">
            <v>20200120mChOCT4sg2_B9U_Sort3</v>
          </cell>
        </row>
        <row r="22">
          <cell r="A22" t="str">
            <v>20200220mChOCT4sg2_C6_Sort4</v>
          </cell>
        </row>
        <row r="23">
          <cell r="A23" t="str">
            <v>20200220mChOCT4sg2_C10_Sort4</v>
          </cell>
        </row>
        <row r="24">
          <cell r="A24" t="str">
            <v>20200220mChOCT4sg2_C10_Sort3</v>
          </cell>
        </row>
        <row r="25">
          <cell r="A25" t="str">
            <v>20200113mChOCT4sg2_C6_Sort7</v>
          </cell>
        </row>
        <row r="26">
          <cell r="A26" t="str">
            <v>20200220mChOCT4sg2_A7a_Sort3</v>
          </cell>
        </row>
        <row r="27">
          <cell r="A27" t="str">
            <v>20200220mChOCT4sg2_A7b_Sort3</v>
          </cell>
        </row>
        <row r="28">
          <cell r="A28" t="str">
            <v>20200220mChOCT4sg2_C6_Sort3</v>
          </cell>
        </row>
        <row r="29">
          <cell r="A29" t="str">
            <v>20200113mChOCT4sg2_C7_Sort5</v>
          </cell>
        </row>
        <row r="30">
          <cell r="A30" t="str">
            <v>20200113mChOCT4sg2_C6_Sort6</v>
          </cell>
        </row>
        <row r="31">
          <cell r="A31" t="str">
            <v>20200220mChOCT4sg2_A7_Sort2</v>
          </cell>
        </row>
        <row r="32">
          <cell r="A32" t="str">
            <v>20200220mChOCT4sg2_C10_Sort2</v>
          </cell>
        </row>
        <row r="33">
          <cell r="A33" t="str">
            <v>20200220mChOCT4sg2_C6_Sort2</v>
          </cell>
        </row>
        <row r="34">
          <cell r="A34" t="str">
            <v>20200113mChOCT4sg2_C6_Sort5</v>
          </cell>
        </row>
        <row r="35">
          <cell r="A35" t="str">
            <v>20200113mChOCT4sg2_C7_Sort4</v>
          </cell>
        </row>
        <row r="36">
          <cell r="A36" t="str">
            <v>20200113mChOCT4sg2_C6_Sort4</v>
          </cell>
        </row>
        <row r="37">
          <cell r="A37" t="str">
            <v>20200113mChOCT4sg2_C7_Sort3</v>
          </cell>
        </row>
        <row r="38">
          <cell r="A38" t="str">
            <v>20200113mChOCT4sg2_C6_Sort3</v>
          </cell>
        </row>
        <row r="39">
          <cell r="A39" t="str">
            <v>20200318GFPSOX2sg3_E12</v>
          </cell>
        </row>
        <row r="40">
          <cell r="A40" t="str">
            <v>20200318GFPSOX2sg3_A3</v>
          </cell>
        </row>
        <row r="41">
          <cell r="A41" t="str">
            <v>20200318GFPSOX2sg3_A1</v>
          </cell>
        </row>
        <row r="42">
          <cell r="A42" t="str">
            <v>20200120mChOCT4sg2_B9U_Sort2</v>
          </cell>
        </row>
        <row r="43">
          <cell r="A43" t="str">
            <v>20200120mChOCT4sg2_B9U</v>
          </cell>
        </row>
        <row r="44">
          <cell r="A44" t="str">
            <v>20200220mChOCT4sg2_A7_Sort1</v>
          </cell>
        </row>
        <row r="45">
          <cell r="A45" t="str">
            <v>20200220mChOCT4sg2_C6_Sort1</v>
          </cell>
        </row>
        <row r="46">
          <cell r="A46" t="str">
            <v>20200220mChOCT4sg2_C9_Sort1</v>
          </cell>
        </row>
        <row r="47">
          <cell r="A47" t="str">
            <v>20200220mChOCT4sg2_C10_Sort1</v>
          </cell>
        </row>
        <row r="48">
          <cell r="A48" t="str">
            <v>20200220mChOCT4sg2_D8_Sort1</v>
          </cell>
        </row>
        <row r="49">
          <cell r="A49" t="str">
            <v>20200220mChOCT4sg2_D8</v>
          </cell>
        </row>
        <row r="50">
          <cell r="A50" t="str">
            <v>20200220mChOCT4sg2_C10</v>
          </cell>
        </row>
        <row r="51">
          <cell r="A51" t="str">
            <v>20200220mChOCT4sg2_C9</v>
          </cell>
        </row>
        <row r="52">
          <cell r="A52" t="str">
            <v>20200220mChOCT4sg2_C6</v>
          </cell>
        </row>
        <row r="53">
          <cell r="A53" t="str">
            <v>20200220mChOCT4sg2_A7</v>
          </cell>
        </row>
        <row r="54">
          <cell r="A54" t="str">
            <v>20200120mChOCT4sg2_C11_Sort2</v>
          </cell>
        </row>
        <row r="55">
          <cell r="A55" t="str">
            <v>20200120mChOCT4sg2_B9_Sort2</v>
          </cell>
        </row>
        <row r="56">
          <cell r="A56" t="str">
            <v>20200120mChOCT4sg2_B9 Ultrasort</v>
          </cell>
        </row>
        <row r="57">
          <cell r="A57" t="str">
            <v>20200120mChOCT4sg2_B9_Sort1</v>
          </cell>
        </row>
        <row r="58">
          <cell r="A58" t="str">
            <v>20200120mChOCT4sg2_C11_Sort1</v>
          </cell>
        </row>
        <row r="59">
          <cell r="A59" t="str">
            <v>20200120mChOCT4sg2_D2_Sort1</v>
          </cell>
        </row>
        <row r="60">
          <cell r="A60" t="str">
            <v>20200120mChOCT4sg2_E6_Sort1</v>
          </cell>
        </row>
        <row r="61">
          <cell r="A61" t="str">
            <v>20200120mChOCT4sg2_E6</v>
          </cell>
        </row>
        <row r="62">
          <cell r="A62" t="str">
            <v>20200120mChOCT4sg2_D2</v>
          </cell>
        </row>
        <row r="63">
          <cell r="A63" t="str">
            <v>20200120mChOCT4sg2_C11</v>
          </cell>
        </row>
        <row r="64">
          <cell r="A64" t="str">
            <v>20200120mChOCT4sg2_B9</v>
          </cell>
        </row>
        <row r="65">
          <cell r="A65" t="str">
            <v>20200113mChOCT4sg2_B8_Sort2</v>
          </cell>
        </row>
        <row r="66">
          <cell r="A66" t="str">
            <v>20200113mChOCT4sg2_B9_Sort2</v>
          </cell>
        </row>
        <row r="67">
          <cell r="A67" t="str">
            <v>20200113mChOCT4sg2_C6_Sort2</v>
          </cell>
        </row>
        <row r="68">
          <cell r="A68" t="str">
            <v>20200113mChOCT4sg2_C11_Sort1</v>
          </cell>
        </row>
        <row r="69">
          <cell r="A69" t="str">
            <v>20200113mChOCT4sg2_C11</v>
          </cell>
        </row>
        <row r="70">
          <cell r="A70" t="str">
            <v>20200113mChOCT4sg2_B8_Sort1</v>
          </cell>
        </row>
        <row r="71">
          <cell r="A71" t="str">
            <v>20200113mChOCT4sg2_B9_Sort1</v>
          </cell>
        </row>
        <row r="72">
          <cell r="A72" t="str">
            <v>20200318GFPSOX2sg3_C11_Sort1</v>
          </cell>
        </row>
        <row r="73">
          <cell r="A73" t="str">
            <v>20200113mChOCT4sg2_C6_Sort1</v>
          </cell>
        </row>
        <row r="74">
          <cell r="A74" t="str">
            <v>20200113mChOCT4sg2_C7_Sort2</v>
          </cell>
        </row>
        <row r="75">
          <cell r="A75" t="str">
            <v>20200113mChOCT4sg2_C7_Sort1</v>
          </cell>
        </row>
        <row r="76">
          <cell r="A76" t="str">
            <v>20200113mChOCT4sg2_C7</v>
          </cell>
        </row>
        <row r="77">
          <cell r="A77" t="str">
            <v>20200113mChOCT4sg2_C9</v>
          </cell>
        </row>
        <row r="78">
          <cell r="A78" t="str">
            <v>20200113mChOCT4sg2_C6</v>
          </cell>
        </row>
        <row r="79">
          <cell r="A79" t="str">
            <v>20200113mChOCT4sg2_B9</v>
          </cell>
        </row>
        <row r="80">
          <cell r="A80" t="str">
            <v>20200113mChOCT4sg2_B8</v>
          </cell>
        </row>
        <row r="81">
          <cell r="A81" t="str">
            <v>20200113mChOCT4sg2</v>
          </cell>
        </row>
        <row r="82">
          <cell r="A82" t="str">
            <v>20200318GFPSOX2sg3</v>
          </cell>
        </row>
        <row r="83">
          <cell r="A83" t="str">
            <v>20200317GFPSOX2sg2</v>
          </cell>
        </row>
        <row r="84">
          <cell r="A84" t="str">
            <v>20200316GFPSOX2sg1</v>
          </cell>
        </row>
        <row r="85">
          <cell r="A85" t="str">
            <v>20200220mChOCT4sg2</v>
          </cell>
        </row>
        <row r="86">
          <cell r="A86" t="str">
            <v>20200120mChOCT4sg2</v>
          </cell>
        </row>
        <row r="87">
          <cell r="A87" t="str">
            <v>WTC11</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8942DE-71A7-47BE-ADEC-9C65E39D5982}"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01A8681-D2BD-4FD0-ACA2-B3C8B53C0747}"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7FC87494-A8D4-4A0F-87E1-213FD81658F3}"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E4B05F0E-21C3-46AC-A45B-0C9E72E9E7AF}"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33677D9F-ACB3-4DC9-B6BC-EA12FBB84E5D}"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20D33192-79D8-431E-9F89-EBDD2F1570EB}"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854C7E52-40BD-41E4-8AFE-FB357B3264EA}" autoFormatId="16" applyNumberFormats="0" applyBorderFormats="0" applyFontFormats="0" applyPatternFormats="0" applyAlignmentFormats="0" applyWidthHeightFormats="0">
  <queryTableRefresh nextId="11">
    <queryTableFields count="10">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 id="8" name="Activity ID" tableColumnId="8"/>
      <queryTableField id="9" name="Username" tableColumnId="9"/>
      <queryTableField id="10" name="Computer Name" tableColumnId="1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9250F3D-F1E0-4B6A-8A59-9B764228587D}" name="Table16" displayName="Table16" ref="M830:M831" insertRow="1" totalsRowShown="0" headerRowDxfId="74" dataDxfId="73">
  <autoFilter ref="M830:M831" xr:uid="{7F351CFC-81AB-4EF8-895B-3BD395F66794}"/>
  <tableColumns count="1">
    <tableColumn id="1" xr3:uid="{28078D2F-8E60-47CB-9083-75D627132F34}" name="Column1" dataDxfId="7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57555E1-0911-4080-8B9B-BA8534078EDE}" name="Table17" displayName="Table17" ref="A1:J805" totalsRowShown="0" headerRowDxfId="71" dataDxfId="70" tableBorderDxfId="69">
  <autoFilter ref="A1:J805" xr:uid="{8370CED6-5F93-4F8E-BC7F-3CC542EDC3E5}"/>
  <tableColumns count="10">
    <tableColumn id="1" xr3:uid="{76773439-1380-4627-99C4-D41882A0FBDC}" name="Date" dataDxfId="68"/>
    <tableColumn id="2" xr3:uid="{7C607D7F-73FD-4622-87EA-5D621230239E}" name="Row" dataDxfId="67"/>
    <tableColumn id="3" xr3:uid="{88356CBA-84F2-4670-AAE2-843D92848DB0}" name="Cell Sample Name" dataDxfId="66"/>
    <tableColumn id="4" xr3:uid="{22F6DC19-4D85-4DC1-BFFA-2BAD69E080A1}" name="Activity" dataDxfId="65"/>
    <tableColumn id="5" xr3:uid="{45260E95-9408-4E5A-8821-EEEE53E3822F}" name="#" dataDxfId="64"/>
    <tableColumn id="6" xr3:uid="{E721E61D-F7D0-4C63-AAE4-3CBB18B694DE}" name="Plate" dataDxfId="63"/>
    <tableColumn id="7" xr3:uid="{7DB5AEE2-B84A-4C76-BE87-CE002C679D4D}" name="Notes" dataDxfId="62"/>
    <tableColumn id="8" xr3:uid="{1F44A858-8166-40BA-A64D-73D244A33E7A}" name="Activity ID" dataDxfId="61"/>
    <tableColumn id="9" xr3:uid="{3410D716-37AC-4966-979A-C57DB56F614C}" name="Username" dataDxfId="60"/>
    <tableColumn id="10" xr3:uid="{C55D0F1B-46F1-43D5-8AA3-AC6F055FB52E}" name="Computer Name" dataDxfId="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9CB735E-91EA-4E5A-BF20-39C6EB448C80}" name="Table17_2" displayName="Table17_2" ref="A1:J4" tableType="queryTable" totalsRowShown="0">
  <autoFilter ref="A1:J4" xr:uid="{2B1F54FD-C819-4BD4-BE3E-E91FEE720E86}"/>
  <tableColumns count="10">
    <tableColumn id="1" xr3:uid="{E996319F-3E59-4CDB-9002-F2330E862A00}" uniqueName="1" name="Date" queryTableFieldId="1" dataDxfId="52"/>
    <tableColumn id="2" xr3:uid="{6C832E5D-AC0C-40BD-B8FD-76C1A61AA7FD}" uniqueName="2" name="Row" queryTableFieldId="2"/>
    <tableColumn id="3" xr3:uid="{535ED9FF-EEC3-4F99-84F2-23DE164AE969}" uniqueName="3" name="Cell Sample Name" queryTableFieldId="3" dataDxfId="51"/>
    <tableColumn id="4" xr3:uid="{9BA557A8-C83B-487E-BCF0-BBE445832F8A}" uniqueName="4" name="Activity" queryTableFieldId="4" dataDxfId="50"/>
    <tableColumn id="5" xr3:uid="{4B47A29F-C67A-456E-838D-7BB27F1EC44C}" uniqueName="5" name="#" queryTableFieldId="5"/>
    <tableColumn id="6" xr3:uid="{F4E8229A-88F5-412F-8866-F5D271D78FBE}" uniqueName="6" name="Plate" queryTableFieldId="6"/>
    <tableColumn id="7" xr3:uid="{FA542969-B828-4AAF-B4C7-2A9BD3A79F81}" uniqueName="7" name="Notes" queryTableFieldId="7" dataDxfId="49"/>
    <tableColumn id="8" xr3:uid="{AC1E9C9B-3288-4D4A-BFDE-84A0C11FDEE1}" uniqueName="8" name="Activity ID" queryTableFieldId="8" dataDxfId="48"/>
    <tableColumn id="9" xr3:uid="{D522B1FC-4F94-4ED9-8081-B28521C1CA1D}" uniqueName="9" name="Username" queryTableFieldId="9" dataDxfId="47"/>
    <tableColumn id="10" xr3:uid="{74BB62C6-8F1F-4514-B74B-D128360EFD41}" uniqueName="10" name="Computer Name" queryTableFieldId="10" dataDxfId="4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A111FB0-8E84-4199-9BC6-2AF38743FA82}" name="Table17__3" displayName="Table17__3" ref="A1:J31" tableType="queryTable" totalsRowShown="0">
  <autoFilter ref="A1:J31" xr:uid="{FCA82357-8E80-4D57-BDD7-DCF97CEF21C4}"/>
  <tableColumns count="10">
    <tableColumn id="1" xr3:uid="{FDFF7E73-D2AB-4D7D-935C-B68871BCD84D}" uniqueName="1" name="Date" queryTableFieldId="1" dataDxfId="45"/>
    <tableColumn id="2" xr3:uid="{A35EC183-827F-434F-A049-DF82B64CD596}" uniqueName="2" name="Row" queryTableFieldId="2"/>
    <tableColumn id="3" xr3:uid="{7979A2DF-AB49-4F0B-A872-C65FC232F6C0}" uniqueName="3" name="Cell Sample Name" queryTableFieldId="3" dataDxfId="44"/>
    <tableColumn id="4" xr3:uid="{2A40ADE2-FE7C-4E45-845C-678441310731}" uniqueName="4" name="Activity" queryTableFieldId="4" dataDxfId="43"/>
    <tableColumn id="5" xr3:uid="{2CA88E47-B0FB-4BB2-92BF-F31745F6C7DA}" uniqueName="5" name="#" queryTableFieldId="5"/>
    <tableColumn id="6" xr3:uid="{7F7B5B4A-ABB0-458F-AB15-84CEA947CB86}" uniqueName="6" name="Plate" queryTableFieldId="6"/>
    <tableColumn id="7" xr3:uid="{E56F765B-1CEE-48BD-A526-CF4E49CAE73E}" uniqueName="7" name="Notes" queryTableFieldId="7" dataDxfId="42"/>
    <tableColumn id="8" xr3:uid="{CCD666CD-75D3-4481-A496-C233E377D151}" uniqueName="8" name="Activity ID" queryTableFieldId="8" dataDxfId="41"/>
    <tableColumn id="9" xr3:uid="{C152F75D-DE15-4D31-BA00-BAA768F52F5F}" uniqueName="9" name="Username" queryTableFieldId="9" dataDxfId="40"/>
    <tableColumn id="10" xr3:uid="{27BDD05F-3F76-4D43-B08C-E3754C012C7A}" uniqueName="10" name="Computer Name" queryTableFieldId="10" dataDxfId="3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519C7E0-B36E-40B1-B9AB-AABF13798100}" name="Table17__2" displayName="Table17__2" ref="A1:J10" tableType="queryTable" totalsRowShown="0">
  <autoFilter ref="A1:J10" xr:uid="{B2ACFA23-7474-47BD-AF1D-3EDC787A4DBD}"/>
  <tableColumns count="10">
    <tableColumn id="1" xr3:uid="{DF96DC45-8108-4C75-9406-0BFF3E3DDD20}" uniqueName="1" name="Date" queryTableFieldId="1" dataDxfId="38"/>
    <tableColumn id="2" xr3:uid="{24B7087A-A0C4-4044-BB64-53C159ED95BA}" uniqueName="2" name="Row" queryTableFieldId="2"/>
    <tableColumn id="3" xr3:uid="{AC2EB5BB-E44E-4F90-BDDB-B34898D39F1C}" uniqueName="3" name="Cell Sample Name" queryTableFieldId="3" dataDxfId="37"/>
    <tableColumn id="4" xr3:uid="{50AB71A7-2A6D-4037-8145-4DF1A4263EF1}" uniqueName="4" name="Activity" queryTableFieldId="4" dataDxfId="36"/>
    <tableColumn id="5" xr3:uid="{FCC9EADD-4206-4E91-9D34-82E547B31C16}" uniqueName="5" name="#" queryTableFieldId="5"/>
    <tableColumn id="6" xr3:uid="{F472FD74-69A6-4011-83E5-F0579020E3AF}" uniqueName="6" name="Plate" queryTableFieldId="6"/>
    <tableColumn id="7" xr3:uid="{21213DD3-09CB-4D82-B98F-A84B82B62699}" uniqueName="7" name="Notes" queryTableFieldId="7" dataDxfId="35"/>
    <tableColumn id="8" xr3:uid="{F9907939-18F7-40AF-9230-F5D1AC62098C}" uniqueName="8" name="Activity ID" queryTableFieldId="8" dataDxfId="34"/>
    <tableColumn id="9" xr3:uid="{9D9C74CA-27C7-4815-8418-A082094DFAA2}" uniqueName="9" name="Username" queryTableFieldId="9" dataDxfId="33"/>
    <tableColumn id="10" xr3:uid="{C4F05623-27F7-430E-80A7-D9E4B7E5628F}" uniqueName="10" name="Computer Name" queryTableFieldId="10" dataDxfId="3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D32F363-E44C-44F2-A1CB-7ACB20215333}" name="Table17__4" displayName="Table17__4" ref="A1:J13" tableType="queryTable" totalsRowShown="0">
  <autoFilter ref="A1:J13" xr:uid="{2A643D03-A2F0-459F-85B5-ECA9E1028AA4}"/>
  <tableColumns count="10">
    <tableColumn id="1" xr3:uid="{EBC538B0-2F4D-4AA9-8282-22B01FBE8F7E}" uniqueName="1" name="Date" queryTableFieldId="1" dataDxfId="31"/>
    <tableColumn id="2" xr3:uid="{E5ECC6F6-7E33-4CFD-AE77-B8BAE0EE7CF4}" uniqueName="2" name="Row" queryTableFieldId="2"/>
    <tableColumn id="3" xr3:uid="{41327D9B-60DD-40EF-90B4-1E2733A22502}" uniqueName="3" name="Cell Sample Name" queryTableFieldId="3" dataDxfId="30"/>
    <tableColumn id="4" xr3:uid="{DEA80563-7774-46EE-91AC-1C9EFA06D8E7}" uniqueName="4" name="Activity" queryTableFieldId="4" dataDxfId="29"/>
    <tableColumn id="5" xr3:uid="{43A96DA2-92C0-42D4-8B90-B915773AC1E3}" uniqueName="5" name="#" queryTableFieldId="5"/>
    <tableColumn id="6" xr3:uid="{2848075C-C707-4D5C-98FC-9E916770AD60}" uniqueName="6" name="Plate" queryTableFieldId="6"/>
    <tableColumn id="7" xr3:uid="{C41F6F48-FED3-40C3-8776-4DC37E775719}" uniqueName="7" name="Notes" queryTableFieldId="7" dataDxfId="28"/>
    <tableColumn id="8" xr3:uid="{05E6E6FD-01D9-4471-B147-E3208B3B7C3A}" uniqueName="8" name="Activity ID" queryTableFieldId="8" dataDxfId="27"/>
    <tableColumn id="9" xr3:uid="{F7EB25B7-756C-4769-9285-8EEF3072DAD7}" uniqueName="9" name="Username" queryTableFieldId="9" dataDxfId="26"/>
    <tableColumn id="10" xr3:uid="{C283BABC-F1B6-43E2-B258-B2098FEF63B4}" uniqueName="10" name="Computer Name" queryTableFieldId="10" dataDxfId="2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B2C8B4C-1C70-42A0-A3D6-309AA0FFA755}" name="Table17__5" displayName="Table17__5" ref="A1:J307" tableType="queryTable" totalsRowShown="0">
  <autoFilter ref="A1:J307" xr:uid="{50A90867-1D26-4D71-BC80-934C8F16D076}"/>
  <sortState xmlns:xlrd2="http://schemas.microsoft.com/office/spreadsheetml/2017/richdata2" ref="A2:J307">
    <sortCondition ref="A1:A307"/>
  </sortState>
  <tableColumns count="10">
    <tableColumn id="1" xr3:uid="{A8AB8022-38AA-4F91-98E1-85A37A452319}" uniqueName="1" name="Date" queryTableFieldId="1" dataDxfId="24"/>
    <tableColumn id="2" xr3:uid="{840A712B-E951-411F-8511-D7212466A9B4}" uniqueName="2" name="Row" queryTableFieldId="2"/>
    <tableColumn id="3" xr3:uid="{85D55C78-7854-4DBD-8C9A-EFF41D8B7DA4}" uniqueName="3" name="Cell Sample Name" queryTableFieldId="3" dataDxfId="23"/>
    <tableColumn id="4" xr3:uid="{047DD83B-7AB0-4394-BB2A-C41D6B37B001}" uniqueName="4" name="Activity" queryTableFieldId="4" dataDxfId="22"/>
    <tableColumn id="5" xr3:uid="{9304F7E6-AF11-416F-A1FB-2987133793D7}" uniqueName="5" name="#" queryTableFieldId="5"/>
    <tableColumn id="6" xr3:uid="{D99862E2-89C9-4F72-A595-53A6D91279CF}" uniqueName="6" name="Plate" queryTableFieldId="6"/>
    <tableColumn id="7" xr3:uid="{373E6D05-7E44-4652-A63C-798B71E99A62}" uniqueName="7" name="Notes" queryTableFieldId="7" dataDxfId="21"/>
    <tableColumn id="8" xr3:uid="{A510A7A7-1182-492D-9C5E-0667AD72368B}" uniqueName="8" name="Activity ID" queryTableFieldId="8" dataDxfId="20"/>
    <tableColumn id="9" xr3:uid="{5EABB2C9-54DF-476A-BC14-F86587FD5349}" uniqueName="9" name="Username" queryTableFieldId="9" dataDxfId="19"/>
    <tableColumn id="10" xr3:uid="{B0ED163F-7D33-4D89-985B-80F9C513DD05}" uniqueName="10" name="Computer Nam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56EA9B7-4291-4EDD-9A81-5AC69CF32D8F}" name="Table17__6" displayName="Table17__6" ref="A1:J98" tableType="queryTable" totalsRowShown="0">
  <autoFilter ref="A1:J98" xr:uid="{69ABCF05-529A-4BDA-8CC5-B41F0356EF95}"/>
  <tableColumns count="10">
    <tableColumn id="1" xr3:uid="{86912404-AC5D-4042-8E70-F4DC3AE38680}" uniqueName="1" name="Date" queryTableFieldId="1" dataDxfId="17"/>
    <tableColumn id="2" xr3:uid="{C3E56919-A510-44FC-9ADD-725F853DA2AB}" uniqueName="2" name="Row" queryTableFieldId="2"/>
    <tableColumn id="3" xr3:uid="{E11DB35A-180C-4950-BEDE-E5777334F5A0}" uniqueName="3" name="Cell Sample Name" queryTableFieldId="3" dataDxfId="16"/>
    <tableColumn id="4" xr3:uid="{CAC4C2E2-A674-45AF-83EA-9030059DBA7F}" uniqueName="4" name="Activity" queryTableFieldId="4" dataDxfId="15"/>
    <tableColumn id="5" xr3:uid="{E7FAB904-7E9D-44EF-B2AA-6B146BFE6E68}" uniqueName="5" name="#" queryTableFieldId="5"/>
    <tableColumn id="6" xr3:uid="{F7364763-2A94-4A6B-ADBF-80316F159D03}" uniqueName="6" name="Plate" queryTableFieldId="6"/>
    <tableColumn id="7" xr3:uid="{26E50805-941C-4D01-B987-5611262D4A49}" uniqueName="7" name="Notes" queryTableFieldId="7" dataDxfId="14"/>
    <tableColumn id="8" xr3:uid="{3FA35B8C-4735-4464-9B01-4835088E96EB}" uniqueName="8" name="Activity ID" queryTableFieldId="8" dataDxfId="13"/>
    <tableColumn id="9" xr3:uid="{9696100B-F195-415C-92C2-E5A046C01100}" uniqueName="9" name="Username" queryTableFieldId="9" dataDxfId="12"/>
    <tableColumn id="10" xr3:uid="{CFEAC79F-D027-4427-AA71-748D8A859C71}" uniqueName="10" name="Computer Name" queryTableFieldId="10"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C39E3F0-35D2-4282-B650-07FF5A415661}" name="Table17__7" displayName="Table17__7" ref="A1:J301" tableType="queryTable" totalsRowShown="0">
  <autoFilter ref="A1:J301" xr:uid="{C7EBD0BB-3175-44D3-AF2D-84C8341FA630}"/>
  <tableColumns count="10">
    <tableColumn id="1" xr3:uid="{91D3C401-B22E-45B7-AD31-67BC636A6F67}" uniqueName="1" name="Date" queryTableFieldId="1" dataDxfId="10"/>
    <tableColumn id="2" xr3:uid="{C18093DA-57D2-4C06-AA0B-96EE61A27110}" uniqueName="2" name="Row" queryTableFieldId="2"/>
    <tableColumn id="3" xr3:uid="{5371C6A7-D464-4D9C-8A03-65C14B20BD29}" uniqueName="3" name="Cell Sample Name" queryTableFieldId="3" dataDxfId="9"/>
    <tableColumn id="4" xr3:uid="{64491FFA-185E-405A-ABB6-EA48FBA61D0E}" uniqueName="4" name="Activity" queryTableFieldId="4" dataDxfId="8"/>
    <tableColumn id="5" xr3:uid="{F063AAB6-2750-4AB8-BC4A-204904D502E7}" uniqueName="5" name="#" queryTableFieldId="5"/>
    <tableColumn id="6" xr3:uid="{23D0E60E-7686-42B4-BACB-1376B8AA6C0F}" uniqueName="6" name="Plate" queryTableFieldId="6"/>
    <tableColumn id="7" xr3:uid="{12E62B9E-4CBD-4FED-A806-C60AE0190509}" uniqueName="7" name="Notes" queryTableFieldId="7" dataDxfId="7"/>
    <tableColumn id="8" xr3:uid="{0C26837E-18AC-4A57-9BC7-4A644A045D03}" uniqueName="8" name="Activity ID" queryTableFieldId="8" dataDxfId="6"/>
    <tableColumn id="9" xr3:uid="{CE37F23D-2B1F-44AD-ABCD-0716984226AD}" uniqueName="9" name="Username" queryTableFieldId="9" dataDxfId="5"/>
    <tableColumn id="10" xr3:uid="{C2DDDC8D-72D9-4A8E-BEA7-6442BAF2168A}" uniqueName="10" name="Computer Name" queryTableFieldId="10"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usnistgov/cell-line-engineering/blob/master/README.docx" TargetMode="External"/><Relationship Id="rId1" Type="http://schemas.openxmlformats.org/officeDocument/2006/relationships/hyperlink" Target="https://github.com/usnistgov/cell-line-enginee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7.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6.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5.xml"/><Relationship Id="rId4" Type="http://schemas.openxmlformats.org/officeDocument/2006/relationships/hyperlink" Target="https://www.addgene.org/99608/" TargetMode="External"/><Relationship Id="rId9"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8" Type="http://schemas.openxmlformats.org/officeDocument/2006/relationships/hyperlink" Target="file:///\\64404QNAP1\Data\EPCL\20200120mChOCT4sg2\D2" TargetMode="External"/><Relationship Id="rId13" Type="http://schemas.openxmlformats.org/officeDocument/2006/relationships/hyperlink" Target="file:///\\64404QNAP1\Data\EPCL\20200220mChOCT4sg2\C9" TargetMode="External"/><Relationship Id="rId3" Type="http://schemas.openxmlformats.org/officeDocument/2006/relationships/hyperlink" Target="file:///\\64404QNAP1\Data\EPCL\20200113mChOCT4sg2\C6" TargetMode="External"/><Relationship Id="rId7" Type="http://schemas.openxmlformats.org/officeDocument/2006/relationships/hyperlink" Target="file:///\\64404QNAP1\Data\EPCL\20200120mChOCT4sg2\C11" TargetMode="External"/><Relationship Id="rId12" Type="http://schemas.openxmlformats.org/officeDocument/2006/relationships/hyperlink" Target="file:///\\64404QNAP1\Data\EPCL\20200220mChOCT4sg2\C6" TargetMode="External"/><Relationship Id="rId2" Type="http://schemas.openxmlformats.org/officeDocument/2006/relationships/hyperlink" Target="file:///\\64404QNAP1\Data\EPCL\20200113mChOCT4sg2\B9" TargetMode="External"/><Relationship Id="rId1" Type="http://schemas.openxmlformats.org/officeDocument/2006/relationships/hyperlink" Target="file:///\\64404QNAP1\Data\EPCL\20200113mChOCT4sg2\B8" TargetMode="External"/><Relationship Id="rId6" Type="http://schemas.openxmlformats.org/officeDocument/2006/relationships/hyperlink" Target="file:///\\64404QNAP1\Data\EPCL\20200120mChOCT4sg2\B9U" TargetMode="External"/><Relationship Id="rId11" Type="http://schemas.openxmlformats.org/officeDocument/2006/relationships/hyperlink" Target="file:///\\64404QNAP1\Data\EPCL\20200220mChOCT4sg2\C10" TargetMode="External"/><Relationship Id="rId5" Type="http://schemas.openxmlformats.org/officeDocument/2006/relationships/hyperlink" Target="file:///\\64404QNAP1\Data\EPCL\20200113mChOCT4sg2\C7" TargetMode="External"/><Relationship Id="rId15" Type="http://schemas.openxmlformats.org/officeDocument/2006/relationships/printerSettings" Target="../printerSettings/printerSettings14.bin"/><Relationship Id="rId10" Type="http://schemas.openxmlformats.org/officeDocument/2006/relationships/hyperlink" Target="file:///\\64404QNAP1\Data\EPCL\20200220mChOCT4sg2\A7" TargetMode="External"/><Relationship Id="rId4" Type="http://schemas.openxmlformats.org/officeDocument/2006/relationships/hyperlink" Target="file:///\\64404QNAP1\Data\EPCL\20200113mChOCT4sg2\C11" TargetMode="External"/><Relationship Id="rId9" Type="http://schemas.openxmlformats.org/officeDocument/2006/relationships/hyperlink" Target="file:///\\64404QNAP1\Data\EPCL\20200120mChOCT4sg2\E6" TargetMode="External"/><Relationship Id="rId14" Type="http://schemas.openxmlformats.org/officeDocument/2006/relationships/hyperlink" Target="file:///\\64404QNAP1\Data\EPCL\20200220mChOCT4sg2\D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E4CD3-95A0-44B3-A5A3-EF15E8F16C26}">
  <sheetPr codeName="Documentation1"/>
  <dimension ref="A1:T65"/>
  <sheetViews>
    <sheetView tabSelected="1" workbookViewId="0">
      <selection activeCell="N28" sqref="N28"/>
    </sheetView>
  </sheetViews>
  <sheetFormatPr defaultRowHeight="14.25"/>
  <cols>
    <col min="1" max="1" width="9.06640625" style="8"/>
    <col min="2" max="2" width="11.59765625" style="8" customWidth="1"/>
    <col min="3" max="16384" width="9.06640625" style="8"/>
  </cols>
  <sheetData>
    <row r="1" spans="1:20">
      <c r="A1" s="8" t="s">
        <v>658</v>
      </c>
    </row>
    <row r="2" spans="1:20">
      <c r="A2" s="11" t="s">
        <v>577</v>
      </c>
      <c r="C2" s="330" t="s">
        <v>578</v>
      </c>
    </row>
    <row r="4" spans="1:20">
      <c r="A4" s="430" t="s">
        <v>579</v>
      </c>
      <c r="B4" s="431"/>
      <c r="C4" s="431"/>
      <c r="D4" s="431"/>
      <c r="E4" s="431"/>
      <c r="F4" s="431"/>
      <c r="G4" s="431"/>
      <c r="H4" s="431"/>
      <c r="I4" s="431"/>
      <c r="J4" s="431"/>
      <c r="K4" s="431"/>
      <c r="L4" s="431"/>
      <c r="M4" s="431"/>
      <c r="N4" s="431"/>
      <c r="O4" s="431"/>
      <c r="P4" s="431"/>
      <c r="Q4" s="431"/>
      <c r="R4" s="431"/>
      <c r="S4" s="431"/>
      <c r="T4" s="431"/>
    </row>
    <row r="5" spans="1:20">
      <c r="A5" s="431"/>
      <c r="B5" s="431"/>
      <c r="C5" s="431"/>
      <c r="D5" s="431"/>
      <c r="E5" s="431"/>
      <c r="F5" s="431"/>
      <c r="G5" s="431"/>
      <c r="H5" s="431"/>
      <c r="I5" s="431"/>
      <c r="J5" s="431"/>
      <c r="K5" s="431"/>
      <c r="L5" s="431"/>
      <c r="M5" s="431"/>
      <c r="N5" s="431"/>
      <c r="O5" s="431"/>
      <c r="P5" s="431"/>
      <c r="Q5" s="431"/>
      <c r="R5" s="431"/>
      <c r="S5" s="431"/>
      <c r="T5" s="431"/>
    </row>
    <row r="6" spans="1:20">
      <c r="A6" s="429"/>
      <c r="B6" s="431" t="s">
        <v>580</v>
      </c>
      <c r="C6" s="431"/>
      <c r="D6" s="431"/>
      <c r="E6" s="431"/>
      <c r="F6" s="431"/>
      <c r="G6" s="431"/>
      <c r="H6" s="431"/>
      <c r="I6" s="449" t="s">
        <v>626</v>
      </c>
      <c r="J6" s="431"/>
      <c r="K6" s="431"/>
      <c r="L6" s="431"/>
      <c r="M6" s="431"/>
      <c r="N6" s="431"/>
      <c r="O6" s="431"/>
      <c r="P6" s="431"/>
      <c r="Q6" s="431"/>
      <c r="R6" s="431"/>
      <c r="S6" s="431"/>
      <c r="T6" s="431"/>
    </row>
    <row r="7" spans="1:20">
      <c r="A7" s="431" t="s">
        <v>581</v>
      </c>
      <c r="B7" s="431"/>
      <c r="C7" s="431"/>
      <c r="D7" s="431"/>
      <c r="E7" s="431"/>
      <c r="F7" s="431"/>
      <c r="G7" s="431"/>
      <c r="H7" s="431"/>
      <c r="I7" s="449" t="s">
        <v>627</v>
      </c>
      <c r="J7" s="431"/>
      <c r="K7" s="431"/>
      <c r="L7" s="431"/>
      <c r="M7" s="431"/>
      <c r="N7" s="431"/>
      <c r="O7" s="431"/>
      <c r="P7" s="431"/>
      <c r="Q7" s="431"/>
      <c r="R7" s="431"/>
      <c r="S7" s="431"/>
      <c r="T7" s="431"/>
    </row>
    <row r="8" spans="1:20">
      <c r="A8" s="431"/>
      <c r="B8" s="431"/>
      <c r="C8" s="431"/>
      <c r="D8" s="431"/>
      <c r="E8" s="431"/>
      <c r="F8" s="431"/>
      <c r="G8" s="431"/>
      <c r="H8" s="431"/>
      <c r="I8" s="431"/>
      <c r="J8" s="431"/>
      <c r="K8" s="431"/>
      <c r="L8" s="431"/>
      <c r="M8" s="431"/>
      <c r="N8" s="431"/>
      <c r="O8" s="431"/>
      <c r="P8" s="431"/>
      <c r="Q8" s="431"/>
      <c r="R8" s="431"/>
      <c r="S8" s="431"/>
      <c r="T8" s="431"/>
    </row>
    <row r="9" spans="1:20">
      <c r="A9" s="431" t="s">
        <v>566</v>
      </c>
      <c r="B9" s="431"/>
      <c r="C9" s="431"/>
      <c r="D9" s="431" t="s">
        <v>562</v>
      </c>
      <c r="E9" s="431" t="s">
        <v>582</v>
      </c>
      <c r="F9" s="431"/>
      <c r="G9" s="431"/>
      <c r="H9" s="431" t="s">
        <v>563</v>
      </c>
      <c r="I9" s="431"/>
      <c r="J9" s="431"/>
      <c r="K9" s="431"/>
      <c r="L9" s="431"/>
      <c r="M9" s="431"/>
      <c r="N9" s="431"/>
      <c r="O9" s="431"/>
      <c r="P9" s="431"/>
      <c r="Q9" s="431"/>
      <c r="R9" s="431"/>
      <c r="S9" s="431"/>
      <c r="T9" s="431"/>
    </row>
    <row r="10" spans="1:20">
      <c r="A10" s="431" t="s">
        <v>567</v>
      </c>
      <c r="B10" s="431"/>
      <c r="C10" s="431"/>
      <c r="D10" s="431" t="s">
        <v>565</v>
      </c>
      <c r="E10" s="431" t="s">
        <v>575</v>
      </c>
      <c r="F10" s="431"/>
      <c r="G10" s="431"/>
      <c r="H10" s="431" t="s">
        <v>564</v>
      </c>
      <c r="I10" s="431"/>
      <c r="J10" s="431"/>
      <c r="K10" s="431"/>
      <c r="L10" s="431"/>
      <c r="M10" s="431"/>
      <c r="N10" s="431"/>
      <c r="O10" s="431"/>
      <c r="P10" s="431"/>
      <c r="Q10" s="431"/>
      <c r="R10" s="431"/>
      <c r="S10" s="431"/>
      <c r="T10" s="431"/>
    </row>
    <row r="11" spans="1:20">
      <c r="A11" s="431" t="s">
        <v>570</v>
      </c>
      <c r="B11" s="431"/>
      <c r="C11" s="431"/>
      <c r="D11" s="431" t="s">
        <v>569</v>
      </c>
      <c r="E11" s="431" t="s">
        <v>583</v>
      </c>
      <c r="F11" s="431"/>
      <c r="G11" s="431"/>
      <c r="H11" s="431" t="s">
        <v>568</v>
      </c>
      <c r="I11" s="431"/>
      <c r="J11" s="431"/>
      <c r="K11" s="431"/>
      <c r="L11" s="431"/>
      <c r="M11" s="431"/>
      <c r="N11" s="431"/>
      <c r="O11" s="431"/>
      <c r="P11" s="431"/>
      <c r="Q11" s="431"/>
      <c r="R11" s="431"/>
      <c r="S11" s="431"/>
      <c r="T11" s="431"/>
    </row>
    <row r="12" spans="1:20">
      <c r="A12" s="431" t="s">
        <v>573</v>
      </c>
      <c r="B12" s="431"/>
      <c r="C12" s="431"/>
      <c r="D12" s="431" t="s">
        <v>571</v>
      </c>
      <c r="E12" s="431" t="s">
        <v>574</v>
      </c>
      <c r="F12" s="431"/>
      <c r="G12" s="431"/>
      <c r="H12" s="431" t="s">
        <v>572</v>
      </c>
      <c r="I12" s="431"/>
      <c r="J12" s="431"/>
      <c r="K12" s="431"/>
      <c r="L12" s="431"/>
      <c r="M12" s="431"/>
      <c r="N12" s="431"/>
      <c r="O12" s="431"/>
      <c r="P12" s="431"/>
      <c r="Q12" s="431"/>
      <c r="R12" s="431"/>
      <c r="S12" s="431"/>
      <c r="T12" s="431"/>
    </row>
    <row r="13" spans="1:20">
      <c r="A13" s="431"/>
      <c r="B13" s="431"/>
      <c r="C13" s="431"/>
      <c r="D13" s="431"/>
      <c r="E13" s="431"/>
      <c r="F13" s="431"/>
      <c r="G13" s="431"/>
      <c r="H13" s="431"/>
      <c r="I13" s="431"/>
      <c r="J13" s="431"/>
      <c r="K13" s="431"/>
      <c r="L13" s="431"/>
      <c r="M13" s="431"/>
      <c r="N13" s="431"/>
      <c r="O13" s="431"/>
      <c r="P13" s="431"/>
      <c r="Q13" s="431"/>
      <c r="R13" s="431"/>
      <c r="S13" s="431"/>
      <c r="T13" s="431"/>
    </row>
    <row r="14" spans="1:20">
      <c r="A14" s="431" t="s">
        <v>584</v>
      </c>
      <c r="B14" s="431"/>
      <c r="C14" s="431"/>
      <c r="D14" s="431"/>
      <c r="E14" s="431"/>
      <c r="F14" s="431"/>
      <c r="G14" s="431"/>
      <c r="H14" s="431"/>
      <c r="I14" s="431"/>
      <c r="J14" s="431"/>
      <c r="K14" s="431"/>
      <c r="L14" s="431"/>
      <c r="M14" s="431"/>
      <c r="N14" s="431"/>
      <c r="O14" s="431"/>
      <c r="P14" s="431"/>
      <c r="Q14" s="431"/>
      <c r="R14" s="431"/>
      <c r="S14" s="431"/>
      <c r="T14" s="431"/>
    </row>
    <row r="15" spans="1:20">
      <c r="A15" s="431" t="s">
        <v>581</v>
      </c>
      <c r="B15" s="431"/>
      <c r="C15" s="431"/>
      <c r="D15" s="431"/>
      <c r="E15" s="431"/>
      <c r="F15" s="431"/>
      <c r="G15" s="431"/>
      <c r="H15" s="431"/>
      <c r="I15" s="431"/>
      <c r="J15" s="431"/>
      <c r="K15" s="431"/>
      <c r="L15" s="431"/>
      <c r="M15" s="431"/>
      <c r="N15" s="431"/>
      <c r="O15" s="431"/>
      <c r="P15" s="431"/>
      <c r="Q15" s="431"/>
      <c r="R15" s="431"/>
      <c r="S15" s="431"/>
      <c r="T15" s="431"/>
    </row>
    <row r="16" spans="1:20">
      <c r="A16" s="432" t="s">
        <v>585</v>
      </c>
      <c r="B16" s="431"/>
      <c r="C16" s="431"/>
      <c r="D16" s="431" t="s">
        <v>586</v>
      </c>
      <c r="E16" s="431" t="s">
        <v>582</v>
      </c>
      <c r="F16" s="431"/>
      <c r="G16" s="431"/>
      <c r="H16" s="433" t="s">
        <v>587</v>
      </c>
      <c r="I16" s="431"/>
      <c r="J16" s="431"/>
      <c r="K16" s="431"/>
      <c r="L16" s="431"/>
      <c r="M16" s="431"/>
      <c r="N16" s="431"/>
      <c r="O16" s="431"/>
      <c r="P16" s="431"/>
      <c r="Q16" s="431"/>
      <c r="R16" s="431"/>
      <c r="S16" s="431"/>
      <c r="T16" s="431"/>
    </row>
    <row r="17" spans="1:20">
      <c r="A17" s="432" t="s">
        <v>588</v>
      </c>
      <c r="B17" s="431"/>
      <c r="C17" s="431"/>
      <c r="D17" s="431" t="s">
        <v>589</v>
      </c>
      <c r="E17" s="431" t="s">
        <v>582</v>
      </c>
      <c r="F17" s="431"/>
      <c r="G17" s="431"/>
      <c r="H17" s="433" t="s">
        <v>590</v>
      </c>
      <c r="I17" s="431"/>
      <c r="J17" s="431"/>
      <c r="K17" s="431"/>
      <c r="L17" s="431"/>
      <c r="M17" s="431"/>
      <c r="N17" s="431"/>
      <c r="O17" s="431"/>
      <c r="P17" s="431"/>
      <c r="Q17" s="431"/>
      <c r="R17" s="431"/>
      <c r="S17" s="431"/>
      <c r="T17" s="431"/>
    </row>
    <row r="18" spans="1:20">
      <c r="A18" s="431"/>
      <c r="B18" s="431"/>
      <c r="C18" s="431"/>
      <c r="D18" s="431"/>
      <c r="E18" s="431"/>
      <c r="F18" s="431"/>
      <c r="G18" s="431"/>
      <c r="H18" s="431"/>
      <c r="I18" s="431"/>
      <c r="J18" s="431"/>
      <c r="K18" s="431"/>
      <c r="L18" s="431"/>
      <c r="M18" s="431"/>
      <c r="N18" s="431"/>
      <c r="O18" s="431"/>
      <c r="P18" s="431"/>
      <c r="Q18" s="431"/>
      <c r="R18" s="431"/>
      <c r="S18" s="431"/>
      <c r="T18" s="431"/>
    </row>
    <row r="19" spans="1:20">
      <c r="A19" s="449" t="s">
        <v>628</v>
      </c>
      <c r="B19" s="431"/>
      <c r="C19" s="431"/>
      <c r="D19" s="431"/>
      <c r="E19" s="431"/>
      <c r="F19" s="431"/>
      <c r="G19" s="431"/>
      <c r="H19" s="431"/>
      <c r="I19" s="431"/>
      <c r="J19" s="431"/>
      <c r="K19" s="431"/>
      <c r="L19" s="431"/>
      <c r="M19" s="431"/>
      <c r="N19" s="431"/>
      <c r="O19" s="431"/>
      <c r="P19" s="431"/>
      <c r="Q19" s="431"/>
      <c r="R19" s="431"/>
      <c r="S19" s="431"/>
      <c r="T19" s="431"/>
    </row>
    <row r="21" spans="1:20">
      <c r="A21" s="434" t="s">
        <v>625</v>
      </c>
      <c r="B21" s="434"/>
      <c r="C21" s="434"/>
      <c r="D21" s="434"/>
      <c r="E21" s="434"/>
      <c r="F21" s="434"/>
      <c r="G21" s="434"/>
      <c r="H21" s="434"/>
      <c r="I21" s="434"/>
      <c r="J21" s="434"/>
      <c r="K21" s="434"/>
      <c r="L21" s="434"/>
      <c r="M21" s="434"/>
      <c r="N21" s="434"/>
      <c r="O21" s="434"/>
      <c r="P21" s="434"/>
      <c r="Q21" s="434"/>
      <c r="R21" s="434"/>
      <c r="S21" s="434"/>
      <c r="T21" s="434"/>
    </row>
    <row r="22" spans="1:20">
      <c r="A22" s="434"/>
      <c r="B22" s="434" t="s">
        <v>620</v>
      </c>
      <c r="C22" s="434"/>
      <c r="D22" s="434"/>
      <c r="E22" s="434"/>
      <c r="F22" s="434"/>
      <c r="G22" s="434"/>
      <c r="H22" s="434"/>
      <c r="I22" s="434"/>
      <c r="J22" s="434"/>
      <c r="K22" s="434"/>
      <c r="L22" s="434"/>
      <c r="M22" s="434"/>
      <c r="N22" s="434"/>
      <c r="O22" s="434"/>
      <c r="P22" s="434"/>
      <c r="Q22" s="434"/>
      <c r="R22" s="434"/>
      <c r="S22" s="434"/>
      <c r="T22" s="434"/>
    </row>
    <row r="23" spans="1:20">
      <c r="A23" s="434"/>
      <c r="B23" s="434" t="s">
        <v>624</v>
      </c>
      <c r="C23" s="434"/>
      <c r="D23" s="434"/>
      <c r="E23" s="434"/>
      <c r="F23" s="434"/>
      <c r="G23" s="434"/>
      <c r="H23" s="434"/>
      <c r="I23" s="434"/>
      <c r="J23" s="434"/>
      <c r="K23" s="434"/>
      <c r="L23" s="434"/>
      <c r="M23" s="434"/>
      <c r="N23" s="434"/>
      <c r="O23" s="434"/>
      <c r="P23" s="434"/>
      <c r="Q23" s="434"/>
      <c r="R23" s="434"/>
      <c r="S23" s="434"/>
      <c r="T23" s="434"/>
    </row>
    <row r="24" spans="1:20">
      <c r="A24" s="434"/>
      <c r="B24" s="434" t="s">
        <v>623</v>
      </c>
      <c r="C24" s="434"/>
      <c r="D24" s="434"/>
      <c r="E24" s="434"/>
      <c r="F24" s="434"/>
      <c r="G24" s="434"/>
      <c r="H24" s="434"/>
      <c r="I24" s="434"/>
      <c r="J24" s="434"/>
      <c r="K24" s="434"/>
      <c r="L24" s="434"/>
      <c r="M24" s="434"/>
      <c r="N24" s="434"/>
      <c r="O24" s="434"/>
      <c r="P24" s="434"/>
      <c r="Q24" s="434"/>
      <c r="R24" s="434"/>
      <c r="S24" s="434"/>
      <c r="T24" s="434"/>
    </row>
    <row r="25" spans="1:20">
      <c r="A25" s="434"/>
      <c r="B25" s="434" t="s">
        <v>622</v>
      </c>
      <c r="C25" s="434"/>
      <c r="D25" s="434"/>
      <c r="E25" s="434"/>
      <c r="F25" s="434"/>
      <c r="G25" s="434"/>
      <c r="H25" s="434"/>
      <c r="I25" s="434"/>
      <c r="J25" s="434"/>
      <c r="K25" s="434"/>
      <c r="L25" s="434"/>
      <c r="M25" s="434"/>
      <c r="N25" s="434"/>
      <c r="O25" s="434"/>
      <c r="P25" s="434"/>
      <c r="Q25" s="434"/>
      <c r="R25" s="434"/>
      <c r="S25" s="434"/>
      <c r="T25" s="434"/>
    </row>
    <row r="26" spans="1:20">
      <c r="A26" s="434"/>
      <c r="B26" s="434" t="s">
        <v>621</v>
      </c>
      <c r="C26" s="434"/>
      <c r="D26" s="434"/>
      <c r="E26" s="434"/>
      <c r="F26" s="434"/>
      <c r="G26" s="434"/>
      <c r="H26" s="434"/>
      <c r="I26" s="434"/>
      <c r="J26" s="434"/>
      <c r="K26" s="434"/>
      <c r="L26" s="434"/>
      <c r="M26" s="434"/>
      <c r="N26" s="434"/>
      <c r="O26" s="434"/>
      <c r="P26" s="434"/>
      <c r="Q26" s="434"/>
      <c r="R26" s="434"/>
      <c r="S26" s="434"/>
      <c r="T26" s="434"/>
    </row>
    <row r="27" spans="1:20">
      <c r="A27" s="434"/>
      <c r="B27" s="434"/>
      <c r="C27" s="434"/>
      <c r="D27" s="434"/>
      <c r="E27" s="434"/>
      <c r="F27" s="434"/>
      <c r="G27" s="434"/>
      <c r="H27" s="434"/>
      <c r="I27" s="434"/>
      <c r="J27" s="434"/>
      <c r="K27" s="434"/>
      <c r="L27" s="434"/>
      <c r="M27" s="434"/>
      <c r="N27" s="434"/>
      <c r="O27" s="434"/>
      <c r="P27" s="434"/>
      <c r="Q27" s="434"/>
      <c r="R27" s="434"/>
      <c r="S27" s="434"/>
      <c r="T27" s="434"/>
    </row>
    <row r="28" spans="1:20">
      <c r="A28" s="434" t="s">
        <v>591</v>
      </c>
      <c r="B28" s="434"/>
      <c r="C28" s="435" t="s">
        <v>592</v>
      </c>
      <c r="D28" s="434"/>
      <c r="E28" s="434"/>
      <c r="F28" s="434"/>
      <c r="G28" s="434"/>
      <c r="H28" s="435" t="s">
        <v>593</v>
      </c>
      <c r="I28" s="434"/>
      <c r="J28" s="434"/>
      <c r="K28" s="434"/>
      <c r="L28" s="434"/>
      <c r="M28" s="434"/>
      <c r="N28" s="434"/>
      <c r="O28" s="434"/>
      <c r="P28" s="434"/>
      <c r="Q28" s="434"/>
      <c r="R28" s="434"/>
    </row>
    <row r="29" spans="1:20">
      <c r="A29" s="434"/>
      <c r="B29" s="434"/>
      <c r="C29" s="435"/>
      <c r="D29" s="434"/>
      <c r="E29" s="434"/>
      <c r="F29" s="434"/>
      <c r="G29" s="434"/>
      <c r="H29" s="434"/>
      <c r="I29" s="434"/>
      <c r="J29" s="434"/>
      <c r="K29" s="434"/>
      <c r="L29" s="434"/>
      <c r="M29" s="434"/>
      <c r="N29" s="434"/>
      <c r="O29" s="434"/>
      <c r="P29" s="434"/>
      <c r="Q29" s="434"/>
      <c r="R29" s="434"/>
      <c r="S29" s="434"/>
      <c r="T29" s="434"/>
    </row>
    <row r="30" spans="1:20">
      <c r="C30" s="3"/>
    </row>
    <row r="32" spans="1:20">
      <c r="A32" s="436" t="s">
        <v>594</v>
      </c>
      <c r="B32" s="436"/>
      <c r="C32" s="436"/>
      <c r="D32" s="436"/>
      <c r="E32" s="436"/>
      <c r="F32" s="436"/>
      <c r="G32" s="436"/>
      <c r="H32" s="436"/>
      <c r="I32" s="436"/>
      <c r="J32" s="436"/>
      <c r="K32" s="436"/>
      <c r="L32" s="436"/>
      <c r="M32" s="436"/>
      <c r="N32" s="436"/>
      <c r="O32" s="436"/>
      <c r="P32" s="436"/>
      <c r="Q32" s="436"/>
      <c r="R32" s="436"/>
      <c r="S32" s="436"/>
      <c r="T32" s="436"/>
    </row>
    <row r="33" spans="1:20">
      <c r="A33" s="436"/>
      <c r="B33" s="436"/>
      <c r="C33" s="436"/>
      <c r="D33" s="436"/>
      <c r="E33" s="436"/>
      <c r="F33" s="436"/>
      <c r="G33" s="436"/>
      <c r="H33" s="436"/>
      <c r="I33" s="436"/>
      <c r="J33" s="436"/>
      <c r="K33" s="436"/>
      <c r="L33" s="436"/>
      <c r="M33" s="436"/>
      <c r="N33" s="436"/>
      <c r="O33" s="436"/>
      <c r="P33" s="436"/>
      <c r="Q33" s="436"/>
      <c r="R33" s="436"/>
      <c r="S33" s="436"/>
      <c r="T33" s="436"/>
    </row>
    <row r="34" spans="1:20">
      <c r="A34" s="436" t="s">
        <v>595</v>
      </c>
      <c r="B34" s="436"/>
      <c r="C34" s="436" t="s">
        <v>596</v>
      </c>
      <c r="D34" s="436"/>
      <c r="E34" s="436" t="s">
        <v>597</v>
      </c>
      <c r="F34" s="436"/>
      <c r="G34" s="436"/>
      <c r="H34" s="436"/>
      <c r="I34" s="436"/>
      <c r="J34" s="436"/>
      <c r="K34" s="436"/>
      <c r="L34" s="436"/>
      <c r="M34" s="436"/>
      <c r="N34" s="436"/>
      <c r="O34" s="436"/>
      <c r="P34" s="436"/>
      <c r="Q34" s="436"/>
      <c r="R34" s="436"/>
      <c r="S34" s="436"/>
      <c r="T34" s="436"/>
    </row>
    <row r="35" spans="1:20">
      <c r="A35" s="437" t="s">
        <v>598</v>
      </c>
      <c r="B35" s="438"/>
      <c r="C35" s="439" t="s">
        <v>598</v>
      </c>
      <c r="D35" s="438"/>
      <c r="E35" s="440" t="s">
        <v>599</v>
      </c>
      <c r="F35" s="438"/>
      <c r="G35" s="438"/>
      <c r="H35" s="436"/>
      <c r="I35" s="436"/>
      <c r="J35" s="436"/>
      <c r="K35" s="436"/>
      <c r="L35" s="436"/>
      <c r="M35" s="436"/>
      <c r="N35" s="436"/>
      <c r="O35" s="436"/>
      <c r="P35" s="436"/>
      <c r="Q35" s="436"/>
      <c r="R35" s="436"/>
      <c r="S35" s="436"/>
      <c r="T35" s="436"/>
    </row>
    <row r="36" spans="1:20">
      <c r="A36" s="441"/>
      <c r="B36" s="436"/>
      <c r="C36" s="442"/>
      <c r="D36" s="436"/>
      <c r="E36" s="442"/>
      <c r="F36" s="436"/>
      <c r="G36" s="436"/>
      <c r="H36" s="436"/>
      <c r="I36" s="436"/>
      <c r="J36" s="436"/>
      <c r="K36" s="436"/>
      <c r="L36" s="436"/>
      <c r="M36" s="436"/>
      <c r="N36" s="436"/>
      <c r="O36" s="436"/>
      <c r="P36" s="436"/>
      <c r="Q36" s="436"/>
      <c r="R36" s="436"/>
      <c r="S36" s="436"/>
      <c r="T36" s="436"/>
    </row>
    <row r="37" spans="1:20">
      <c r="A37" s="443" t="s">
        <v>600</v>
      </c>
      <c r="B37" s="444"/>
      <c r="C37" s="445" t="s">
        <v>601</v>
      </c>
      <c r="D37" s="444"/>
      <c r="E37" s="445" t="s">
        <v>602</v>
      </c>
      <c r="F37" s="444"/>
      <c r="G37" s="444"/>
      <c r="H37" s="444"/>
      <c r="I37" s="444"/>
      <c r="J37" s="436"/>
      <c r="K37" s="436"/>
      <c r="L37" s="436"/>
      <c r="M37" s="436"/>
      <c r="N37" s="436"/>
      <c r="O37" s="436"/>
      <c r="P37" s="436"/>
      <c r="Q37" s="436"/>
      <c r="R37" s="436"/>
      <c r="S37" s="436"/>
      <c r="T37" s="436"/>
    </row>
    <row r="38" spans="1:20">
      <c r="A38" s="441" t="s">
        <v>603</v>
      </c>
      <c r="B38" s="436"/>
      <c r="C38" s="442" t="s">
        <v>604</v>
      </c>
      <c r="D38" s="436"/>
      <c r="E38" s="442" t="s">
        <v>605</v>
      </c>
      <c r="F38" s="436"/>
      <c r="G38" s="436"/>
      <c r="H38" s="436"/>
      <c r="I38" s="436"/>
      <c r="J38" s="436"/>
      <c r="K38" s="436"/>
      <c r="L38" s="436"/>
      <c r="M38" s="436"/>
      <c r="N38" s="436"/>
      <c r="O38" s="436"/>
      <c r="P38" s="436"/>
      <c r="Q38" s="436"/>
      <c r="R38" s="436"/>
      <c r="S38" s="436"/>
      <c r="T38" s="436"/>
    </row>
    <row r="39" spans="1:20">
      <c r="A39" s="441" t="s">
        <v>252</v>
      </c>
      <c r="B39" s="491"/>
      <c r="C39" s="490" t="s">
        <v>607</v>
      </c>
      <c r="D39" s="436"/>
      <c r="E39" s="442" t="s">
        <v>633</v>
      </c>
      <c r="F39" s="436"/>
      <c r="G39" s="436"/>
      <c r="H39" s="436"/>
      <c r="I39" s="436"/>
      <c r="J39" s="436"/>
      <c r="K39" s="436"/>
      <c r="L39" s="436"/>
      <c r="M39" s="436"/>
      <c r="N39" s="436"/>
      <c r="O39" s="436"/>
      <c r="P39" s="436"/>
      <c r="Q39" s="436"/>
      <c r="R39" s="436"/>
      <c r="S39" s="436"/>
      <c r="T39" s="436"/>
    </row>
    <row r="40" spans="1:20">
      <c r="A40" s="441" t="s">
        <v>606</v>
      </c>
      <c r="B40" s="436"/>
      <c r="C40" s="442" t="s">
        <v>607</v>
      </c>
      <c r="D40" s="436"/>
      <c r="E40" s="442" t="s">
        <v>633</v>
      </c>
      <c r="F40" s="436"/>
      <c r="G40" s="436"/>
      <c r="H40" s="436"/>
      <c r="I40" s="436"/>
      <c r="J40" s="436"/>
      <c r="K40" s="436"/>
      <c r="L40" s="436"/>
      <c r="M40" s="436"/>
      <c r="N40" s="436"/>
      <c r="O40" s="436"/>
      <c r="P40" s="436"/>
      <c r="Q40" s="436"/>
      <c r="R40" s="436"/>
      <c r="S40" s="436"/>
      <c r="T40" s="436"/>
    </row>
    <row r="41" spans="1:20">
      <c r="A41" s="446" t="s">
        <v>642</v>
      </c>
      <c r="B41" s="447"/>
      <c r="C41" s="448" t="s">
        <v>607</v>
      </c>
      <c r="D41" s="447"/>
      <c r="E41" s="448" t="s">
        <v>633</v>
      </c>
      <c r="F41" s="447"/>
      <c r="G41" s="447"/>
      <c r="H41" s="447"/>
      <c r="I41" s="447"/>
      <c r="J41" s="436"/>
      <c r="K41" s="436"/>
      <c r="L41" s="436"/>
      <c r="M41" s="436"/>
      <c r="N41" s="436"/>
      <c r="O41" s="436"/>
      <c r="P41" s="436"/>
      <c r="Q41" s="436"/>
      <c r="R41" s="436"/>
      <c r="S41" s="436"/>
      <c r="T41" s="436"/>
    </row>
    <row r="42" spans="1:20">
      <c r="A42" s="441"/>
      <c r="B42" s="436"/>
      <c r="C42" s="442"/>
      <c r="D42" s="436"/>
      <c r="E42" s="442"/>
      <c r="F42" s="436"/>
      <c r="G42" s="436"/>
      <c r="H42" s="436"/>
      <c r="I42" s="436"/>
      <c r="J42" s="436"/>
      <c r="K42" s="436"/>
      <c r="L42" s="436"/>
      <c r="M42" s="436"/>
      <c r="N42" s="436"/>
      <c r="O42" s="436"/>
      <c r="P42" s="436"/>
      <c r="Q42" s="436"/>
      <c r="R42" s="436"/>
      <c r="S42" s="436"/>
      <c r="T42" s="436"/>
    </row>
    <row r="43" spans="1:20">
      <c r="A43" s="443" t="s">
        <v>608</v>
      </c>
      <c r="B43" s="444"/>
      <c r="C43" s="445" t="s">
        <v>609</v>
      </c>
      <c r="D43" s="444"/>
      <c r="E43" s="445" t="s">
        <v>610</v>
      </c>
      <c r="F43" s="444"/>
      <c r="G43" s="444"/>
      <c r="H43" s="444"/>
      <c r="I43" s="444"/>
      <c r="J43" s="436"/>
      <c r="K43" s="436"/>
      <c r="L43" s="436"/>
      <c r="M43" s="436"/>
      <c r="N43" s="436"/>
      <c r="O43" s="436"/>
      <c r="P43" s="436"/>
      <c r="Q43" s="436"/>
      <c r="R43" s="436"/>
      <c r="S43" s="436"/>
      <c r="T43" s="436"/>
    </row>
    <row r="44" spans="1:20">
      <c r="A44" s="441" t="s">
        <v>611</v>
      </c>
      <c r="B44" s="436"/>
      <c r="C44" s="442" t="s">
        <v>612</v>
      </c>
      <c r="D44" s="436"/>
      <c r="E44" s="442" t="s">
        <v>613</v>
      </c>
      <c r="F44" s="436"/>
      <c r="G44" s="436"/>
      <c r="H44" s="436"/>
      <c r="I44" s="436"/>
      <c r="J44" s="436"/>
      <c r="K44" s="436"/>
      <c r="L44" s="436"/>
      <c r="M44" s="436"/>
      <c r="N44" s="436"/>
      <c r="O44" s="436"/>
      <c r="P44" s="436"/>
      <c r="Q44" s="436"/>
      <c r="R44" s="436"/>
      <c r="S44" s="436"/>
      <c r="T44" s="436"/>
    </row>
    <row r="45" spans="1:20">
      <c r="A45" s="441" t="s">
        <v>614</v>
      </c>
      <c r="B45" s="436"/>
      <c r="C45" s="442" t="s">
        <v>609</v>
      </c>
      <c r="D45" s="436"/>
      <c r="E45" s="442" t="s">
        <v>615</v>
      </c>
      <c r="F45" s="436"/>
      <c r="G45" s="436"/>
      <c r="H45" s="436"/>
      <c r="I45" s="436"/>
      <c r="J45" s="436"/>
      <c r="K45" s="436"/>
      <c r="L45" s="436"/>
      <c r="M45" s="436"/>
      <c r="N45" s="436"/>
      <c r="O45" s="436"/>
      <c r="P45" s="436"/>
      <c r="Q45" s="436"/>
      <c r="R45" s="436"/>
      <c r="S45" s="436"/>
      <c r="T45" s="436"/>
    </row>
    <row r="46" spans="1:20">
      <c r="A46" s="446" t="s">
        <v>616</v>
      </c>
      <c r="B46" s="447"/>
      <c r="C46" s="448" t="s">
        <v>657</v>
      </c>
      <c r="D46" s="447"/>
      <c r="E46" s="448" t="s">
        <v>617</v>
      </c>
      <c r="F46" s="447"/>
      <c r="G46" s="447"/>
      <c r="H46" s="447"/>
      <c r="I46" s="447"/>
      <c r="J46" s="436"/>
      <c r="K46" s="436"/>
      <c r="L46" s="436"/>
      <c r="M46" s="436"/>
      <c r="N46" s="436"/>
      <c r="O46" s="436"/>
      <c r="P46" s="436"/>
      <c r="Q46" s="436"/>
      <c r="R46" s="436"/>
      <c r="S46" s="436"/>
      <c r="T46" s="436"/>
    </row>
    <row r="47" spans="1:20">
      <c r="A47" s="441"/>
      <c r="B47" s="436"/>
      <c r="C47" s="442"/>
      <c r="D47" s="436"/>
      <c r="E47" s="442"/>
      <c r="F47" s="436"/>
      <c r="G47" s="436"/>
      <c r="H47" s="436"/>
      <c r="I47" s="436"/>
      <c r="J47" s="436"/>
      <c r="K47" s="436"/>
      <c r="L47" s="436"/>
      <c r="M47" s="436"/>
      <c r="N47" s="436"/>
      <c r="O47" s="436"/>
      <c r="P47" s="436"/>
      <c r="Q47" s="436"/>
      <c r="R47" s="436"/>
      <c r="S47" s="436"/>
      <c r="T47" s="436"/>
    </row>
    <row r="48" spans="1:20">
      <c r="A48" s="443" t="s">
        <v>618</v>
      </c>
      <c r="B48" s="444"/>
      <c r="C48" s="445" t="s">
        <v>609</v>
      </c>
      <c r="D48" s="444"/>
      <c r="E48" s="445" t="s">
        <v>646</v>
      </c>
      <c r="F48" s="444"/>
      <c r="G48" s="444"/>
      <c r="H48" s="444"/>
      <c r="I48" s="444"/>
      <c r="J48" s="444"/>
      <c r="K48" s="444"/>
      <c r="L48" s="444"/>
      <c r="M48" s="444"/>
      <c r="N48" s="436"/>
      <c r="O48" s="436"/>
      <c r="P48" s="436"/>
      <c r="Q48" s="436"/>
      <c r="R48" s="436"/>
      <c r="S48" s="436"/>
      <c r="T48" s="436"/>
    </row>
    <row r="49" spans="1:20">
      <c r="A49" s="441" t="s">
        <v>619</v>
      </c>
      <c r="B49" s="436"/>
      <c r="C49" s="442" t="s">
        <v>609</v>
      </c>
      <c r="D49" s="436"/>
      <c r="E49" s="442" t="s">
        <v>647</v>
      </c>
      <c r="F49" s="436"/>
      <c r="G49" s="436"/>
      <c r="H49" s="436"/>
      <c r="I49" s="436"/>
      <c r="J49" s="436"/>
      <c r="K49" s="436"/>
      <c r="L49" s="436"/>
      <c r="M49" s="436"/>
      <c r="N49" s="436"/>
      <c r="O49" s="436"/>
      <c r="P49" s="436"/>
      <c r="Q49" s="436"/>
      <c r="R49" s="436"/>
      <c r="S49" s="436"/>
      <c r="T49" s="436"/>
    </row>
    <row r="50" spans="1:20">
      <c r="A50" s="441" t="s">
        <v>639</v>
      </c>
      <c r="B50" s="436"/>
      <c r="C50" s="442" t="s">
        <v>609</v>
      </c>
      <c r="D50" s="436"/>
      <c r="E50" s="442" t="s">
        <v>648</v>
      </c>
      <c r="F50" s="436"/>
      <c r="G50" s="436"/>
      <c r="H50" s="436"/>
      <c r="I50" s="436"/>
      <c r="J50" s="436"/>
      <c r="K50" s="436"/>
      <c r="L50" s="436"/>
      <c r="M50" s="436"/>
      <c r="N50" s="436"/>
      <c r="O50" s="436"/>
      <c r="P50" s="436"/>
      <c r="Q50" s="436"/>
      <c r="R50" s="436"/>
      <c r="S50" s="436"/>
      <c r="T50" s="436"/>
    </row>
    <row r="51" spans="1:20">
      <c r="A51" s="441" t="s">
        <v>634</v>
      </c>
      <c r="B51" s="436"/>
      <c r="C51" s="442" t="s">
        <v>609</v>
      </c>
      <c r="D51" s="436"/>
      <c r="E51" s="442" t="s">
        <v>649</v>
      </c>
      <c r="F51" s="436"/>
      <c r="G51" s="436"/>
      <c r="H51" s="436"/>
      <c r="I51" s="436"/>
      <c r="J51" s="436"/>
      <c r="K51" s="436"/>
      <c r="L51" s="436"/>
      <c r="M51" s="436"/>
      <c r="N51" s="436"/>
      <c r="O51" s="436"/>
      <c r="P51" s="436"/>
      <c r="Q51" s="436"/>
      <c r="R51" s="436"/>
      <c r="S51" s="436"/>
      <c r="T51" s="436"/>
    </row>
    <row r="52" spans="1:20">
      <c r="A52" s="508" t="s">
        <v>640</v>
      </c>
      <c r="B52" s="436"/>
      <c r="C52" s="442" t="s">
        <v>609</v>
      </c>
      <c r="D52" s="436"/>
      <c r="E52" s="442" t="s">
        <v>644</v>
      </c>
      <c r="F52" s="436"/>
      <c r="G52" s="436"/>
      <c r="H52" s="436"/>
      <c r="I52" s="436"/>
      <c r="J52" s="436"/>
      <c r="K52" s="436"/>
      <c r="L52" s="436"/>
      <c r="M52" s="436"/>
      <c r="N52" s="436"/>
      <c r="O52" s="436"/>
      <c r="P52" s="436"/>
      <c r="Q52" s="436"/>
      <c r="R52" s="436"/>
      <c r="S52" s="436"/>
      <c r="T52" s="436"/>
    </row>
    <row r="53" spans="1:20">
      <c r="A53" s="508" t="s">
        <v>641</v>
      </c>
      <c r="B53" s="436"/>
      <c r="C53" s="442" t="s">
        <v>609</v>
      </c>
      <c r="D53" s="436"/>
      <c r="E53" s="442" t="s">
        <v>644</v>
      </c>
      <c r="F53" s="436"/>
      <c r="G53" s="436"/>
      <c r="H53" s="436"/>
      <c r="I53" s="436"/>
      <c r="J53" s="436"/>
      <c r="K53" s="436"/>
      <c r="L53" s="436"/>
      <c r="M53" s="436"/>
      <c r="N53" s="436"/>
      <c r="O53" s="436"/>
      <c r="P53" s="436"/>
      <c r="Q53" s="436"/>
      <c r="R53" s="436"/>
      <c r="S53" s="436"/>
      <c r="T53" s="436"/>
    </row>
    <row r="54" spans="1:20">
      <c r="A54" s="508" t="s">
        <v>643</v>
      </c>
      <c r="B54" s="436"/>
      <c r="C54" s="442" t="s">
        <v>609</v>
      </c>
      <c r="D54" s="436"/>
      <c r="E54" s="442" t="s">
        <v>644</v>
      </c>
      <c r="F54" s="436"/>
      <c r="G54" s="436"/>
      <c r="H54" s="436"/>
      <c r="I54" s="436"/>
      <c r="J54" s="436"/>
      <c r="K54" s="436"/>
      <c r="L54" s="436"/>
      <c r="M54" s="436"/>
      <c r="N54" s="436"/>
      <c r="O54" s="436"/>
      <c r="P54" s="436"/>
      <c r="Q54" s="436"/>
      <c r="R54" s="436"/>
      <c r="S54" s="436"/>
      <c r="T54" s="436"/>
    </row>
    <row r="55" spans="1:20">
      <c r="A55" s="437"/>
      <c r="B55" s="438"/>
      <c r="C55" s="439"/>
      <c r="D55" s="438"/>
      <c r="E55" s="439"/>
      <c r="F55" s="438"/>
      <c r="G55" s="438"/>
      <c r="H55" s="438"/>
      <c r="I55" s="438"/>
      <c r="J55" s="438"/>
      <c r="K55" s="438"/>
      <c r="L55" s="438"/>
      <c r="M55" s="436"/>
      <c r="N55" s="436"/>
      <c r="O55" s="436"/>
      <c r="P55" s="436"/>
      <c r="Q55" s="436"/>
      <c r="R55" s="436"/>
      <c r="S55" s="436"/>
      <c r="T55" s="436"/>
    </row>
    <row r="56" spans="1:20">
      <c r="A56" s="441" t="s">
        <v>651</v>
      </c>
      <c r="B56" s="436"/>
      <c r="C56" s="442" t="s">
        <v>609</v>
      </c>
      <c r="D56" s="436"/>
      <c r="E56" s="442" t="s">
        <v>645</v>
      </c>
      <c r="F56" s="436"/>
      <c r="G56" s="436"/>
      <c r="H56" s="436"/>
      <c r="I56" s="436"/>
      <c r="J56" s="436"/>
      <c r="K56" s="436"/>
      <c r="L56" s="436"/>
      <c r="M56" s="436"/>
      <c r="N56" s="436"/>
      <c r="O56" s="436"/>
      <c r="P56" s="436"/>
      <c r="Q56" s="436"/>
      <c r="R56" s="436"/>
      <c r="S56" s="436"/>
      <c r="T56" s="436"/>
    </row>
    <row r="57" spans="1:20">
      <c r="A57" s="441" t="s">
        <v>652</v>
      </c>
      <c r="B57" s="436"/>
      <c r="C57" s="442" t="s">
        <v>609</v>
      </c>
      <c r="D57" s="436"/>
      <c r="E57" s="442" t="s">
        <v>645</v>
      </c>
      <c r="F57" s="436"/>
      <c r="G57" s="436"/>
      <c r="H57" s="436"/>
      <c r="I57" s="436"/>
      <c r="J57" s="436"/>
      <c r="K57" s="436"/>
      <c r="L57" s="436"/>
      <c r="M57" s="436"/>
      <c r="N57" s="436"/>
      <c r="O57" s="436"/>
      <c r="P57" s="436"/>
      <c r="Q57" s="436"/>
      <c r="R57" s="436"/>
      <c r="S57" s="436"/>
      <c r="T57" s="436"/>
    </row>
    <row r="58" spans="1:20">
      <c r="A58" s="441" t="s">
        <v>653</v>
      </c>
      <c r="B58" s="436"/>
      <c r="C58" s="442" t="s">
        <v>609</v>
      </c>
      <c r="D58" s="436"/>
      <c r="E58" s="442" t="s">
        <v>645</v>
      </c>
      <c r="F58" s="436"/>
      <c r="G58" s="436"/>
      <c r="H58" s="436"/>
      <c r="I58" s="436"/>
      <c r="J58" s="436"/>
      <c r="K58" s="436"/>
      <c r="L58" s="436"/>
      <c r="M58" s="436"/>
      <c r="N58" s="436"/>
      <c r="O58" s="436"/>
      <c r="P58" s="436"/>
      <c r="Q58" s="436"/>
      <c r="R58" s="436"/>
      <c r="S58" s="436"/>
      <c r="T58" s="436"/>
    </row>
    <row r="59" spans="1:20">
      <c r="A59" s="441" t="s">
        <v>654</v>
      </c>
      <c r="B59" s="436"/>
      <c r="C59" s="442" t="s">
        <v>609</v>
      </c>
      <c r="D59" s="436"/>
      <c r="E59" s="442" t="s">
        <v>645</v>
      </c>
      <c r="F59" s="436"/>
      <c r="G59" s="436"/>
      <c r="H59" s="436"/>
      <c r="I59" s="436"/>
      <c r="J59" s="436"/>
      <c r="K59" s="436"/>
      <c r="L59" s="436"/>
      <c r="M59" s="436"/>
      <c r="N59" s="436"/>
      <c r="O59" s="436"/>
      <c r="P59" s="436"/>
      <c r="Q59" s="436"/>
      <c r="R59" s="436"/>
      <c r="S59" s="436"/>
      <c r="T59" s="436"/>
    </row>
    <row r="60" spans="1:20">
      <c r="A60" s="446" t="s">
        <v>655</v>
      </c>
      <c r="B60" s="447"/>
      <c r="C60" s="448" t="s">
        <v>609</v>
      </c>
      <c r="D60" s="447"/>
      <c r="E60" s="448" t="s">
        <v>645</v>
      </c>
      <c r="F60" s="447"/>
      <c r="G60" s="447"/>
      <c r="H60" s="447"/>
      <c r="I60" s="447"/>
      <c r="J60" s="447"/>
      <c r="K60" s="447"/>
      <c r="L60" s="447"/>
      <c r="M60" s="447"/>
      <c r="N60" s="436"/>
      <c r="O60" s="436"/>
      <c r="P60" s="436"/>
      <c r="Q60" s="436"/>
      <c r="R60" s="436"/>
      <c r="S60" s="436"/>
      <c r="T60" s="436"/>
    </row>
    <row r="61" spans="1:20" s="492" customFormat="1">
      <c r="A61" s="447"/>
      <c r="B61" s="447"/>
      <c r="C61" s="448"/>
      <c r="D61" s="447"/>
      <c r="E61" s="448"/>
      <c r="F61" s="447"/>
      <c r="G61" s="447"/>
      <c r="H61" s="447"/>
      <c r="I61" s="447"/>
      <c r="J61" s="447"/>
      <c r="K61" s="447"/>
      <c r="L61" s="447"/>
      <c r="M61" s="447"/>
      <c r="N61" s="447"/>
      <c r="O61" s="447"/>
      <c r="P61" s="447"/>
      <c r="Q61" s="447"/>
      <c r="R61" s="447"/>
      <c r="S61" s="447"/>
      <c r="T61" s="447"/>
    </row>
    <row r="62" spans="1:20">
      <c r="A62" s="441" t="s">
        <v>635</v>
      </c>
      <c r="B62" s="436"/>
      <c r="C62" s="442" t="s">
        <v>609</v>
      </c>
      <c r="D62" s="509"/>
      <c r="E62" s="493" t="s">
        <v>637</v>
      </c>
      <c r="F62" s="436"/>
      <c r="G62" s="436"/>
      <c r="H62" s="436"/>
      <c r="I62" s="436"/>
      <c r="J62" s="436"/>
      <c r="K62" s="436"/>
      <c r="L62" s="436"/>
      <c r="M62" s="436"/>
      <c r="N62" s="436"/>
      <c r="O62" s="436"/>
      <c r="P62" s="436"/>
      <c r="Q62" s="436"/>
      <c r="R62" s="436"/>
      <c r="S62" s="436"/>
      <c r="T62" s="436"/>
    </row>
    <row r="63" spans="1:20">
      <c r="A63" s="441" t="s">
        <v>636</v>
      </c>
      <c r="B63" s="436"/>
      <c r="C63" s="442" t="s">
        <v>609</v>
      </c>
      <c r="D63" s="436"/>
      <c r="E63" s="442" t="s">
        <v>650</v>
      </c>
      <c r="F63" s="436"/>
      <c r="G63" s="436"/>
      <c r="H63" s="436"/>
      <c r="I63" s="436"/>
      <c r="J63" s="436"/>
      <c r="K63" s="436"/>
      <c r="L63" s="436"/>
      <c r="M63" s="436"/>
      <c r="N63" s="436"/>
      <c r="O63" s="436"/>
      <c r="P63" s="436"/>
      <c r="Q63" s="436"/>
      <c r="R63" s="436"/>
      <c r="S63" s="436"/>
      <c r="T63" s="436"/>
    </row>
    <row r="64" spans="1:20">
      <c r="A64" s="441" t="s">
        <v>656</v>
      </c>
      <c r="B64" s="436"/>
      <c r="C64" s="442" t="s">
        <v>609</v>
      </c>
      <c r="D64" s="436"/>
      <c r="E64" s="442" t="s">
        <v>638</v>
      </c>
      <c r="F64" s="436"/>
      <c r="G64" s="436"/>
      <c r="H64" s="436"/>
      <c r="I64" s="436"/>
      <c r="J64" s="436"/>
      <c r="K64" s="436"/>
      <c r="L64" s="436"/>
      <c r="M64" s="436"/>
      <c r="N64" s="436"/>
      <c r="O64" s="436"/>
      <c r="P64" s="436"/>
      <c r="Q64" s="436"/>
      <c r="R64" s="436"/>
      <c r="S64" s="436"/>
      <c r="T64" s="436"/>
    </row>
    <row r="65" spans="1:20">
      <c r="A65" s="436"/>
      <c r="B65" s="436"/>
      <c r="C65" s="442"/>
      <c r="D65" s="436"/>
      <c r="E65" s="442"/>
      <c r="F65" s="436"/>
      <c r="G65" s="436"/>
      <c r="H65" s="436"/>
      <c r="I65" s="436"/>
      <c r="J65" s="436"/>
      <c r="K65" s="436"/>
      <c r="L65" s="436"/>
      <c r="M65" s="436"/>
      <c r="N65" s="436"/>
      <c r="O65" s="436"/>
      <c r="P65" s="436"/>
      <c r="Q65" s="436"/>
      <c r="R65" s="436"/>
      <c r="S65" s="436"/>
      <c r="T65" s="436"/>
    </row>
  </sheetData>
  <hyperlinks>
    <hyperlink ref="C28" r:id="rId1" xr:uid="{1368B880-F6D8-49DF-B6DE-9FEAFC37E815}"/>
    <hyperlink ref="H28" r:id="rId2" tooltip="README.docx" display="https://github.com/usnistgov/cell-line-engineering/blob/master/README.docx" xr:uid="{74B7EFD0-53C5-43A7-B056-8BD0CB66021E}"/>
  </hyperlinks>
  <pageMargins left="0.7" right="0.7" top="0.75" bottom="0.75" header="0.3" footer="0.3"/>
  <pageSetup orientation="portrait" verticalDpi="3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topLeftCell="B1" zoomScale="68" zoomScaleNormal="68" workbookViewId="0">
      <pane ySplit="2" topLeftCell="A3" activePane="bottomLeft" state="frozen"/>
      <selection activeCell="I22" sqref="I22"/>
      <selection pane="bottomLeft" activeCell="I26" sqref="I26"/>
    </sheetView>
  </sheetViews>
  <sheetFormatPr defaultColWidth="9.19921875" defaultRowHeight="11.65"/>
  <cols>
    <col min="1" max="1" width="2.796875" style="337" customWidth="1"/>
    <col min="2" max="2" width="28.73046875" style="338" customWidth="1"/>
    <col min="3" max="3" width="12.796875" style="338" customWidth="1"/>
    <col min="4" max="5" width="5.796875" style="338" customWidth="1"/>
    <col min="6" max="6" width="22.796875" style="353" customWidth="1"/>
    <col min="7" max="7" width="2.796875" style="339" customWidth="1"/>
    <col min="8" max="8" width="28.73046875" style="338" customWidth="1"/>
    <col min="9" max="9" width="12.796875" style="338" customWidth="1"/>
    <col min="10" max="11" width="5.796875" style="338" customWidth="1"/>
    <col min="12" max="12" width="22.796875" style="353" customWidth="1"/>
    <col min="13" max="13" width="2.796875" style="339" customWidth="1"/>
    <col min="14" max="14" width="28.73046875" style="338" customWidth="1"/>
    <col min="15" max="15" width="12.796875" style="338" customWidth="1"/>
    <col min="16" max="17" width="5.796875" style="338" customWidth="1"/>
    <col min="18" max="18" width="22.796875" style="353" customWidth="1"/>
    <col min="19" max="19" width="2.796875" style="339" customWidth="1"/>
    <col min="20" max="20" width="20.796875" style="338" customWidth="1"/>
    <col min="21" max="21" width="27.796875" style="338" bestFit="1" customWidth="1"/>
    <col min="22" max="22" width="2.53125" style="338" bestFit="1" customWidth="1"/>
    <col min="23" max="23" width="7.46484375" style="338" bestFit="1" customWidth="1"/>
    <col min="24" max="25" width="4.796875" style="338" customWidth="1"/>
    <col min="26" max="26" width="20.796875" style="338" customWidth="1"/>
    <col min="27" max="16384" width="9.19921875" style="338"/>
  </cols>
  <sheetData>
    <row r="1" spans="1:19" ht="21" customHeight="1"/>
    <row r="2" spans="1:19" ht="15.75" customHeight="1" thickBot="1">
      <c r="D2" s="511" t="s">
        <v>244</v>
      </c>
      <c r="E2" s="511"/>
      <c r="F2" s="511"/>
      <c r="I2" s="340"/>
      <c r="J2" s="511" t="s">
        <v>244</v>
      </c>
      <c r="K2" s="511"/>
      <c r="L2" s="511"/>
      <c r="O2" s="340"/>
      <c r="P2" s="511" t="s">
        <v>244</v>
      </c>
      <c r="Q2" s="511"/>
      <c r="R2" s="511"/>
    </row>
    <row r="3" spans="1:19" ht="12" thickBot="1">
      <c r="B3" s="512">
        <f>H3-7</f>
        <v>44542</v>
      </c>
      <c r="C3" s="513"/>
      <c r="D3" s="513"/>
      <c r="E3" s="513"/>
      <c r="F3" s="514"/>
      <c r="H3" s="515">
        <f>StartDate-7</f>
        <v>44549</v>
      </c>
      <c r="I3" s="516"/>
      <c r="J3" s="516"/>
      <c r="K3" s="516"/>
      <c r="L3" s="517"/>
      <c r="N3" s="527">
        <v>44556</v>
      </c>
      <c r="O3" s="528"/>
      <c r="P3" s="528"/>
      <c r="Q3" s="528"/>
      <c r="R3" s="529"/>
    </row>
    <row r="4" spans="1:19" ht="12" thickBot="1">
      <c r="B4" s="341" t="s">
        <v>160</v>
      </c>
      <c r="C4" s="342" t="s">
        <v>151</v>
      </c>
      <c r="D4" s="342" t="s">
        <v>150</v>
      </c>
      <c r="E4" s="343" t="s">
        <v>158</v>
      </c>
      <c r="F4" s="344" t="s">
        <v>156</v>
      </c>
      <c r="H4" s="345" t="s">
        <v>160</v>
      </c>
      <c r="I4" s="346" t="s">
        <v>151</v>
      </c>
      <c r="J4" s="346" t="s">
        <v>150</v>
      </c>
      <c r="K4" s="347" t="s">
        <v>158</v>
      </c>
      <c r="L4" s="348" t="s">
        <v>156</v>
      </c>
      <c r="N4" s="349" t="s">
        <v>160</v>
      </c>
      <c r="O4" s="350" t="s">
        <v>151</v>
      </c>
      <c r="P4" s="350" t="s">
        <v>150</v>
      </c>
      <c r="Q4" s="351" t="s">
        <v>158</v>
      </c>
      <c r="R4" s="352" t="s">
        <v>156</v>
      </c>
    </row>
    <row r="5" spans="1:19" s="24" customFormat="1">
      <c r="A5" s="37"/>
      <c r="B5" s="22"/>
      <c r="C5" s="23"/>
      <c r="D5" s="23"/>
      <c r="E5" s="23"/>
      <c r="F5" s="354"/>
      <c r="G5" s="38"/>
      <c r="H5" s="22"/>
      <c r="I5" s="23"/>
      <c r="J5" s="23"/>
      <c r="K5" s="23"/>
      <c r="L5" s="354"/>
      <c r="M5" s="38"/>
      <c r="N5" s="22"/>
      <c r="O5" s="23"/>
      <c r="P5" s="23"/>
      <c r="Q5" s="23"/>
      <c r="R5" s="354"/>
      <c r="S5" s="38"/>
    </row>
    <row r="6" spans="1:19" s="24" customFormat="1">
      <c r="A6" s="37"/>
      <c r="B6" s="25"/>
      <c r="C6" s="26"/>
      <c r="D6" s="23"/>
      <c r="E6" s="23"/>
      <c r="F6" s="30"/>
      <c r="G6" s="38"/>
      <c r="H6" s="25"/>
      <c r="I6" s="26"/>
      <c r="J6" s="26"/>
      <c r="K6" s="26"/>
      <c r="L6" s="30"/>
      <c r="M6" s="38"/>
      <c r="N6" s="25"/>
      <c r="O6" s="26"/>
      <c r="P6" s="26"/>
      <c r="Q6" s="26"/>
      <c r="R6" s="30"/>
      <c r="S6" s="38"/>
    </row>
    <row r="7" spans="1:19" s="24" customFormat="1">
      <c r="A7" s="37"/>
      <c r="B7" s="27"/>
      <c r="C7" s="28"/>
      <c r="D7" s="23"/>
      <c r="E7" s="23"/>
      <c r="F7" s="355"/>
      <c r="G7" s="38"/>
      <c r="H7" s="27"/>
      <c r="I7" s="28"/>
      <c r="J7" s="28"/>
      <c r="K7" s="28"/>
      <c r="L7" s="355"/>
      <c r="M7" s="38"/>
      <c r="N7" s="27"/>
      <c r="O7" s="28"/>
      <c r="P7" s="28"/>
      <c r="Q7" s="28"/>
      <c r="R7" s="355"/>
      <c r="S7" s="38"/>
    </row>
    <row r="8" spans="1:19" s="24" customFormat="1">
      <c r="A8" s="37"/>
      <c r="B8" s="25"/>
      <c r="C8" s="26"/>
      <c r="D8" s="23"/>
      <c r="E8" s="23"/>
      <c r="F8" s="30"/>
      <c r="G8" s="38"/>
      <c r="H8" s="25"/>
      <c r="I8" s="26"/>
      <c r="J8" s="26"/>
      <c r="K8" s="26"/>
      <c r="L8" s="30"/>
      <c r="M8" s="38"/>
      <c r="N8" s="25"/>
      <c r="O8" s="26"/>
      <c r="P8" s="26"/>
      <c r="Q8" s="26"/>
      <c r="R8" s="355"/>
      <c r="S8" s="38"/>
    </row>
    <row r="9" spans="1:19" s="24" customFormat="1">
      <c r="A9" s="37"/>
      <c r="B9" s="27"/>
      <c r="C9" s="28"/>
      <c r="D9" s="28"/>
      <c r="E9" s="28"/>
      <c r="F9" s="355"/>
      <c r="G9" s="38"/>
      <c r="H9" s="27"/>
      <c r="I9" s="28"/>
      <c r="J9" s="28"/>
      <c r="K9" s="28"/>
      <c r="L9" s="355"/>
      <c r="M9" s="38"/>
      <c r="N9" s="27"/>
      <c r="O9" s="28"/>
      <c r="P9" s="28"/>
      <c r="Q9" s="28"/>
      <c r="R9" s="30"/>
      <c r="S9" s="38"/>
    </row>
    <row r="10" spans="1:19" s="24" customFormat="1">
      <c r="A10" s="37"/>
      <c r="B10" s="25"/>
      <c r="C10" s="26"/>
      <c r="D10" s="26"/>
      <c r="E10" s="26"/>
      <c r="F10" s="30"/>
      <c r="G10" s="38"/>
      <c r="H10" s="25"/>
      <c r="I10" s="26"/>
      <c r="J10" s="26"/>
      <c r="K10" s="26"/>
      <c r="L10" s="30"/>
      <c r="M10" s="38"/>
      <c r="N10" s="25"/>
      <c r="O10" s="26"/>
      <c r="P10" s="26"/>
      <c r="Q10" s="26"/>
      <c r="R10" s="30"/>
      <c r="S10" s="38"/>
    </row>
    <row r="11" spans="1:19" s="24" customFormat="1">
      <c r="A11" s="37"/>
      <c r="B11" s="27"/>
      <c r="C11" s="28"/>
      <c r="D11" s="28"/>
      <c r="E11" s="28"/>
      <c r="F11" s="355"/>
      <c r="G11" s="38"/>
      <c r="H11" s="27"/>
      <c r="I11" s="28"/>
      <c r="J11" s="28"/>
      <c r="K11" s="28"/>
      <c r="L11" s="355"/>
      <c r="M11" s="38"/>
      <c r="N11" s="27"/>
      <c r="O11" s="28"/>
      <c r="P11" s="28"/>
      <c r="Q11" s="28"/>
      <c r="R11" s="355"/>
      <c r="S11" s="38"/>
    </row>
    <row r="12" spans="1:19" s="24" customFormat="1">
      <c r="A12" s="37"/>
      <c r="B12" s="25"/>
      <c r="C12" s="26"/>
      <c r="D12" s="26"/>
      <c r="E12" s="26"/>
      <c r="F12" s="30"/>
      <c r="G12" s="38"/>
      <c r="H12" s="25"/>
      <c r="I12" s="26"/>
      <c r="J12" s="26"/>
      <c r="K12" s="26"/>
      <c r="L12" s="30"/>
      <c r="M12" s="38"/>
      <c r="N12" s="25"/>
      <c r="O12" s="26"/>
      <c r="P12" s="26"/>
      <c r="Q12" s="26"/>
      <c r="R12" s="30"/>
      <c r="S12" s="38"/>
    </row>
    <row r="13" spans="1:19" s="24" customFormat="1">
      <c r="A13" s="37"/>
      <c r="B13" s="27"/>
      <c r="C13" s="28"/>
      <c r="D13" s="28"/>
      <c r="E13" s="28"/>
      <c r="F13" s="355"/>
      <c r="G13" s="38"/>
      <c r="H13" s="27"/>
      <c r="I13" s="28"/>
      <c r="J13" s="28"/>
      <c r="K13" s="28"/>
      <c r="L13" s="355"/>
      <c r="M13" s="38"/>
      <c r="N13" s="27"/>
      <c r="O13" s="28"/>
      <c r="P13" s="28"/>
      <c r="Q13" s="28"/>
      <c r="R13" s="355"/>
      <c r="S13" s="38"/>
    </row>
    <row r="14" spans="1:19" s="24" customFormat="1">
      <c r="A14" s="37"/>
      <c r="B14" s="25"/>
      <c r="C14" s="26"/>
      <c r="D14" s="26"/>
      <c r="E14" s="26"/>
      <c r="F14" s="30"/>
      <c r="G14" s="38"/>
      <c r="H14" s="25"/>
      <c r="I14" s="26"/>
      <c r="J14" s="26"/>
      <c r="K14" s="26"/>
      <c r="L14" s="30"/>
      <c r="M14" s="38"/>
      <c r="N14" s="25"/>
      <c r="O14" s="26"/>
      <c r="P14" s="26"/>
      <c r="Q14" s="26"/>
      <c r="R14" s="30"/>
      <c r="S14" s="38"/>
    </row>
    <row r="15" spans="1:19" s="24" customFormat="1">
      <c r="A15" s="37"/>
      <c r="B15" s="27"/>
      <c r="C15" s="28"/>
      <c r="D15" s="28"/>
      <c r="E15" s="28"/>
      <c r="F15" s="355"/>
      <c r="G15" s="38"/>
      <c r="H15" s="27"/>
      <c r="I15" s="28"/>
      <c r="J15" s="28"/>
      <c r="K15" s="28"/>
      <c r="L15" s="355"/>
      <c r="M15" s="38"/>
      <c r="N15" s="27"/>
      <c r="O15" s="28"/>
      <c r="P15" s="28"/>
      <c r="Q15" s="28"/>
      <c r="R15" s="355"/>
      <c r="S15" s="38"/>
    </row>
    <row r="16" spans="1:19" s="24" customFormat="1">
      <c r="A16" s="37"/>
      <c r="B16" s="25"/>
      <c r="C16" s="26"/>
      <c r="D16" s="26"/>
      <c r="E16" s="26"/>
      <c r="F16" s="30"/>
      <c r="G16" s="38"/>
      <c r="H16" s="25"/>
      <c r="I16" s="26"/>
      <c r="J16" s="26"/>
      <c r="K16" s="26"/>
      <c r="L16" s="30"/>
      <c r="M16" s="38"/>
      <c r="N16" s="25"/>
      <c r="O16" s="26"/>
      <c r="P16" s="26"/>
      <c r="Q16" s="26"/>
      <c r="R16" s="30"/>
      <c r="S16" s="38"/>
    </row>
    <row r="17" spans="1:19" s="24" customFormat="1">
      <c r="A17" s="37"/>
      <c r="B17" s="27"/>
      <c r="C17" s="28"/>
      <c r="D17" s="28"/>
      <c r="E17" s="28"/>
      <c r="F17" s="355"/>
      <c r="G17" s="38"/>
      <c r="H17" s="27"/>
      <c r="I17" s="28"/>
      <c r="J17" s="28"/>
      <c r="K17" s="28"/>
      <c r="L17" s="355"/>
      <c r="M17" s="38"/>
      <c r="N17" s="27"/>
      <c r="O17" s="28"/>
      <c r="P17" s="28"/>
      <c r="Q17" s="28"/>
      <c r="R17" s="355"/>
      <c r="S17" s="38"/>
    </row>
    <row r="18" spans="1:19" s="24" customFormat="1">
      <c r="A18" s="37"/>
      <c r="B18" s="25"/>
      <c r="C18" s="29"/>
      <c r="D18" s="29"/>
      <c r="E18" s="29"/>
      <c r="F18" s="30"/>
      <c r="G18" s="38"/>
      <c r="H18" s="25"/>
      <c r="I18" s="29"/>
      <c r="J18" s="29"/>
      <c r="K18" s="29"/>
      <c r="L18" s="30"/>
      <c r="M18" s="38"/>
      <c r="N18" s="25"/>
      <c r="O18" s="29"/>
      <c r="P18" s="29"/>
      <c r="Q18" s="29"/>
      <c r="R18" s="30"/>
      <c r="S18" s="38"/>
    </row>
    <row r="19" spans="1:19" s="24" customFormat="1" ht="12" thickBot="1">
      <c r="A19" s="37"/>
      <c r="B19" s="31"/>
      <c r="C19" s="32"/>
      <c r="D19" s="32"/>
      <c r="E19" s="32"/>
      <c r="F19" s="33"/>
      <c r="G19" s="38"/>
      <c r="H19" s="31"/>
      <c r="I19" s="32"/>
      <c r="J19" s="32"/>
      <c r="K19" s="32"/>
      <c r="L19" s="33"/>
      <c r="M19" s="38"/>
      <c r="N19" s="31"/>
      <c r="O19" s="32"/>
      <c r="P19" s="32"/>
      <c r="Q19" s="32"/>
      <c r="R19" s="33"/>
      <c r="S19" s="38"/>
    </row>
    <row r="20" spans="1:19" ht="12" thickBot="1">
      <c r="B20" s="524" t="s">
        <v>157</v>
      </c>
      <c r="C20" s="525"/>
      <c r="D20" s="525"/>
      <c r="E20" s="525"/>
      <c r="F20" s="526"/>
      <c r="H20" s="518" t="s">
        <v>157</v>
      </c>
      <c r="I20" s="519"/>
      <c r="J20" s="519"/>
      <c r="K20" s="519"/>
      <c r="L20" s="520"/>
      <c r="N20" s="530" t="s">
        <v>157</v>
      </c>
      <c r="O20" s="531"/>
      <c r="P20" s="531"/>
      <c r="Q20" s="531"/>
      <c r="R20" s="532"/>
    </row>
    <row r="21" spans="1:19" s="24" customFormat="1" ht="22.5" customHeight="1" thickBot="1">
      <c r="A21" s="37"/>
      <c r="B21" s="521"/>
      <c r="C21" s="522"/>
      <c r="D21" s="522"/>
      <c r="E21" s="522"/>
      <c r="F21" s="523"/>
      <c r="G21" s="38"/>
      <c r="H21" s="521"/>
      <c r="I21" s="522"/>
      <c r="J21" s="522"/>
      <c r="K21" s="522"/>
      <c r="L21" s="523"/>
      <c r="M21" s="38"/>
      <c r="N21" s="521"/>
      <c r="O21" s="522"/>
      <c r="P21" s="522"/>
      <c r="Q21" s="522"/>
      <c r="R21" s="523"/>
      <c r="S21" s="38"/>
    </row>
    <row r="22" spans="1:19" ht="12" thickBot="1"/>
    <row r="23" spans="1:19" ht="12" thickBot="1">
      <c r="B23" s="512">
        <f>B3+1</f>
        <v>44543</v>
      </c>
      <c r="C23" s="513"/>
      <c r="D23" s="513"/>
      <c r="E23" s="513"/>
      <c r="F23" s="514"/>
      <c r="H23" s="515">
        <f>H3+1</f>
        <v>44550</v>
      </c>
      <c r="I23" s="516"/>
      <c r="J23" s="516"/>
      <c r="K23" s="516"/>
      <c r="L23" s="517"/>
      <c r="N23" s="527">
        <f>N3+1</f>
        <v>44557</v>
      </c>
      <c r="O23" s="528"/>
      <c r="P23" s="528"/>
      <c r="Q23" s="528"/>
      <c r="R23" s="529"/>
    </row>
    <row r="24" spans="1:19" ht="12" thickBot="1">
      <c r="B24" s="341" t="s">
        <v>160</v>
      </c>
      <c r="C24" s="342" t="s">
        <v>151</v>
      </c>
      <c r="D24" s="342" t="s">
        <v>150</v>
      </c>
      <c r="E24" s="343" t="s">
        <v>158</v>
      </c>
      <c r="F24" s="344" t="s">
        <v>156</v>
      </c>
      <c r="H24" s="345" t="s">
        <v>160</v>
      </c>
      <c r="I24" s="346" t="s">
        <v>151</v>
      </c>
      <c r="J24" s="346" t="s">
        <v>150</v>
      </c>
      <c r="K24" s="347" t="s">
        <v>158</v>
      </c>
      <c r="L24" s="348" t="s">
        <v>156</v>
      </c>
      <c r="N24" s="349" t="s">
        <v>160</v>
      </c>
      <c r="O24" s="350" t="s">
        <v>151</v>
      </c>
      <c r="P24" s="350" t="s">
        <v>150</v>
      </c>
      <c r="Q24" s="351" t="s">
        <v>158</v>
      </c>
      <c r="R24" s="352" t="s">
        <v>156</v>
      </c>
    </row>
    <row r="25" spans="1:19" s="24" customFormat="1">
      <c r="A25" s="37"/>
      <c r="B25" s="22"/>
      <c r="C25" s="23"/>
      <c r="D25" s="23"/>
      <c r="E25" s="23"/>
      <c r="F25" s="354"/>
      <c r="G25" s="38"/>
      <c r="H25" s="22"/>
      <c r="I25" s="23"/>
      <c r="J25" s="23"/>
      <c r="K25" s="23"/>
      <c r="L25" s="354"/>
      <c r="M25" s="38"/>
      <c r="N25" s="22"/>
      <c r="O25" s="23"/>
      <c r="P25" s="23"/>
      <c r="Q25" s="23"/>
      <c r="R25" s="354"/>
      <c r="S25" s="38"/>
    </row>
    <row r="26" spans="1:19" s="24" customFormat="1">
      <c r="A26" s="37"/>
      <c r="B26" s="25"/>
      <c r="C26" s="26"/>
      <c r="D26" s="26"/>
      <c r="E26" s="26"/>
      <c r="F26" s="30"/>
      <c r="G26" s="38"/>
      <c r="H26" s="25"/>
      <c r="I26" s="26"/>
      <c r="J26" s="26"/>
      <c r="K26" s="26"/>
      <c r="L26" s="30"/>
      <c r="M26" s="38"/>
      <c r="N26" s="25"/>
      <c r="O26" s="26"/>
      <c r="P26" s="26"/>
      <c r="Q26" s="26"/>
      <c r="R26" s="354"/>
      <c r="S26" s="38"/>
    </row>
    <row r="27" spans="1:19" s="24" customFormat="1">
      <c r="A27" s="37"/>
      <c r="B27" s="27"/>
      <c r="C27" s="28"/>
      <c r="D27" s="28"/>
      <c r="E27" s="28"/>
      <c r="F27" s="355"/>
      <c r="G27" s="38"/>
      <c r="H27" s="27"/>
      <c r="I27" s="28"/>
      <c r="J27" s="28"/>
      <c r="K27" s="28"/>
      <c r="L27" s="30"/>
      <c r="M27" s="38"/>
      <c r="N27" s="27"/>
      <c r="O27" s="28"/>
      <c r="P27" s="28"/>
      <c r="Q27" s="28"/>
      <c r="R27" s="355"/>
      <c r="S27" s="38"/>
    </row>
    <row r="28" spans="1:19" s="24" customFormat="1">
      <c r="A28" s="37"/>
      <c r="B28" s="25"/>
      <c r="C28" s="26"/>
      <c r="D28" s="26"/>
      <c r="E28" s="26"/>
      <c r="F28" s="30"/>
      <c r="G28" s="38"/>
      <c r="H28" s="25"/>
      <c r="I28" s="26"/>
      <c r="J28" s="26"/>
      <c r="K28" s="26"/>
      <c r="L28" s="355"/>
      <c r="M28" s="38"/>
      <c r="N28" s="25"/>
      <c r="O28" s="26"/>
      <c r="P28" s="26"/>
      <c r="Q28" s="26"/>
      <c r="R28" s="30"/>
      <c r="S28" s="38"/>
    </row>
    <row r="29" spans="1:19" s="24" customFormat="1">
      <c r="A29" s="37"/>
      <c r="B29" s="27"/>
      <c r="C29" s="28"/>
      <c r="D29" s="28"/>
      <c r="E29" s="28"/>
      <c r="F29" s="355"/>
      <c r="G29" s="38"/>
      <c r="H29" s="27"/>
      <c r="I29" s="28"/>
      <c r="J29" s="28"/>
      <c r="K29" s="28"/>
      <c r="L29" s="355"/>
      <c r="M29" s="38"/>
      <c r="N29" s="27"/>
      <c r="O29" s="28"/>
      <c r="P29" s="28"/>
      <c r="Q29" s="28"/>
      <c r="R29" s="355"/>
      <c r="S29" s="38"/>
    </row>
    <row r="30" spans="1:19" s="24" customFormat="1">
      <c r="A30" s="37"/>
      <c r="B30" s="25"/>
      <c r="C30" s="26"/>
      <c r="D30" s="26"/>
      <c r="E30" s="26"/>
      <c r="F30" s="30"/>
      <c r="G30" s="38"/>
      <c r="H30" s="25"/>
      <c r="I30" s="26"/>
      <c r="J30" s="26"/>
      <c r="K30" s="26"/>
      <c r="L30" s="30"/>
      <c r="M30" s="38"/>
      <c r="N30" s="25"/>
      <c r="O30" s="26"/>
      <c r="P30" s="26"/>
      <c r="Q30" s="26"/>
      <c r="R30" s="30"/>
      <c r="S30" s="38"/>
    </row>
    <row r="31" spans="1:19" s="24" customFormat="1">
      <c r="A31" s="37"/>
      <c r="B31" s="27"/>
      <c r="C31" s="28"/>
      <c r="D31" s="28"/>
      <c r="E31" s="28"/>
      <c r="F31" s="355"/>
      <c r="G31" s="38"/>
      <c r="H31" s="27"/>
      <c r="I31" s="28"/>
      <c r="J31" s="28"/>
      <c r="K31" s="28"/>
      <c r="L31" s="355"/>
      <c r="M31" s="38"/>
      <c r="N31" s="27"/>
      <c r="O31" s="28"/>
      <c r="P31" s="28"/>
      <c r="Q31" s="28"/>
      <c r="R31" s="355"/>
      <c r="S31" s="38"/>
    </row>
    <row r="32" spans="1:19" s="24" customFormat="1">
      <c r="A32" s="37"/>
      <c r="B32" s="25"/>
      <c r="C32" s="26"/>
      <c r="D32" s="26"/>
      <c r="E32" s="26"/>
      <c r="F32" s="30"/>
      <c r="G32" s="38"/>
      <c r="H32" s="25"/>
      <c r="I32" s="26"/>
      <c r="J32" s="26"/>
      <c r="K32" s="26"/>
      <c r="L32" s="30"/>
      <c r="M32" s="38"/>
      <c r="N32" s="25"/>
      <c r="O32" s="26"/>
      <c r="P32" s="26"/>
      <c r="Q32" s="26"/>
      <c r="R32" s="30"/>
      <c r="S32" s="38"/>
    </row>
    <row r="33" spans="1:19" s="24" customFormat="1">
      <c r="A33" s="37"/>
      <c r="B33" s="27"/>
      <c r="C33" s="28"/>
      <c r="D33" s="28"/>
      <c r="E33" s="28"/>
      <c r="F33" s="355"/>
      <c r="G33" s="38"/>
      <c r="H33" s="27"/>
      <c r="I33" s="28"/>
      <c r="J33" s="28"/>
      <c r="K33" s="28"/>
      <c r="L33" s="355"/>
      <c r="M33" s="38"/>
      <c r="N33" s="27"/>
      <c r="O33" s="28"/>
      <c r="P33" s="28"/>
      <c r="Q33" s="28"/>
      <c r="R33" s="30"/>
      <c r="S33" s="38"/>
    </row>
    <row r="34" spans="1:19" s="24" customFormat="1">
      <c r="A34" s="37"/>
      <c r="B34" s="25"/>
      <c r="C34" s="26"/>
      <c r="D34" s="26"/>
      <c r="E34" s="26"/>
      <c r="F34" s="30"/>
      <c r="G34" s="38"/>
      <c r="H34" s="25"/>
      <c r="I34" s="26"/>
      <c r="J34" s="26"/>
      <c r="K34" s="26"/>
      <c r="L34" s="30"/>
      <c r="M34" s="38"/>
      <c r="N34" s="25"/>
      <c r="O34" s="26"/>
      <c r="P34" s="26"/>
      <c r="Q34" s="26"/>
      <c r="R34" s="30"/>
      <c r="S34" s="38"/>
    </row>
    <row r="35" spans="1:19" s="24" customFormat="1">
      <c r="A35" s="37"/>
      <c r="B35" s="27"/>
      <c r="C35" s="28"/>
      <c r="D35" s="28"/>
      <c r="E35" s="28"/>
      <c r="F35" s="355"/>
      <c r="G35" s="38"/>
      <c r="H35" s="27"/>
      <c r="I35" s="28"/>
      <c r="J35" s="28"/>
      <c r="K35" s="28"/>
      <c r="L35" s="355"/>
      <c r="M35" s="38"/>
      <c r="N35" s="27"/>
      <c r="O35" s="28"/>
      <c r="P35" s="28"/>
      <c r="Q35" s="28"/>
      <c r="R35" s="355"/>
      <c r="S35" s="38"/>
    </row>
    <row r="36" spans="1:19" s="24" customFormat="1">
      <c r="A36" s="37"/>
      <c r="B36" s="25"/>
      <c r="C36" s="26"/>
      <c r="D36" s="26"/>
      <c r="E36" s="26"/>
      <c r="F36" s="30"/>
      <c r="G36" s="38"/>
      <c r="H36" s="25"/>
      <c r="I36" s="26"/>
      <c r="J36" s="26"/>
      <c r="K36" s="26"/>
      <c r="L36" s="30"/>
      <c r="M36" s="38"/>
      <c r="N36" s="25"/>
      <c r="O36" s="26"/>
      <c r="P36" s="26"/>
      <c r="Q36" s="26"/>
      <c r="R36" s="30"/>
      <c r="S36" s="38"/>
    </row>
    <row r="37" spans="1:19" s="24" customFormat="1">
      <c r="A37" s="37"/>
      <c r="B37" s="27"/>
      <c r="C37" s="28"/>
      <c r="D37" s="28"/>
      <c r="E37" s="28"/>
      <c r="F37" s="355"/>
      <c r="G37" s="38"/>
      <c r="H37" s="27"/>
      <c r="I37" s="28"/>
      <c r="J37" s="28"/>
      <c r="K37" s="28"/>
      <c r="L37" s="355"/>
      <c r="M37" s="38"/>
      <c r="N37" s="27"/>
      <c r="O37" s="28"/>
      <c r="P37" s="28"/>
      <c r="Q37" s="28"/>
      <c r="R37" s="355"/>
      <c r="S37" s="38"/>
    </row>
    <row r="38" spans="1:19" s="24" customFormat="1">
      <c r="A38" s="37"/>
      <c r="B38" s="25"/>
      <c r="C38" s="29"/>
      <c r="D38" s="29"/>
      <c r="E38" s="29"/>
      <c r="F38" s="30"/>
      <c r="G38" s="38"/>
      <c r="H38" s="25"/>
      <c r="I38" s="29"/>
      <c r="J38" s="29"/>
      <c r="K38" s="29"/>
      <c r="L38" s="30"/>
      <c r="M38" s="38"/>
      <c r="N38" s="25"/>
      <c r="O38" s="29"/>
      <c r="P38" s="29"/>
      <c r="Q38" s="29"/>
      <c r="R38" s="30"/>
      <c r="S38" s="38"/>
    </row>
    <row r="39" spans="1:19" s="24" customFormat="1" ht="12" thickBot="1">
      <c r="A39" s="37"/>
      <c r="B39" s="31"/>
      <c r="C39" s="32"/>
      <c r="D39" s="32"/>
      <c r="E39" s="32"/>
      <c r="F39" s="33"/>
      <c r="G39" s="38"/>
      <c r="H39" s="31"/>
      <c r="I39" s="32"/>
      <c r="J39" s="32"/>
      <c r="K39" s="32"/>
      <c r="L39" s="33"/>
      <c r="M39" s="38"/>
      <c r="N39" s="31"/>
      <c r="O39" s="32"/>
      <c r="P39" s="32"/>
      <c r="Q39" s="32"/>
      <c r="R39" s="33"/>
      <c r="S39" s="38"/>
    </row>
    <row r="40" spans="1:19" ht="12" thickBot="1">
      <c r="B40" s="524" t="s">
        <v>157</v>
      </c>
      <c r="C40" s="525"/>
      <c r="D40" s="525"/>
      <c r="E40" s="525"/>
      <c r="F40" s="526"/>
      <c r="H40" s="518" t="s">
        <v>157</v>
      </c>
      <c r="I40" s="519"/>
      <c r="J40" s="519"/>
      <c r="K40" s="519"/>
      <c r="L40" s="520"/>
      <c r="N40" s="530" t="s">
        <v>157</v>
      </c>
      <c r="O40" s="531"/>
      <c r="P40" s="531"/>
      <c r="Q40" s="531"/>
      <c r="R40" s="532"/>
    </row>
    <row r="41" spans="1:19" s="24" customFormat="1" ht="22.5" customHeight="1" thickBot="1">
      <c r="A41" s="37"/>
      <c r="B41" s="521"/>
      <c r="C41" s="522"/>
      <c r="D41" s="522"/>
      <c r="E41" s="522"/>
      <c r="F41" s="523"/>
      <c r="G41" s="38"/>
      <c r="H41" s="521"/>
      <c r="I41" s="522"/>
      <c r="J41" s="522"/>
      <c r="K41" s="522"/>
      <c r="L41" s="523"/>
      <c r="M41" s="38"/>
      <c r="N41" s="521"/>
      <c r="O41" s="522"/>
      <c r="P41" s="522"/>
      <c r="Q41" s="522"/>
      <c r="R41" s="523"/>
      <c r="S41" s="38"/>
    </row>
    <row r="42" spans="1:19" ht="12" thickBot="1"/>
    <row r="43" spans="1:19" ht="12" thickBot="1">
      <c r="B43" s="512">
        <f>B23+1</f>
        <v>44544</v>
      </c>
      <c r="C43" s="513"/>
      <c r="D43" s="513"/>
      <c r="E43" s="513"/>
      <c r="F43" s="514"/>
      <c r="H43" s="515">
        <f>H23+1</f>
        <v>44551</v>
      </c>
      <c r="I43" s="516"/>
      <c r="J43" s="516"/>
      <c r="K43" s="516"/>
      <c r="L43" s="517"/>
      <c r="N43" s="527">
        <f>N23+1</f>
        <v>44558</v>
      </c>
      <c r="O43" s="528"/>
      <c r="P43" s="528"/>
      <c r="Q43" s="528"/>
      <c r="R43" s="529"/>
    </row>
    <row r="44" spans="1:19" ht="12" thickBot="1">
      <c r="B44" s="341" t="s">
        <v>160</v>
      </c>
      <c r="C44" s="342" t="s">
        <v>151</v>
      </c>
      <c r="D44" s="342" t="s">
        <v>150</v>
      </c>
      <c r="E44" s="343" t="s">
        <v>158</v>
      </c>
      <c r="F44" s="344" t="s">
        <v>156</v>
      </c>
      <c r="H44" s="345" t="s">
        <v>160</v>
      </c>
      <c r="I44" s="346" t="s">
        <v>151</v>
      </c>
      <c r="J44" s="346" t="s">
        <v>150</v>
      </c>
      <c r="K44" s="347" t="s">
        <v>158</v>
      </c>
      <c r="L44" s="348" t="s">
        <v>156</v>
      </c>
      <c r="N44" s="349" t="s">
        <v>160</v>
      </c>
      <c r="O44" s="350" t="s">
        <v>151</v>
      </c>
      <c r="P44" s="350" t="s">
        <v>150</v>
      </c>
      <c r="Q44" s="351" t="s">
        <v>158</v>
      </c>
      <c r="R44" s="352" t="s">
        <v>156</v>
      </c>
    </row>
    <row r="45" spans="1:19" s="24" customFormat="1">
      <c r="A45" s="37"/>
      <c r="B45" s="22"/>
      <c r="C45" s="23"/>
      <c r="D45" s="23"/>
      <c r="E45" s="23"/>
      <c r="F45" s="354"/>
      <c r="G45" s="38"/>
      <c r="H45" s="22"/>
      <c r="I45" s="23"/>
      <c r="J45" s="23"/>
      <c r="K45" s="23"/>
      <c r="L45" s="354"/>
      <c r="M45" s="38"/>
      <c r="N45" s="22"/>
      <c r="O45" s="23"/>
      <c r="P45" s="23"/>
      <c r="Q45" s="23"/>
      <c r="R45" s="30"/>
      <c r="S45" s="38"/>
    </row>
    <row r="46" spans="1:19" s="24" customFormat="1">
      <c r="A46" s="37"/>
      <c r="B46" s="25"/>
      <c r="C46" s="26"/>
      <c r="D46" s="26"/>
      <c r="E46" s="26"/>
      <c r="F46" s="30"/>
      <c r="G46" s="38"/>
      <c r="H46" s="25"/>
      <c r="I46" s="26"/>
      <c r="J46" s="26"/>
      <c r="K46" s="26"/>
      <c r="L46" s="30"/>
      <c r="M46" s="38"/>
      <c r="N46" s="25"/>
      <c r="O46" s="26"/>
      <c r="P46" s="26"/>
      <c r="Q46" s="26"/>
      <c r="R46" s="354"/>
      <c r="S46" s="38"/>
    </row>
    <row r="47" spans="1:19" s="24" customFormat="1">
      <c r="A47" s="37"/>
      <c r="B47" s="27"/>
      <c r="C47" s="28"/>
      <c r="D47" s="28"/>
      <c r="E47" s="28"/>
      <c r="F47" s="355"/>
      <c r="G47" s="38"/>
      <c r="H47" s="27"/>
      <c r="I47" s="28"/>
      <c r="J47" s="28"/>
      <c r="K47" s="28"/>
      <c r="L47" s="30"/>
      <c r="M47" s="38"/>
      <c r="N47" s="27"/>
      <c r="O47" s="28"/>
      <c r="P47" s="28"/>
      <c r="Q47" s="28"/>
      <c r="R47" s="354"/>
      <c r="S47" s="38"/>
    </row>
    <row r="48" spans="1:19" s="24" customFormat="1">
      <c r="A48" s="37"/>
      <c r="B48" s="25"/>
      <c r="C48" s="26"/>
      <c r="D48" s="28"/>
      <c r="E48" s="28"/>
      <c r="F48" s="30"/>
      <c r="G48" s="38"/>
      <c r="H48" s="25"/>
      <c r="I48" s="26"/>
      <c r="J48" s="26"/>
      <c r="K48" s="26"/>
      <c r="L48" s="30"/>
      <c r="M48" s="38"/>
      <c r="N48" s="25"/>
      <c r="O48" s="26"/>
      <c r="P48" s="26"/>
      <c r="Q48" s="26"/>
      <c r="R48" s="355"/>
      <c r="S48" s="38"/>
    </row>
    <row r="49" spans="1:19" s="24" customFormat="1">
      <c r="A49" s="37"/>
      <c r="B49" s="27"/>
      <c r="C49" s="28"/>
      <c r="D49" s="28"/>
      <c r="E49" s="28"/>
      <c r="F49" s="355"/>
      <c r="G49" s="38"/>
      <c r="H49" s="27"/>
      <c r="I49" s="28"/>
      <c r="J49" s="28"/>
      <c r="K49" s="28"/>
      <c r="L49" s="30"/>
      <c r="M49" s="38"/>
      <c r="N49" s="25"/>
      <c r="O49" s="26"/>
      <c r="P49" s="28"/>
      <c r="Q49" s="28"/>
      <c r="R49" s="354"/>
      <c r="S49" s="38"/>
    </row>
    <row r="50" spans="1:19" s="24" customFormat="1">
      <c r="A50" s="37"/>
      <c r="B50" s="25"/>
      <c r="C50" s="26"/>
      <c r="D50" s="28"/>
      <c r="E50" s="28"/>
      <c r="F50" s="30"/>
      <c r="G50" s="38"/>
      <c r="H50" s="25"/>
      <c r="I50" s="26"/>
      <c r="J50" s="26"/>
      <c r="K50" s="26"/>
      <c r="L50" s="30"/>
      <c r="M50" s="38"/>
      <c r="N50" s="25"/>
      <c r="O50" s="26"/>
      <c r="P50" s="26"/>
      <c r="Q50" s="26"/>
      <c r="R50" s="30"/>
      <c r="S50" s="38"/>
    </row>
    <row r="51" spans="1:19" s="24" customFormat="1">
      <c r="A51" s="37"/>
      <c r="B51" s="27"/>
      <c r="C51" s="28"/>
      <c r="D51" s="28"/>
      <c r="E51" s="28"/>
      <c r="F51" s="371"/>
      <c r="G51" s="38"/>
      <c r="H51" s="27"/>
      <c r="I51" s="28"/>
      <c r="J51" s="28"/>
      <c r="K51" s="28"/>
      <c r="L51" s="355"/>
      <c r="M51" s="38"/>
      <c r="N51" s="25"/>
      <c r="O51" s="28"/>
      <c r="P51" s="28"/>
      <c r="Q51" s="28"/>
      <c r="R51" s="30"/>
      <c r="S51" s="38"/>
    </row>
    <row r="52" spans="1:19" s="24" customFormat="1">
      <c r="A52" s="37"/>
      <c r="B52" s="27"/>
      <c r="C52" s="26"/>
      <c r="D52" s="26"/>
      <c r="E52" s="26"/>
      <c r="F52" s="355"/>
      <c r="G52" s="38"/>
      <c r="H52" s="25"/>
      <c r="I52" s="26"/>
      <c r="J52" s="26"/>
      <c r="K52" s="26"/>
      <c r="L52" s="30"/>
      <c r="M52" s="38"/>
      <c r="N52" s="25"/>
      <c r="O52" s="26"/>
      <c r="P52" s="26"/>
      <c r="Q52" s="26"/>
      <c r="R52" s="30"/>
      <c r="S52" s="38"/>
    </row>
    <row r="53" spans="1:19" s="24" customFormat="1">
      <c r="A53" s="37"/>
      <c r="B53" s="25"/>
      <c r="C53" s="28"/>
      <c r="D53" s="28"/>
      <c r="E53" s="28"/>
      <c r="F53" s="30"/>
      <c r="G53" s="38"/>
      <c r="H53" s="27"/>
      <c r="I53" s="28"/>
      <c r="J53" s="28"/>
      <c r="K53" s="28"/>
      <c r="L53" s="355"/>
      <c r="M53" s="38"/>
      <c r="N53" s="27"/>
      <c r="O53" s="28"/>
      <c r="P53" s="28"/>
      <c r="Q53" s="28"/>
      <c r="R53" s="355"/>
      <c r="S53" s="38"/>
    </row>
    <row r="54" spans="1:19" s="24" customFormat="1">
      <c r="A54" s="37"/>
      <c r="B54" s="25"/>
      <c r="C54" s="26"/>
      <c r="D54" s="26"/>
      <c r="E54" s="26"/>
      <c r="F54" s="30"/>
      <c r="G54" s="38"/>
      <c r="H54" s="25"/>
      <c r="I54" s="26"/>
      <c r="J54" s="26"/>
      <c r="K54" s="26"/>
      <c r="L54" s="30"/>
      <c r="M54" s="38"/>
      <c r="N54" s="25"/>
      <c r="O54" s="26"/>
      <c r="P54" s="26"/>
      <c r="Q54" s="26"/>
      <c r="R54" s="30"/>
      <c r="S54" s="38"/>
    </row>
    <row r="55" spans="1:19" s="24" customFormat="1">
      <c r="A55" s="37"/>
      <c r="B55" s="27"/>
      <c r="C55" s="28"/>
      <c r="D55" s="28"/>
      <c r="E55" s="28"/>
      <c r="F55" s="355"/>
      <c r="G55" s="38"/>
      <c r="H55" s="27"/>
      <c r="I55" s="28"/>
      <c r="J55" s="28"/>
      <c r="K55" s="28"/>
      <c r="L55" s="355"/>
      <c r="M55" s="38"/>
      <c r="N55" s="27"/>
      <c r="O55" s="28"/>
      <c r="P55" s="28"/>
      <c r="Q55" s="28"/>
      <c r="R55" s="355"/>
      <c r="S55" s="38"/>
    </row>
    <row r="56" spans="1:19" s="24" customFormat="1">
      <c r="A56" s="37"/>
      <c r="B56" s="25"/>
      <c r="C56" s="26"/>
      <c r="D56" s="26"/>
      <c r="E56" s="26"/>
      <c r="F56" s="30"/>
      <c r="G56" s="38"/>
      <c r="H56" s="25"/>
      <c r="I56" s="26"/>
      <c r="J56" s="26"/>
      <c r="K56" s="26"/>
      <c r="L56" s="30"/>
      <c r="M56" s="38"/>
      <c r="N56" s="25"/>
      <c r="O56" s="26"/>
      <c r="P56" s="26"/>
      <c r="Q56" s="26"/>
      <c r="R56" s="30"/>
      <c r="S56" s="38"/>
    </row>
    <row r="57" spans="1:19" s="24" customFormat="1">
      <c r="A57" s="37"/>
      <c r="B57" s="27"/>
      <c r="C57" s="28"/>
      <c r="D57" s="28"/>
      <c r="E57" s="28"/>
      <c r="F57" s="355"/>
      <c r="G57" s="38"/>
      <c r="H57" s="27"/>
      <c r="I57" s="28"/>
      <c r="J57" s="28"/>
      <c r="K57" s="28"/>
      <c r="L57" s="355"/>
      <c r="M57" s="38"/>
      <c r="N57" s="27"/>
      <c r="O57" s="28"/>
      <c r="P57" s="28"/>
      <c r="Q57" s="28"/>
      <c r="R57" s="355"/>
      <c r="S57" s="38"/>
    </row>
    <row r="58" spans="1:19" s="24" customFormat="1">
      <c r="A58" s="37"/>
      <c r="B58" s="25"/>
      <c r="C58" s="29"/>
      <c r="D58" s="29"/>
      <c r="E58" s="29"/>
      <c r="F58" s="30"/>
      <c r="G58" s="38"/>
      <c r="H58" s="25"/>
      <c r="I58" s="29"/>
      <c r="J58" s="29"/>
      <c r="K58" s="29"/>
      <c r="L58" s="30"/>
      <c r="M58" s="38"/>
      <c r="N58" s="25"/>
      <c r="O58" s="29"/>
      <c r="P58" s="29"/>
      <c r="Q58" s="29"/>
      <c r="R58" s="30"/>
      <c r="S58" s="38"/>
    </row>
    <row r="59" spans="1:19" s="24" customFormat="1" ht="12" thickBot="1">
      <c r="A59" s="37"/>
      <c r="B59" s="31"/>
      <c r="C59" s="32"/>
      <c r="D59" s="32"/>
      <c r="E59" s="32"/>
      <c r="F59" s="33"/>
      <c r="G59" s="38"/>
      <c r="H59" s="31"/>
      <c r="I59" s="32"/>
      <c r="J59" s="32"/>
      <c r="K59" s="32"/>
      <c r="L59" s="33"/>
      <c r="M59" s="38"/>
      <c r="N59" s="31"/>
      <c r="O59" s="32"/>
      <c r="P59" s="32"/>
      <c r="Q59" s="32"/>
      <c r="R59" s="33"/>
      <c r="S59" s="38"/>
    </row>
    <row r="60" spans="1:19" ht="12" thickBot="1">
      <c r="B60" s="524" t="s">
        <v>157</v>
      </c>
      <c r="C60" s="525"/>
      <c r="D60" s="525"/>
      <c r="E60" s="525"/>
      <c r="F60" s="526"/>
      <c r="H60" s="518" t="s">
        <v>157</v>
      </c>
      <c r="I60" s="519"/>
      <c r="J60" s="519"/>
      <c r="K60" s="519"/>
      <c r="L60" s="520"/>
      <c r="N60" s="530" t="s">
        <v>157</v>
      </c>
      <c r="O60" s="531"/>
      <c r="P60" s="531"/>
      <c r="Q60" s="531"/>
      <c r="R60" s="532"/>
    </row>
    <row r="61" spans="1:19" s="24" customFormat="1" ht="22.5" customHeight="1" thickBot="1">
      <c r="A61" s="37"/>
      <c r="B61" s="521"/>
      <c r="C61" s="522"/>
      <c r="D61" s="522"/>
      <c r="E61" s="522"/>
      <c r="F61" s="523"/>
      <c r="G61" s="38"/>
      <c r="H61" s="521"/>
      <c r="I61" s="522"/>
      <c r="J61" s="522"/>
      <c r="K61" s="522"/>
      <c r="L61" s="523"/>
      <c r="M61" s="38"/>
      <c r="N61" s="521"/>
      <c r="O61" s="522"/>
      <c r="P61" s="522"/>
      <c r="Q61" s="522"/>
      <c r="R61" s="523"/>
      <c r="S61" s="38"/>
    </row>
    <row r="62" spans="1:19" ht="12" thickBot="1"/>
    <row r="63" spans="1:19" ht="12" thickBot="1">
      <c r="B63" s="512">
        <f>B43+1</f>
        <v>44545</v>
      </c>
      <c r="C63" s="513"/>
      <c r="D63" s="513"/>
      <c r="E63" s="513"/>
      <c r="F63" s="514"/>
      <c r="H63" s="515">
        <f>H43+1</f>
        <v>44552</v>
      </c>
      <c r="I63" s="516"/>
      <c r="J63" s="516"/>
      <c r="K63" s="516"/>
      <c r="L63" s="517"/>
      <c r="N63" s="527">
        <f>N43+1</f>
        <v>44559</v>
      </c>
      <c r="O63" s="528"/>
      <c r="P63" s="528"/>
      <c r="Q63" s="528"/>
      <c r="R63" s="529"/>
    </row>
    <row r="64" spans="1:19" ht="12" thickBot="1">
      <c r="B64" s="341" t="s">
        <v>160</v>
      </c>
      <c r="C64" s="342" t="s">
        <v>151</v>
      </c>
      <c r="D64" s="342" t="s">
        <v>150</v>
      </c>
      <c r="E64" s="343" t="s">
        <v>158</v>
      </c>
      <c r="F64" s="344" t="s">
        <v>156</v>
      </c>
      <c r="H64" s="345" t="s">
        <v>160</v>
      </c>
      <c r="I64" s="346" t="s">
        <v>151</v>
      </c>
      <c r="J64" s="346" t="s">
        <v>150</v>
      </c>
      <c r="K64" s="347" t="s">
        <v>158</v>
      </c>
      <c r="L64" s="348" t="s">
        <v>156</v>
      </c>
      <c r="N64" s="349" t="s">
        <v>160</v>
      </c>
      <c r="O64" s="350" t="s">
        <v>151</v>
      </c>
      <c r="P64" s="350" t="s">
        <v>150</v>
      </c>
      <c r="Q64" s="351" t="s">
        <v>158</v>
      </c>
      <c r="R64" s="352" t="s">
        <v>156</v>
      </c>
    </row>
    <row r="65" spans="1:19" s="24" customFormat="1">
      <c r="A65" s="37"/>
      <c r="B65" s="22"/>
      <c r="C65" s="23"/>
      <c r="D65" s="23"/>
      <c r="E65" s="23"/>
      <c r="F65" s="354"/>
      <c r="G65" s="38"/>
      <c r="H65" s="22"/>
      <c r="I65" s="23"/>
      <c r="J65" s="23"/>
      <c r="K65" s="23"/>
      <c r="L65" s="354"/>
      <c r="M65" s="38"/>
      <c r="N65" s="22"/>
      <c r="O65" s="23"/>
      <c r="P65" s="23"/>
      <c r="Q65" s="23"/>
      <c r="R65" s="354"/>
      <c r="S65" s="38"/>
    </row>
    <row r="66" spans="1:19" s="24" customFormat="1">
      <c r="A66" s="37"/>
      <c r="B66" s="25"/>
      <c r="C66" s="26"/>
      <c r="D66" s="26"/>
      <c r="E66" s="26"/>
      <c r="F66" s="30"/>
      <c r="G66" s="38"/>
      <c r="H66" s="25"/>
      <c r="I66" s="26"/>
      <c r="J66" s="26"/>
      <c r="K66" s="26"/>
      <c r="L66" s="30"/>
      <c r="M66" s="38"/>
      <c r="N66" s="25"/>
      <c r="O66" s="23"/>
      <c r="P66" s="23"/>
      <c r="Q66" s="23"/>
      <c r="R66" s="30"/>
      <c r="S66" s="38"/>
    </row>
    <row r="67" spans="1:19" s="24" customFormat="1">
      <c r="A67" s="37"/>
      <c r="B67" s="27"/>
      <c r="C67" s="28"/>
      <c r="D67" s="28"/>
      <c r="E67" s="28"/>
      <c r="F67" s="355"/>
      <c r="G67" s="38"/>
      <c r="H67" s="27"/>
      <c r="I67" s="28"/>
      <c r="J67" s="28"/>
      <c r="K67" s="28"/>
      <c r="L67" s="355"/>
      <c r="M67" s="38"/>
      <c r="N67" s="27"/>
      <c r="O67" s="26"/>
      <c r="P67" s="26"/>
      <c r="Q67" s="26"/>
      <c r="R67" s="355"/>
      <c r="S67" s="38"/>
    </row>
    <row r="68" spans="1:19" s="24" customFormat="1">
      <c r="A68" s="37"/>
      <c r="B68" s="25"/>
      <c r="C68" s="26"/>
      <c r="D68" s="26"/>
      <c r="E68" s="26"/>
      <c r="F68" s="30"/>
      <c r="G68" s="38"/>
      <c r="H68" s="25"/>
      <c r="I68" s="26"/>
      <c r="J68" s="26"/>
      <c r="K68" s="26"/>
      <c r="L68" s="30"/>
      <c r="M68" s="38"/>
      <c r="N68" s="25"/>
      <c r="O68" s="28"/>
      <c r="P68" s="28"/>
      <c r="Q68" s="28"/>
      <c r="R68" s="30"/>
      <c r="S68" s="38"/>
    </row>
    <row r="69" spans="1:19" s="24" customFormat="1">
      <c r="A69" s="37"/>
      <c r="B69" s="27"/>
      <c r="C69" s="28"/>
      <c r="D69" s="28"/>
      <c r="E69" s="28"/>
      <c r="F69" s="30"/>
      <c r="G69" s="38"/>
      <c r="H69" s="27"/>
      <c r="I69" s="28"/>
      <c r="J69" s="28"/>
      <c r="K69" s="28"/>
      <c r="L69" s="355"/>
      <c r="M69" s="38"/>
      <c r="N69" s="25"/>
      <c r="O69" s="28"/>
      <c r="P69" s="28"/>
      <c r="Q69" s="28"/>
      <c r="R69" s="355"/>
      <c r="S69" s="38"/>
    </row>
    <row r="70" spans="1:19" s="24" customFormat="1">
      <c r="A70" s="37"/>
      <c r="B70" s="27"/>
      <c r="C70" s="26"/>
      <c r="D70" s="26"/>
      <c r="E70" s="26"/>
      <c r="F70" s="30"/>
      <c r="G70" s="38"/>
      <c r="H70" s="25"/>
      <c r="I70" s="26"/>
      <c r="J70" s="26"/>
      <c r="K70" s="26"/>
      <c r="L70" s="30"/>
      <c r="M70" s="38"/>
      <c r="N70" s="25"/>
      <c r="O70" s="26"/>
      <c r="P70" s="26"/>
      <c r="Q70" s="26"/>
      <c r="R70" s="354"/>
      <c r="S70" s="38"/>
    </row>
    <row r="71" spans="1:19" s="24" customFormat="1">
      <c r="A71" s="37"/>
      <c r="B71" s="25"/>
      <c r="C71" s="28"/>
      <c r="D71" s="28"/>
      <c r="E71" s="28"/>
      <c r="F71" s="355"/>
      <c r="G71" s="38"/>
      <c r="H71" s="27"/>
      <c r="I71" s="28"/>
      <c r="J71" s="28"/>
      <c r="K71" s="28"/>
      <c r="L71" s="355"/>
      <c r="M71" s="38"/>
      <c r="N71" s="27"/>
      <c r="O71" s="28"/>
      <c r="P71" s="28"/>
      <c r="Q71" s="28"/>
      <c r="R71" s="355"/>
      <c r="S71" s="38"/>
    </row>
    <row r="72" spans="1:19" s="24" customFormat="1">
      <c r="A72" s="37"/>
      <c r="B72" s="27"/>
      <c r="C72" s="26"/>
      <c r="D72" s="26"/>
      <c r="E72" s="26"/>
      <c r="F72" s="30"/>
      <c r="G72" s="38"/>
      <c r="H72" s="25"/>
      <c r="I72" s="26"/>
      <c r="J72" s="26"/>
      <c r="K72" s="26"/>
      <c r="L72" s="30"/>
      <c r="M72" s="38"/>
      <c r="N72" s="25"/>
      <c r="O72" s="26"/>
      <c r="P72" s="26"/>
      <c r="Q72" s="26"/>
      <c r="R72" s="355"/>
      <c r="S72" s="38"/>
    </row>
    <row r="73" spans="1:19" s="24" customFormat="1">
      <c r="A73" s="37"/>
      <c r="B73" s="25"/>
      <c r="C73" s="28"/>
      <c r="D73" s="28"/>
      <c r="E73" s="28"/>
      <c r="F73" s="355"/>
      <c r="G73" s="38"/>
      <c r="H73" s="27"/>
      <c r="I73" s="28"/>
      <c r="J73" s="28"/>
      <c r="K73" s="28"/>
      <c r="L73" s="355"/>
      <c r="M73" s="38"/>
      <c r="N73" s="27"/>
      <c r="O73" s="28"/>
      <c r="P73" s="28"/>
      <c r="Q73" s="28"/>
      <c r="R73" s="355"/>
      <c r="S73" s="38"/>
    </row>
    <row r="74" spans="1:19" s="24" customFormat="1">
      <c r="A74" s="37"/>
      <c r="B74" s="27"/>
      <c r="C74" s="26"/>
      <c r="D74" s="26"/>
      <c r="E74" s="26"/>
      <c r="F74" s="30"/>
      <c r="G74" s="38"/>
      <c r="H74" s="25"/>
      <c r="I74" s="26"/>
      <c r="J74" s="26"/>
      <c r="K74" s="26"/>
      <c r="L74" s="30"/>
      <c r="M74" s="38"/>
      <c r="N74" s="25"/>
      <c r="O74" s="26"/>
      <c r="P74" s="26"/>
      <c r="Q74" s="26"/>
      <c r="R74" s="30"/>
      <c r="S74" s="38"/>
    </row>
    <row r="75" spans="1:19" s="24" customFormat="1">
      <c r="A75" s="37"/>
      <c r="B75" s="27"/>
      <c r="C75" s="28"/>
      <c r="D75" s="28"/>
      <c r="E75" s="28"/>
      <c r="F75" s="355"/>
      <c r="G75" s="38"/>
      <c r="H75" s="27"/>
      <c r="I75" s="28"/>
      <c r="J75" s="28"/>
      <c r="K75" s="28"/>
      <c r="L75" s="355"/>
      <c r="M75" s="38"/>
      <c r="N75" s="27"/>
      <c r="O75" s="28"/>
      <c r="P75" s="28"/>
      <c r="Q75" s="28"/>
      <c r="R75" s="355"/>
      <c r="S75" s="38"/>
    </row>
    <row r="76" spans="1:19" s="24" customFormat="1">
      <c r="A76" s="37"/>
      <c r="B76" s="25"/>
      <c r="C76" s="26"/>
      <c r="D76" s="26"/>
      <c r="E76" s="26"/>
      <c r="F76" s="355"/>
      <c r="G76" s="38"/>
      <c r="H76" s="25"/>
      <c r="I76" s="26"/>
      <c r="J76" s="26"/>
      <c r="K76" s="26"/>
      <c r="L76" s="30"/>
      <c r="M76" s="38"/>
      <c r="N76" s="25"/>
      <c r="O76" s="26"/>
      <c r="P76" s="26"/>
      <c r="Q76" s="26"/>
      <c r="R76" s="30"/>
      <c r="S76" s="38"/>
    </row>
    <row r="77" spans="1:19" s="24" customFormat="1">
      <c r="A77" s="37"/>
      <c r="B77" s="27"/>
      <c r="C77" s="28"/>
      <c r="D77" s="28"/>
      <c r="E77" s="28"/>
      <c r="F77" s="355"/>
      <c r="G77" s="38"/>
      <c r="H77" s="27"/>
      <c r="I77" s="28"/>
      <c r="J77" s="28"/>
      <c r="K77" s="28"/>
      <c r="L77" s="355"/>
      <c r="M77" s="38"/>
      <c r="N77" s="27"/>
      <c r="O77" s="28"/>
      <c r="P77" s="28"/>
      <c r="Q77" s="28"/>
      <c r="R77" s="355"/>
      <c r="S77" s="38"/>
    </row>
    <row r="78" spans="1:19" s="24" customFormat="1">
      <c r="A78" s="37"/>
      <c r="B78" s="25"/>
      <c r="C78" s="29"/>
      <c r="D78" s="29"/>
      <c r="E78" s="29"/>
      <c r="F78" s="355"/>
      <c r="G78" s="38"/>
      <c r="H78" s="25"/>
      <c r="I78" s="29"/>
      <c r="J78" s="29"/>
      <c r="K78" s="29"/>
      <c r="L78" s="30"/>
      <c r="M78" s="38"/>
      <c r="N78" s="25"/>
      <c r="O78" s="29"/>
      <c r="P78" s="29"/>
      <c r="Q78" s="29"/>
      <c r="R78" s="30"/>
      <c r="S78" s="38"/>
    </row>
    <row r="79" spans="1:19" s="24" customFormat="1" ht="12" thickBot="1">
      <c r="A79" s="37"/>
      <c r="B79" s="27"/>
      <c r="C79" s="32"/>
      <c r="D79" s="32"/>
      <c r="E79" s="32"/>
      <c r="F79" s="355"/>
      <c r="G79" s="38"/>
      <c r="H79" s="31"/>
      <c r="I79" s="32"/>
      <c r="J79" s="32"/>
      <c r="K79" s="32"/>
      <c r="L79" s="33"/>
      <c r="M79" s="38"/>
      <c r="N79" s="31"/>
      <c r="O79" s="32"/>
      <c r="P79" s="32"/>
      <c r="Q79" s="32"/>
      <c r="R79" s="33"/>
      <c r="S79" s="38"/>
    </row>
    <row r="80" spans="1:19" ht="12" thickBot="1">
      <c r="B80" s="524" t="s">
        <v>157</v>
      </c>
      <c r="C80" s="525"/>
      <c r="D80" s="525"/>
      <c r="E80" s="525"/>
      <c r="F80" s="526"/>
      <c r="H80" s="518" t="s">
        <v>157</v>
      </c>
      <c r="I80" s="519"/>
      <c r="J80" s="519"/>
      <c r="K80" s="519"/>
      <c r="L80" s="520"/>
      <c r="N80" s="530" t="s">
        <v>157</v>
      </c>
      <c r="O80" s="531"/>
      <c r="P80" s="531"/>
      <c r="Q80" s="531"/>
      <c r="R80" s="532"/>
    </row>
    <row r="81" spans="1:19" s="24" customFormat="1" ht="22.5" customHeight="1" thickBot="1">
      <c r="A81" s="37"/>
      <c r="B81" s="521"/>
      <c r="C81" s="522"/>
      <c r="D81" s="522"/>
      <c r="E81" s="522"/>
      <c r="F81" s="523"/>
      <c r="G81" s="38"/>
      <c r="H81" s="521"/>
      <c r="I81" s="522"/>
      <c r="J81" s="522"/>
      <c r="K81" s="522"/>
      <c r="L81" s="523"/>
      <c r="M81" s="38"/>
      <c r="N81" s="521"/>
      <c r="O81" s="522"/>
      <c r="P81" s="522"/>
      <c r="Q81" s="522"/>
      <c r="R81" s="523"/>
      <c r="S81" s="38"/>
    </row>
    <row r="82" spans="1:19" ht="12" thickBot="1"/>
    <row r="83" spans="1:19" ht="12" thickBot="1">
      <c r="B83" s="512">
        <f>B63+1</f>
        <v>44546</v>
      </c>
      <c r="C83" s="513"/>
      <c r="D83" s="513"/>
      <c r="E83" s="513"/>
      <c r="F83" s="514"/>
      <c r="H83" s="515">
        <f>H63+1</f>
        <v>44553</v>
      </c>
      <c r="I83" s="516"/>
      <c r="J83" s="516"/>
      <c r="K83" s="516"/>
      <c r="L83" s="517"/>
      <c r="N83" s="527">
        <f>N63+1</f>
        <v>44560</v>
      </c>
      <c r="O83" s="528"/>
      <c r="P83" s="528"/>
      <c r="Q83" s="528"/>
      <c r="R83" s="529"/>
    </row>
    <row r="84" spans="1:19" ht="12" thickBot="1">
      <c r="B84" s="341" t="s">
        <v>160</v>
      </c>
      <c r="C84" s="342" t="s">
        <v>151</v>
      </c>
      <c r="D84" s="342" t="s">
        <v>150</v>
      </c>
      <c r="E84" s="343" t="s">
        <v>158</v>
      </c>
      <c r="F84" s="344" t="s">
        <v>156</v>
      </c>
      <c r="H84" s="345" t="s">
        <v>160</v>
      </c>
      <c r="I84" s="346" t="s">
        <v>151</v>
      </c>
      <c r="J84" s="346" t="s">
        <v>150</v>
      </c>
      <c r="K84" s="347" t="s">
        <v>158</v>
      </c>
      <c r="L84" s="348" t="s">
        <v>156</v>
      </c>
      <c r="N84" s="349" t="s">
        <v>160</v>
      </c>
      <c r="O84" s="350" t="s">
        <v>151</v>
      </c>
      <c r="P84" s="350" t="s">
        <v>150</v>
      </c>
      <c r="Q84" s="351" t="s">
        <v>158</v>
      </c>
      <c r="R84" s="352" t="s">
        <v>156</v>
      </c>
    </row>
    <row r="85" spans="1:19" s="24" customFormat="1">
      <c r="A85" s="37"/>
      <c r="B85" s="22"/>
      <c r="C85" s="23"/>
      <c r="D85" s="23"/>
      <c r="E85" s="23"/>
      <c r="F85" s="354"/>
      <c r="G85" s="38"/>
      <c r="H85" s="22"/>
      <c r="I85" s="23"/>
      <c r="J85" s="23"/>
      <c r="K85" s="23"/>
      <c r="L85" s="354"/>
      <c r="M85" s="38"/>
      <c r="N85" s="22"/>
      <c r="O85" s="23"/>
      <c r="P85" s="23"/>
      <c r="Q85" s="23"/>
      <c r="R85" s="354"/>
      <c r="S85" s="38"/>
    </row>
    <row r="86" spans="1:19" s="24" customFormat="1">
      <c r="A86" s="37"/>
      <c r="B86" s="27"/>
      <c r="C86" s="26"/>
      <c r="D86" s="26"/>
      <c r="E86" s="26"/>
      <c r="F86" s="30"/>
      <c r="G86" s="38"/>
      <c r="H86" s="25"/>
      <c r="I86" s="26"/>
      <c r="J86" s="26"/>
      <c r="K86" s="26"/>
      <c r="L86" s="30"/>
      <c r="M86" s="38"/>
      <c r="N86" s="22"/>
      <c r="O86" s="26"/>
      <c r="P86" s="26"/>
      <c r="Q86" s="26"/>
      <c r="R86" s="30"/>
      <c r="S86" s="38"/>
    </row>
    <row r="87" spans="1:19" s="24" customFormat="1">
      <c r="A87" s="37"/>
      <c r="B87" s="25"/>
      <c r="C87" s="28"/>
      <c r="D87" s="28"/>
      <c r="E87" s="28"/>
      <c r="F87" s="355"/>
      <c r="G87" s="38"/>
      <c r="H87" s="27"/>
      <c r="I87" s="28"/>
      <c r="J87" s="28"/>
      <c r="K87" s="28"/>
      <c r="L87" s="355"/>
      <c r="M87" s="38"/>
      <c r="N87" s="25"/>
      <c r="O87" s="28"/>
      <c r="P87" s="28"/>
      <c r="Q87" s="28"/>
      <c r="R87" s="355"/>
      <c r="S87" s="38"/>
    </row>
    <row r="88" spans="1:19" s="24" customFormat="1">
      <c r="A88" s="37"/>
      <c r="B88" s="27"/>
      <c r="C88" s="26"/>
      <c r="D88" s="26"/>
      <c r="E88" s="26"/>
      <c r="F88" s="30"/>
      <c r="G88" s="38"/>
      <c r="H88" s="25"/>
      <c r="I88" s="26"/>
      <c r="J88" s="26"/>
      <c r="K88" s="26"/>
      <c r="L88" s="30"/>
      <c r="M88" s="38"/>
      <c r="N88" s="25"/>
      <c r="O88" s="26"/>
      <c r="P88" s="26"/>
      <c r="Q88" s="26"/>
      <c r="R88" s="30"/>
      <c r="S88" s="38"/>
    </row>
    <row r="89" spans="1:19" s="24" customFormat="1">
      <c r="A89" s="37"/>
      <c r="B89" s="27"/>
      <c r="C89" s="28"/>
      <c r="D89" s="28"/>
      <c r="E89" s="28"/>
      <c r="F89" s="355"/>
      <c r="G89" s="38"/>
      <c r="H89" s="27"/>
      <c r="I89" s="28"/>
      <c r="J89" s="28"/>
      <c r="K89" s="28"/>
      <c r="L89" s="355"/>
      <c r="M89" s="38"/>
      <c r="N89" s="27"/>
      <c r="O89" s="28"/>
      <c r="P89" s="28"/>
      <c r="Q89" s="28"/>
      <c r="R89" s="355"/>
      <c r="S89" s="38"/>
    </row>
    <row r="90" spans="1:19" s="24" customFormat="1">
      <c r="A90" s="37"/>
      <c r="B90" s="25"/>
      <c r="C90" s="26"/>
      <c r="D90" s="26"/>
      <c r="E90" s="26"/>
      <c r="F90" s="30"/>
      <c r="G90" s="38"/>
      <c r="H90" s="25"/>
      <c r="I90" s="26"/>
      <c r="J90" s="26"/>
      <c r="K90" s="26"/>
      <c r="L90" s="30"/>
      <c r="M90" s="38"/>
      <c r="N90" s="25"/>
      <c r="O90" s="26"/>
      <c r="P90" s="26"/>
      <c r="Q90" s="26"/>
      <c r="R90" s="355"/>
      <c r="S90" s="38"/>
    </row>
    <row r="91" spans="1:19" s="24" customFormat="1">
      <c r="A91" s="37"/>
      <c r="B91" s="27"/>
      <c r="C91" s="28"/>
      <c r="D91" s="28"/>
      <c r="E91" s="28"/>
      <c r="F91" s="355"/>
      <c r="G91" s="38"/>
      <c r="H91" s="27"/>
      <c r="I91" s="28"/>
      <c r="J91" s="28"/>
      <c r="K91" s="28"/>
      <c r="L91" s="355"/>
      <c r="M91" s="38"/>
      <c r="N91" s="27"/>
      <c r="O91" s="28"/>
      <c r="P91" s="28"/>
      <c r="Q91" s="28"/>
      <c r="R91" s="355"/>
      <c r="S91" s="38"/>
    </row>
    <row r="92" spans="1:19" s="24" customFormat="1">
      <c r="A92" s="37"/>
      <c r="B92" s="25"/>
      <c r="C92" s="26"/>
      <c r="D92" s="26"/>
      <c r="E92" s="26"/>
      <c r="F92" s="30"/>
      <c r="G92" s="38"/>
      <c r="H92" s="25"/>
      <c r="I92" s="26"/>
      <c r="J92" s="26"/>
      <c r="K92" s="26"/>
      <c r="L92" s="30"/>
      <c r="M92" s="38"/>
      <c r="N92" s="25"/>
      <c r="O92" s="26"/>
      <c r="P92" s="26"/>
      <c r="Q92" s="26"/>
      <c r="R92" s="30"/>
      <c r="S92" s="38"/>
    </row>
    <row r="93" spans="1:19" s="24" customFormat="1">
      <c r="A93" s="37"/>
      <c r="B93" s="27"/>
      <c r="C93" s="28"/>
      <c r="D93" s="28"/>
      <c r="E93" s="28"/>
      <c r="F93" s="355"/>
      <c r="G93" s="38"/>
      <c r="H93" s="27"/>
      <c r="I93" s="28"/>
      <c r="J93" s="28"/>
      <c r="K93" s="28"/>
      <c r="L93" s="355"/>
      <c r="M93" s="38"/>
      <c r="N93" s="27"/>
      <c r="O93" s="28"/>
      <c r="P93" s="28"/>
      <c r="Q93" s="28"/>
      <c r="R93" s="355"/>
      <c r="S93" s="38"/>
    </row>
    <row r="94" spans="1:19" s="24" customFormat="1">
      <c r="A94" s="37"/>
      <c r="B94" s="25"/>
      <c r="C94" s="26"/>
      <c r="D94" s="26"/>
      <c r="E94" s="26"/>
      <c r="F94" s="30"/>
      <c r="G94" s="38"/>
      <c r="H94" s="25"/>
      <c r="I94" s="26"/>
      <c r="J94" s="26"/>
      <c r="K94" s="26"/>
      <c r="L94" s="30"/>
      <c r="M94" s="38"/>
      <c r="N94" s="25"/>
      <c r="O94" s="26"/>
      <c r="P94" s="26"/>
      <c r="Q94" s="26"/>
      <c r="R94" s="30"/>
      <c r="S94" s="38"/>
    </row>
    <row r="95" spans="1:19" s="24" customFormat="1">
      <c r="A95" s="37"/>
      <c r="B95" s="27"/>
      <c r="C95" s="28"/>
      <c r="D95" s="28"/>
      <c r="E95" s="28"/>
      <c r="F95" s="355"/>
      <c r="G95" s="38"/>
      <c r="H95" s="27"/>
      <c r="I95" s="28"/>
      <c r="J95" s="28"/>
      <c r="K95" s="28"/>
      <c r="L95" s="355"/>
      <c r="M95" s="38"/>
      <c r="N95" s="27"/>
      <c r="O95" s="28"/>
      <c r="P95" s="28"/>
      <c r="Q95" s="28"/>
      <c r="R95" s="355"/>
      <c r="S95" s="38"/>
    </row>
    <row r="96" spans="1:19" s="24" customFormat="1">
      <c r="A96" s="37"/>
      <c r="B96" s="25"/>
      <c r="C96" s="26"/>
      <c r="D96" s="26"/>
      <c r="E96" s="26"/>
      <c r="F96" s="30"/>
      <c r="G96" s="38"/>
      <c r="H96" s="25"/>
      <c r="I96" s="26"/>
      <c r="J96" s="26"/>
      <c r="K96" s="26"/>
      <c r="L96" s="30"/>
      <c r="M96" s="38"/>
      <c r="N96" s="25"/>
      <c r="O96" s="26"/>
      <c r="P96" s="26"/>
      <c r="Q96" s="26"/>
      <c r="R96" s="30"/>
      <c r="S96" s="38"/>
    </row>
    <row r="97" spans="1:19" s="24" customFormat="1">
      <c r="A97" s="37"/>
      <c r="B97" s="27"/>
      <c r="C97" s="28"/>
      <c r="D97" s="28"/>
      <c r="E97" s="28"/>
      <c r="F97" s="355"/>
      <c r="G97" s="38"/>
      <c r="H97" s="27"/>
      <c r="I97" s="28"/>
      <c r="J97" s="28"/>
      <c r="K97" s="28"/>
      <c r="L97" s="355"/>
      <c r="M97" s="38"/>
      <c r="N97" s="27"/>
      <c r="O97" s="28"/>
      <c r="P97" s="28"/>
      <c r="Q97" s="28"/>
      <c r="R97" s="355"/>
      <c r="S97" s="38"/>
    </row>
    <row r="98" spans="1:19" s="24" customFormat="1">
      <c r="A98" s="37"/>
      <c r="B98" s="25"/>
      <c r="C98" s="29"/>
      <c r="D98" s="29"/>
      <c r="E98" s="29"/>
      <c r="F98" s="30"/>
      <c r="G98" s="38"/>
      <c r="H98" s="25"/>
      <c r="I98" s="29"/>
      <c r="J98" s="29"/>
      <c r="K98" s="29"/>
      <c r="L98" s="30"/>
      <c r="M98" s="38"/>
      <c r="N98" s="25"/>
      <c r="O98" s="29"/>
      <c r="P98" s="29"/>
      <c r="Q98" s="29"/>
      <c r="R98" s="30"/>
      <c r="S98" s="38"/>
    </row>
    <row r="99" spans="1:19" s="24" customFormat="1" ht="12" thickBot="1">
      <c r="A99" s="37"/>
      <c r="B99" s="31"/>
      <c r="C99" s="32"/>
      <c r="D99" s="32"/>
      <c r="E99" s="32"/>
      <c r="F99" s="33"/>
      <c r="G99" s="38"/>
      <c r="H99" s="31"/>
      <c r="I99" s="32"/>
      <c r="J99" s="32"/>
      <c r="K99" s="32"/>
      <c r="L99" s="33"/>
      <c r="M99" s="38"/>
      <c r="N99" s="31"/>
      <c r="O99" s="32"/>
      <c r="P99" s="32"/>
      <c r="Q99" s="32"/>
      <c r="R99" s="33"/>
      <c r="S99" s="38"/>
    </row>
    <row r="100" spans="1:19" ht="12" thickBot="1">
      <c r="B100" s="524" t="s">
        <v>157</v>
      </c>
      <c r="C100" s="525"/>
      <c r="D100" s="525"/>
      <c r="E100" s="525"/>
      <c r="F100" s="526"/>
      <c r="H100" s="518" t="s">
        <v>157</v>
      </c>
      <c r="I100" s="519"/>
      <c r="J100" s="519"/>
      <c r="K100" s="519"/>
      <c r="L100" s="520"/>
      <c r="N100" s="530" t="s">
        <v>157</v>
      </c>
      <c r="O100" s="531"/>
      <c r="P100" s="531"/>
      <c r="Q100" s="531"/>
      <c r="R100" s="532"/>
    </row>
    <row r="101" spans="1:19" s="24" customFormat="1" ht="22.5" customHeight="1" thickBot="1">
      <c r="A101" s="37"/>
      <c r="B101" s="521"/>
      <c r="C101" s="522"/>
      <c r="D101" s="522"/>
      <c r="E101" s="522"/>
      <c r="F101" s="523"/>
      <c r="G101" s="38"/>
      <c r="H101" s="521"/>
      <c r="I101" s="522"/>
      <c r="J101" s="522"/>
      <c r="K101" s="522"/>
      <c r="L101" s="523"/>
      <c r="M101" s="38"/>
      <c r="N101" s="521"/>
      <c r="O101" s="522"/>
      <c r="P101" s="522"/>
      <c r="Q101" s="522"/>
      <c r="R101" s="523"/>
      <c r="S101" s="38"/>
    </row>
    <row r="102" spans="1:19" ht="12" thickBot="1"/>
    <row r="103" spans="1:19" ht="12" thickBot="1">
      <c r="B103" s="512">
        <f>B83+1</f>
        <v>44547</v>
      </c>
      <c r="C103" s="513"/>
      <c r="D103" s="513"/>
      <c r="E103" s="513"/>
      <c r="F103" s="514"/>
      <c r="H103" s="515">
        <f>H83+1</f>
        <v>44554</v>
      </c>
      <c r="I103" s="516"/>
      <c r="J103" s="516"/>
      <c r="K103" s="516"/>
      <c r="L103" s="517"/>
      <c r="N103" s="527">
        <f>N83+1</f>
        <v>44561</v>
      </c>
      <c r="O103" s="528"/>
      <c r="P103" s="528"/>
      <c r="Q103" s="528"/>
      <c r="R103" s="529"/>
    </row>
    <row r="104" spans="1:19" ht="12" thickBot="1">
      <c r="B104" s="341" t="s">
        <v>160</v>
      </c>
      <c r="C104" s="342" t="s">
        <v>151</v>
      </c>
      <c r="D104" s="342" t="s">
        <v>150</v>
      </c>
      <c r="E104" s="343" t="s">
        <v>158</v>
      </c>
      <c r="F104" s="344" t="s">
        <v>156</v>
      </c>
      <c r="H104" s="345" t="s">
        <v>160</v>
      </c>
      <c r="I104" s="346" t="s">
        <v>151</v>
      </c>
      <c r="J104" s="346" t="s">
        <v>150</v>
      </c>
      <c r="K104" s="347" t="s">
        <v>158</v>
      </c>
      <c r="L104" s="348" t="s">
        <v>156</v>
      </c>
      <c r="N104" s="349" t="s">
        <v>160</v>
      </c>
      <c r="O104" s="350" t="s">
        <v>151</v>
      </c>
      <c r="P104" s="350" t="s">
        <v>150</v>
      </c>
      <c r="Q104" s="351" t="s">
        <v>158</v>
      </c>
      <c r="R104" s="352" t="s">
        <v>156</v>
      </c>
    </row>
    <row r="105" spans="1:19" s="24" customFormat="1">
      <c r="A105" s="37"/>
      <c r="B105" s="27"/>
      <c r="C105" s="26"/>
      <c r="D105" s="26"/>
      <c r="E105" s="26"/>
      <c r="F105" s="354"/>
      <c r="G105" s="38"/>
      <c r="H105" s="22"/>
      <c r="I105" s="23"/>
      <c r="J105" s="23"/>
      <c r="K105" s="23"/>
      <c r="L105" s="354"/>
      <c r="M105" s="38"/>
      <c r="N105" s="22"/>
      <c r="O105" s="23"/>
      <c r="P105" s="23"/>
      <c r="Q105" s="23"/>
      <c r="R105" s="30"/>
      <c r="S105" s="38"/>
    </row>
    <row r="106" spans="1:19" s="24" customFormat="1">
      <c r="A106" s="37"/>
      <c r="B106" s="25"/>
      <c r="C106" s="28"/>
      <c r="D106" s="28"/>
      <c r="E106" s="28"/>
      <c r="F106" s="354"/>
      <c r="G106" s="38"/>
      <c r="H106" s="25"/>
      <c r="I106" s="26"/>
      <c r="J106" s="26"/>
      <c r="K106" s="26"/>
      <c r="L106" s="30"/>
      <c r="M106" s="38"/>
      <c r="N106" s="22"/>
      <c r="O106" s="23"/>
      <c r="P106" s="23"/>
      <c r="Q106" s="23"/>
      <c r="R106" s="30"/>
      <c r="S106" s="38"/>
    </row>
    <row r="107" spans="1:19" s="24" customFormat="1">
      <c r="A107" s="37"/>
      <c r="B107" s="27"/>
      <c r="C107" s="28"/>
      <c r="D107" s="28"/>
      <c r="E107" s="28"/>
      <c r="F107" s="355"/>
      <c r="G107" s="38"/>
      <c r="H107" s="27"/>
      <c r="I107" s="28"/>
      <c r="J107" s="28"/>
      <c r="K107" s="28"/>
      <c r="L107" s="355"/>
      <c r="M107" s="38"/>
      <c r="N107" s="25"/>
      <c r="O107" s="26"/>
      <c r="P107" s="26"/>
      <c r="Q107" s="26"/>
      <c r="R107" s="30"/>
      <c r="S107" s="38"/>
    </row>
    <row r="108" spans="1:19" s="24" customFormat="1">
      <c r="A108" s="37"/>
      <c r="B108" s="25"/>
      <c r="C108" s="26"/>
      <c r="D108" s="26"/>
      <c r="E108" s="26"/>
      <c r="F108" s="30"/>
      <c r="G108" s="38"/>
      <c r="H108" s="25"/>
      <c r="I108" s="26"/>
      <c r="J108" s="26"/>
      <c r="K108" s="26"/>
      <c r="L108" s="30"/>
      <c r="M108" s="38"/>
      <c r="N108" s="27"/>
      <c r="O108" s="28"/>
      <c r="P108" s="28"/>
      <c r="Q108" s="28"/>
      <c r="R108" s="30"/>
      <c r="S108" s="38"/>
    </row>
    <row r="109" spans="1:19" s="24" customFormat="1">
      <c r="A109" s="37"/>
      <c r="B109" s="27"/>
      <c r="C109" s="28"/>
      <c r="D109" s="28"/>
      <c r="E109" s="28"/>
      <c r="F109" s="355"/>
      <c r="G109" s="38"/>
      <c r="H109" s="27"/>
      <c r="I109" s="28"/>
      <c r="J109" s="28"/>
      <c r="K109" s="28"/>
      <c r="L109" s="355"/>
      <c r="M109" s="38"/>
      <c r="N109" s="27"/>
      <c r="O109" s="28"/>
      <c r="P109" s="28"/>
      <c r="Q109" s="28"/>
      <c r="R109" s="355"/>
      <c r="S109" s="38"/>
    </row>
    <row r="110" spans="1:19" s="24" customFormat="1">
      <c r="A110" s="37"/>
      <c r="B110" s="25"/>
      <c r="C110" s="26"/>
      <c r="D110" s="26"/>
      <c r="E110" s="26"/>
      <c r="F110" s="30"/>
      <c r="G110" s="38"/>
      <c r="H110" s="25"/>
      <c r="I110" s="26"/>
      <c r="J110" s="26"/>
      <c r="K110" s="26"/>
      <c r="L110" s="30"/>
      <c r="M110" s="38"/>
      <c r="N110" s="25"/>
      <c r="O110" s="26"/>
      <c r="P110" s="26"/>
      <c r="Q110" s="26"/>
      <c r="R110" s="30"/>
      <c r="S110" s="38"/>
    </row>
    <row r="111" spans="1:19" s="24" customFormat="1">
      <c r="A111" s="37"/>
      <c r="B111" s="27"/>
      <c r="C111" s="28"/>
      <c r="D111" s="28"/>
      <c r="E111" s="28"/>
      <c r="F111" s="355"/>
      <c r="G111" s="38"/>
      <c r="H111" s="27"/>
      <c r="I111" s="28"/>
      <c r="J111" s="28"/>
      <c r="K111" s="28"/>
      <c r="L111" s="355"/>
      <c r="M111" s="38"/>
      <c r="N111" s="27"/>
      <c r="O111" s="28"/>
      <c r="P111" s="28"/>
      <c r="Q111" s="28"/>
      <c r="R111" s="30"/>
      <c r="S111" s="38"/>
    </row>
    <row r="112" spans="1:19" s="24" customFormat="1">
      <c r="A112" s="37"/>
      <c r="B112" s="25"/>
      <c r="C112" s="26"/>
      <c r="D112" s="26"/>
      <c r="E112" s="26"/>
      <c r="F112" s="30"/>
      <c r="G112" s="38"/>
      <c r="H112" s="25"/>
      <c r="I112" s="26"/>
      <c r="J112" s="26"/>
      <c r="K112" s="26"/>
      <c r="L112" s="30"/>
      <c r="M112" s="38"/>
      <c r="N112" s="25"/>
      <c r="O112" s="26"/>
      <c r="P112" s="26"/>
      <c r="Q112" s="26"/>
      <c r="R112" s="30"/>
      <c r="S112" s="38"/>
    </row>
    <row r="113" spans="1:19" s="24" customFormat="1">
      <c r="A113" s="37"/>
      <c r="B113" s="27"/>
      <c r="C113" s="28"/>
      <c r="D113" s="28"/>
      <c r="E113" s="28"/>
      <c r="F113" s="355"/>
      <c r="G113" s="38"/>
      <c r="H113" s="27"/>
      <c r="I113" s="28"/>
      <c r="J113" s="28"/>
      <c r="K113" s="28"/>
      <c r="L113" s="355"/>
      <c r="M113" s="38"/>
      <c r="N113" s="27"/>
      <c r="O113" s="28"/>
      <c r="P113" s="28"/>
      <c r="Q113" s="28"/>
      <c r="R113" s="355"/>
      <c r="S113" s="38"/>
    </row>
    <row r="114" spans="1:19" s="24" customFormat="1">
      <c r="A114" s="37"/>
      <c r="B114" s="25"/>
      <c r="C114" s="26"/>
      <c r="D114" s="26"/>
      <c r="E114" s="26"/>
      <c r="F114" s="30"/>
      <c r="G114" s="38"/>
      <c r="H114" s="25"/>
      <c r="I114" s="26"/>
      <c r="J114" s="26"/>
      <c r="K114" s="26"/>
      <c r="L114" s="30"/>
      <c r="M114" s="38"/>
      <c r="N114" s="25"/>
      <c r="O114" s="26"/>
      <c r="P114" s="26"/>
      <c r="Q114" s="26"/>
      <c r="R114" s="30"/>
      <c r="S114" s="38"/>
    </row>
    <row r="115" spans="1:19" s="24" customFormat="1">
      <c r="A115" s="37"/>
      <c r="B115" s="27"/>
      <c r="C115" s="28"/>
      <c r="D115" s="28"/>
      <c r="E115" s="28"/>
      <c r="F115" s="355"/>
      <c r="G115" s="38"/>
      <c r="H115" s="27"/>
      <c r="I115" s="28"/>
      <c r="J115" s="28"/>
      <c r="K115" s="28"/>
      <c r="L115" s="355"/>
      <c r="M115" s="38"/>
      <c r="N115" s="27"/>
      <c r="O115" s="28"/>
      <c r="P115" s="28"/>
      <c r="Q115" s="28"/>
      <c r="R115" s="355"/>
      <c r="S115" s="38"/>
    </row>
    <row r="116" spans="1:19" s="24" customFormat="1">
      <c r="A116" s="37"/>
      <c r="B116" s="25"/>
      <c r="C116" s="26"/>
      <c r="D116" s="26"/>
      <c r="E116" s="26"/>
      <c r="F116" s="30"/>
      <c r="G116" s="38"/>
      <c r="H116" s="25"/>
      <c r="I116" s="26"/>
      <c r="J116" s="26"/>
      <c r="K116" s="26"/>
      <c r="L116" s="30"/>
      <c r="M116" s="38"/>
      <c r="N116" s="25"/>
      <c r="O116" s="26"/>
      <c r="P116" s="26"/>
      <c r="Q116" s="26"/>
      <c r="R116" s="30"/>
      <c r="S116" s="38"/>
    </row>
    <row r="117" spans="1:19" s="24" customFormat="1">
      <c r="A117" s="37"/>
      <c r="B117" s="27"/>
      <c r="C117" s="28"/>
      <c r="D117" s="28"/>
      <c r="E117" s="28"/>
      <c r="F117" s="355"/>
      <c r="G117" s="38"/>
      <c r="H117" s="27"/>
      <c r="I117" s="28"/>
      <c r="J117" s="28"/>
      <c r="K117" s="28"/>
      <c r="L117" s="355"/>
      <c r="M117" s="38"/>
      <c r="N117" s="27"/>
      <c r="O117" s="28"/>
      <c r="P117" s="28"/>
      <c r="Q117" s="28"/>
      <c r="R117" s="355"/>
      <c r="S117" s="38"/>
    </row>
    <row r="118" spans="1:19" s="24" customFormat="1">
      <c r="A118" s="37"/>
      <c r="B118" s="25"/>
      <c r="C118" s="29"/>
      <c r="D118" s="29"/>
      <c r="E118" s="29"/>
      <c r="F118" s="30"/>
      <c r="G118" s="38"/>
      <c r="H118" s="25"/>
      <c r="I118" s="29"/>
      <c r="J118" s="29"/>
      <c r="K118" s="29"/>
      <c r="L118" s="30"/>
      <c r="M118" s="38"/>
      <c r="N118" s="25"/>
      <c r="O118" s="29"/>
      <c r="P118" s="29"/>
      <c r="Q118" s="29"/>
      <c r="R118" s="30"/>
      <c r="S118" s="38"/>
    </row>
    <row r="119" spans="1:19" s="24" customFormat="1" ht="12" thickBot="1">
      <c r="A119" s="37"/>
      <c r="B119" s="31"/>
      <c r="C119" s="32"/>
      <c r="D119" s="32"/>
      <c r="E119" s="32"/>
      <c r="F119" s="33"/>
      <c r="G119" s="38"/>
      <c r="H119" s="31"/>
      <c r="I119" s="32"/>
      <c r="J119" s="32"/>
      <c r="K119" s="32"/>
      <c r="L119" s="33"/>
      <c r="M119" s="38"/>
      <c r="N119" s="31"/>
      <c r="O119" s="32"/>
      <c r="P119" s="32"/>
      <c r="Q119" s="32"/>
      <c r="R119" s="33"/>
      <c r="S119" s="38"/>
    </row>
    <row r="120" spans="1:19" ht="12" thickBot="1">
      <c r="B120" s="524" t="s">
        <v>157</v>
      </c>
      <c r="C120" s="525"/>
      <c r="D120" s="525"/>
      <c r="E120" s="525"/>
      <c r="F120" s="526"/>
      <c r="H120" s="518" t="s">
        <v>157</v>
      </c>
      <c r="I120" s="519"/>
      <c r="J120" s="519"/>
      <c r="K120" s="519"/>
      <c r="L120" s="520"/>
      <c r="N120" s="530" t="s">
        <v>157</v>
      </c>
      <c r="O120" s="531"/>
      <c r="P120" s="531"/>
      <c r="Q120" s="531"/>
      <c r="R120" s="532"/>
    </row>
    <row r="121" spans="1:19" s="24" customFormat="1" ht="22.5" customHeight="1" thickBot="1">
      <c r="A121" s="37"/>
      <c r="B121" s="521"/>
      <c r="C121" s="522"/>
      <c r="D121" s="522"/>
      <c r="E121" s="522"/>
      <c r="F121" s="523"/>
      <c r="G121" s="38"/>
      <c r="H121" s="521"/>
      <c r="I121" s="522"/>
      <c r="J121" s="522"/>
      <c r="K121" s="522"/>
      <c r="L121" s="523"/>
      <c r="M121" s="38"/>
      <c r="N121" s="521"/>
      <c r="O121" s="522"/>
      <c r="P121" s="522"/>
      <c r="Q121" s="522"/>
      <c r="R121" s="523"/>
      <c r="S121" s="38"/>
    </row>
    <row r="122" spans="1:19" ht="12" thickBot="1"/>
    <row r="123" spans="1:19" ht="12" thickBot="1">
      <c r="B123" s="512">
        <f>B103+1</f>
        <v>44548</v>
      </c>
      <c r="C123" s="513"/>
      <c r="D123" s="513"/>
      <c r="E123" s="513"/>
      <c r="F123" s="514"/>
      <c r="H123" s="515">
        <f>H103+1</f>
        <v>44555</v>
      </c>
      <c r="I123" s="516"/>
      <c r="J123" s="516"/>
      <c r="K123" s="516"/>
      <c r="L123" s="517"/>
      <c r="N123" s="527">
        <f>N103+1</f>
        <v>44562</v>
      </c>
      <c r="O123" s="528"/>
      <c r="P123" s="528"/>
      <c r="Q123" s="528"/>
      <c r="R123" s="529"/>
    </row>
    <row r="124" spans="1:19" ht="12" thickBot="1">
      <c r="B124" s="341" t="s">
        <v>160</v>
      </c>
      <c r="C124" s="342" t="s">
        <v>151</v>
      </c>
      <c r="D124" s="342" t="s">
        <v>150</v>
      </c>
      <c r="E124" s="343" t="s">
        <v>158</v>
      </c>
      <c r="F124" s="344" t="s">
        <v>156</v>
      </c>
      <c r="H124" s="345" t="s">
        <v>160</v>
      </c>
      <c r="I124" s="346" t="s">
        <v>151</v>
      </c>
      <c r="J124" s="346" t="s">
        <v>150</v>
      </c>
      <c r="K124" s="347" t="s">
        <v>158</v>
      </c>
      <c r="L124" s="348" t="s">
        <v>156</v>
      </c>
      <c r="N124" s="349" t="s">
        <v>160</v>
      </c>
      <c r="O124" s="350" t="s">
        <v>151</v>
      </c>
      <c r="P124" s="350" t="s">
        <v>150</v>
      </c>
      <c r="Q124" s="351" t="s">
        <v>158</v>
      </c>
      <c r="R124" s="352" t="s">
        <v>156</v>
      </c>
    </row>
    <row r="125" spans="1:19" s="24" customFormat="1">
      <c r="A125" s="37"/>
      <c r="B125" s="27"/>
      <c r="C125" s="26"/>
      <c r="D125" s="26"/>
      <c r="E125" s="26"/>
      <c r="F125" s="354"/>
      <c r="G125" s="38"/>
      <c r="H125" s="22"/>
      <c r="I125" s="23"/>
      <c r="J125" s="23"/>
      <c r="K125" s="23"/>
      <c r="L125" s="354"/>
      <c r="M125" s="38"/>
      <c r="N125" s="22"/>
      <c r="O125" s="23"/>
      <c r="P125" s="23"/>
      <c r="Q125" s="23"/>
      <c r="R125" s="354"/>
      <c r="S125" s="38"/>
    </row>
    <row r="126" spans="1:19" s="24" customFormat="1">
      <c r="A126" s="37"/>
      <c r="B126" s="25"/>
      <c r="C126" s="28"/>
      <c r="D126" s="28"/>
      <c r="E126" s="28"/>
      <c r="F126" s="30"/>
      <c r="G126" s="38"/>
      <c r="H126" s="25"/>
      <c r="I126" s="26"/>
      <c r="J126" s="26"/>
      <c r="K126" s="26"/>
      <c r="L126" s="30"/>
      <c r="M126" s="38"/>
      <c r="N126" s="25"/>
      <c r="O126" s="26"/>
      <c r="P126" s="26"/>
      <c r="Q126" s="26"/>
      <c r="R126" s="30"/>
      <c r="S126" s="38"/>
    </row>
    <row r="127" spans="1:19" s="24" customFormat="1">
      <c r="A127" s="37"/>
      <c r="B127" s="27"/>
      <c r="C127" s="28"/>
      <c r="D127" s="28"/>
      <c r="E127" s="28"/>
      <c r="F127" s="355"/>
      <c r="G127" s="38"/>
      <c r="H127" s="27"/>
      <c r="I127" s="28"/>
      <c r="J127" s="28"/>
      <c r="K127" s="28"/>
      <c r="L127" s="355"/>
      <c r="M127" s="38"/>
      <c r="N127" s="27"/>
      <c r="O127" s="28"/>
      <c r="P127" s="28"/>
      <c r="Q127" s="28"/>
      <c r="R127" s="355"/>
      <c r="S127" s="38"/>
    </row>
    <row r="128" spans="1:19" s="24" customFormat="1">
      <c r="A128" s="37"/>
      <c r="B128" s="25"/>
      <c r="C128" s="26"/>
      <c r="D128" s="26"/>
      <c r="E128" s="26"/>
      <c r="F128" s="30"/>
      <c r="G128" s="38"/>
      <c r="H128" s="25"/>
      <c r="I128" s="26"/>
      <c r="J128" s="26"/>
      <c r="K128" s="26"/>
      <c r="L128" s="30"/>
      <c r="M128" s="38"/>
      <c r="N128" s="25"/>
      <c r="O128" s="26"/>
      <c r="P128" s="26"/>
      <c r="Q128" s="26"/>
      <c r="R128" s="30"/>
      <c r="S128" s="38"/>
    </row>
    <row r="129" spans="1:19" s="24" customFormat="1">
      <c r="A129" s="37"/>
      <c r="B129" s="27"/>
      <c r="C129" s="28"/>
      <c r="D129" s="28"/>
      <c r="E129" s="28"/>
      <c r="F129" s="355"/>
      <c r="G129" s="38"/>
      <c r="H129" s="27"/>
      <c r="I129" s="28"/>
      <c r="J129" s="28"/>
      <c r="K129" s="28"/>
      <c r="L129" s="355"/>
      <c r="M129" s="38"/>
      <c r="N129" s="27"/>
      <c r="O129" s="28"/>
      <c r="P129" s="28"/>
      <c r="Q129" s="28"/>
      <c r="R129" s="355"/>
      <c r="S129" s="38"/>
    </row>
    <row r="130" spans="1:19" s="24" customFormat="1">
      <c r="A130" s="37"/>
      <c r="B130" s="25"/>
      <c r="C130" s="26"/>
      <c r="D130" s="26"/>
      <c r="E130" s="26"/>
      <c r="F130" s="30"/>
      <c r="G130" s="38"/>
      <c r="H130" s="25"/>
      <c r="I130" s="26"/>
      <c r="J130" s="26"/>
      <c r="K130" s="26"/>
      <c r="L130" s="30"/>
      <c r="M130" s="38"/>
      <c r="N130" s="25"/>
      <c r="O130" s="26"/>
      <c r="P130" s="26"/>
      <c r="Q130" s="26"/>
      <c r="R130" s="30"/>
      <c r="S130" s="38"/>
    </row>
    <row r="131" spans="1:19" s="24" customFormat="1">
      <c r="A131" s="37"/>
      <c r="B131" s="27"/>
      <c r="C131" s="28"/>
      <c r="D131" s="28"/>
      <c r="E131" s="28"/>
      <c r="F131" s="355"/>
      <c r="G131" s="38"/>
      <c r="H131" s="27"/>
      <c r="I131" s="28"/>
      <c r="J131" s="28"/>
      <c r="K131" s="28"/>
      <c r="L131" s="355"/>
      <c r="M131" s="38"/>
      <c r="N131" s="27"/>
      <c r="O131" s="28"/>
      <c r="P131" s="28"/>
      <c r="Q131" s="28"/>
      <c r="R131" s="355"/>
      <c r="S131" s="38"/>
    </row>
    <row r="132" spans="1:19" s="24" customFormat="1">
      <c r="A132" s="37"/>
      <c r="B132" s="25"/>
      <c r="C132" s="26"/>
      <c r="D132" s="26"/>
      <c r="E132" s="26"/>
      <c r="F132" s="30"/>
      <c r="G132" s="38"/>
      <c r="H132" s="25"/>
      <c r="I132" s="26"/>
      <c r="J132" s="26"/>
      <c r="K132" s="26"/>
      <c r="L132" s="30"/>
      <c r="M132" s="38"/>
      <c r="N132" s="25"/>
      <c r="O132" s="26"/>
      <c r="P132" s="26"/>
      <c r="Q132" s="26"/>
      <c r="R132" s="30"/>
      <c r="S132" s="38"/>
    </row>
    <row r="133" spans="1:19" s="24" customFormat="1">
      <c r="A133" s="37"/>
      <c r="B133" s="27"/>
      <c r="C133" s="28"/>
      <c r="D133" s="28"/>
      <c r="E133" s="28"/>
      <c r="F133" s="355"/>
      <c r="G133" s="38"/>
      <c r="H133" s="27"/>
      <c r="I133" s="28"/>
      <c r="J133" s="28"/>
      <c r="K133" s="28"/>
      <c r="L133" s="355"/>
      <c r="M133" s="38"/>
      <c r="N133" s="27"/>
      <c r="O133" s="28"/>
      <c r="P133" s="28"/>
      <c r="Q133" s="28"/>
      <c r="R133" s="355"/>
      <c r="S133" s="38"/>
    </row>
    <row r="134" spans="1:19" s="24" customFormat="1">
      <c r="A134" s="37"/>
      <c r="B134" s="25"/>
      <c r="C134" s="26"/>
      <c r="D134" s="26"/>
      <c r="E134" s="26"/>
      <c r="F134" s="30"/>
      <c r="G134" s="38"/>
      <c r="H134" s="25"/>
      <c r="I134" s="26"/>
      <c r="J134" s="26"/>
      <c r="K134" s="26"/>
      <c r="L134" s="30"/>
      <c r="M134" s="38"/>
      <c r="N134" s="25"/>
      <c r="O134" s="26"/>
      <c r="P134" s="26"/>
      <c r="Q134" s="26"/>
      <c r="R134" s="30"/>
      <c r="S134" s="38"/>
    </row>
    <row r="135" spans="1:19" s="24" customFormat="1">
      <c r="A135" s="37"/>
      <c r="B135" s="27"/>
      <c r="C135" s="28"/>
      <c r="D135" s="28"/>
      <c r="E135" s="28"/>
      <c r="F135" s="355"/>
      <c r="G135" s="38"/>
      <c r="H135" s="27"/>
      <c r="I135" s="28"/>
      <c r="J135" s="28"/>
      <c r="K135" s="28"/>
      <c r="L135" s="355"/>
      <c r="M135" s="38"/>
      <c r="N135" s="27"/>
      <c r="O135" s="28"/>
      <c r="P135" s="28"/>
      <c r="Q135" s="28"/>
      <c r="R135" s="355"/>
      <c r="S135" s="38"/>
    </row>
    <row r="136" spans="1:19" s="24" customFormat="1">
      <c r="A136" s="37"/>
      <c r="B136" s="25"/>
      <c r="C136" s="26"/>
      <c r="D136" s="26"/>
      <c r="E136" s="26"/>
      <c r="F136" s="30"/>
      <c r="G136" s="38"/>
      <c r="H136" s="25"/>
      <c r="I136" s="26"/>
      <c r="J136" s="26"/>
      <c r="K136" s="26"/>
      <c r="L136" s="30"/>
      <c r="M136" s="38"/>
      <c r="N136" s="25"/>
      <c r="O136" s="26"/>
      <c r="P136" s="26"/>
      <c r="Q136" s="26"/>
      <c r="R136" s="30"/>
      <c r="S136" s="38"/>
    </row>
    <row r="137" spans="1:19" s="24" customFormat="1">
      <c r="A137" s="37"/>
      <c r="B137" s="27"/>
      <c r="C137" s="28"/>
      <c r="D137" s="28"/>
      <c r="E137" s="28"/>
      <c r="F137" s="355"/>
      <c r="G137" s="38"/>
      <c r="H137" s="27"/>
      <c r="I137" s="28"/>
      <c r="J137" s="28"/>
      <c r="K137" s="28"/>
      <c r="L137" s="355"/>
      <c r="M137" s="38"/>
      <c r="N137" s="27"/>
      <c r="O137" s="28"/>
      <c r="P137" s="28"/>
      <c r="Q137" s="28"/>
      <c r="R137" s="355"/>
      <c r="S137" s="38"/>
    </row>
    <row r="138" spans="1:19" s="24" customFormat="1">
      <c r="A138" s="37"/>
      <c r="B138" s="25"/>
      <c r="C138" s="29"/>
      <c r="D138" s="29"/>
      <c r="E138" s="29"/>
      <c r="F138" s="30"/>
      <c r="G138" s="38"/>
      <c r="H138" s="25"/>
      <c r="I138" s="29"/>
      <c r="J138" s="29"/>
      <c r="K138" s="29"/>
      <c r="L138" s="30"/>
      <c r="M138" s="38"/>
      <c r="N138" s="25"/>
      <c r="O138" s="29"/>
      <c r="P138" s="29"/>
      <c r="Q138" s="29"/>
      <c r="R138" s="30"/>
      <c r="S138" s="38"/>
    </row>
    <row r="139" spans="1:19" s="24" customFormat="1" ht="12" thickBot="1">
      <c r="A139" s="37"/>
      <c r="B139" s="31"/>
      <c r="C139" s="32"/>
      <c r="D139" s="32"/>
      <c r="E139" s="32"/>
      <c r="F139" s="33"/>
      <c r="G139" s="38"/>
      <c r="H139" s="31"/>
      <c r="I139" s="32"/>
      <c r="J139" s="32"/>
      <c r="K139" s="32"/>
      <c r="L139" s="33"/>
      <c r="M139" s="38"/>
      <c r="N139" s="31"/>
      <c r="O139" s="32"/>
      <c r="P139" s="32"/>
      <c r="Q139" s="32"/>
      <c r="R139" s="33"/>
      <c r="S139" s="38"/>
    </row>
    <row r="140" spans="1:19" ht="12" thickBot="1">
      <c r="B140" s="524" t="s">
        <v>157</v>
      </c>
      <c r="C140" s="525"/>
      <c r="D140" s="525"/>
      <c r="E140" s="525"/>
      <c r="F140" s="526"/>
      <c r="H140" s="518" t="s">
        <v>157</v>
      </c>
      <c r="I140" s="519"/>
      <c r="J140" s="519"/>
      <c r="K140" s="519"/>
      <c r="L140" s="520"/>
      <c r="N140" s="530" t="s">
        <v>157</v>
      </c>
      <c r="O140" s="531"/>
      <c r="P140" s="531"/>
      <c r="Q140" s="531"/>
      <c r="R140" s="532"/>
    </row>
    <row r="141" spans="1:19" s="24" customFormat="1" ht="22.5" customHeight="1" thickBot="1">
      <c r="A141" s="37"/>
      <c r="B141" s="521"/>
      <c r="C141" s="522"/>
      <c r="D141" s="522"/>
      <c r="E141" s="522"/>
      <c r="F141" s="523"/>
      <c r="G141" s="38"/>
      <c r="H141" s="521"/>
      <c r="I141" s="522"/>
      <c r="J141" s="522"/>
      <c r="K141" s="522"/>
      <c r="L141" s="523"/>
      <c r="M141" s="38"/>
      <c r="N141" s="521"/>
      <c r="O141" s="522"/>
      <c r="P141" s="522"/>
      <c r="Q141" s="522"/>
      <c r="R141" s="523"/>
      <c r="S141" s="38"/>
    </row>
  </sheetData>
  <sheetProtection sheet="1" objects="1" scenarios="1" selectLockedCells="1"/>
  <mergeCells count="66">
    <mergeCell ref="N101:R101"/>
    <mergeCell ref="N141:R141"/>
    <mergeCell ref="N103:R103"/>
    <mergeCell ref="N120:R120"/>
    <mergeCell ref="N121:R121"/>
    <mergeCell ref="N123:R123"/>
    <mergeCell ref="N140:R140"/>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H101:L101"/>
    <mergeCell ref="H103:L103"/>
    <mergeCell ref="H120:L120"/>
    <mergeCell ref="H121:L121"/>
    <mergeCell ref="H123:L123"/>
    <mergeCell ref="H63:L63"/>
    <mergeCell ref="H80:L80"/>
    <mergeCell ref="H81:L81"/>
    <mergeCell ref="H83:L83"/>
    <mergeCell ref="H100:L100"/>
    <mergeCell ref="H40:L40"/>
    <mergeCell ref="H41:L41"/>
    <mergeCell ref="H43:L43"/>
    <mergeCell ref="H60:L60"/>
    <mergeCell ref="H61:L61"/>
    <mergeCell ref="B140:F140"/>
    <mergeCell ref="B141:F141"/>
    <mergeCell ref="B120:F120"/>
    <mergeCell ref="B121:F121"/>
    <mergeCell ref="B100:F100"/>
    <mergeCell ref="B101:F101"/>
    <mergeCell ref="B123:F123"/>
    <mergeCell ref="B103:F103"/>
    <mergeCell ref="B43:F43"/>
    <mergeCell ref="B63:F63"/>
    <mergeCell ref="B83:F83"/>
    <mergeCell ref="B20:F20"/>
    <mergeCell ref="B21:F21"/>
    <mergeCell ref="B40:F40"/>
    <mergeCell ref="B41:F41"/>
    <mergeCell ref="B80:F80"/>
    <mergeCell ref="B81:F81"/>
    <mergeCell ref="B60:F60"/>
    <mergeCell ref="B61:F61"/>
    <mergeCell ref="D2:F2"/>
    <mergeCell ref="J2:L2"/>
    <mergeCell ref="P2:R2"/>
    <mergeCell ref="B3:F3"/>
    <mergeCell ref="B23:F23"/>
    <mergeCell ref="H3:L3"/>
    <mergeCell ref="H20:L20"/>
    <mergeCell ref="H21:L21"/>
    <mergeCell ref="H23:L23"/>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SelectClone">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SelectClone">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SelectClone">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SelectClone">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SelectClone">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SelectClone">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SelectClone">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SelectClone">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SelectClone">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SelectClone">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SelectClone">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SelectClone">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SelectClone">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SelectClone">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SelectClone">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SelectClone">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topLeftCell="E1" zoomScale="80" zoomScaleNormal="80" workbookViewId="0">
      <selection activeCell="D4" sqref="D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04" t="s">
        <v>42</v>
      </c>
      <c r="R2" s="44"/>
      <c r="S2" s="138" t="s">
        <v>5</v>
      </c>
      <c r="T2" s="204" t="s">
        <v>6</v>
      </c>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72" t="s">
        <v>174</v>
      </c>
      <c r="B4" s="294" t="s">
        <v>165</v>
      </c>
      <c r="C4" s="294"/>
      <c r="D4" s="222" t="s">
        <v>101</v>
      </c>
      <c r="E4" s="294"/>
      <c r="F4" s="294"/>
      <c r="G4" s="294"/>
      <c r="H4" s="294"/>
      <c r="I4" s="294"/>
      <c r="J4" s="373"/>
      <c r="K4" s="373"/>
      <c r="L4" s="373"/>
      <c r="M4" s="406"/>
      <c r="P4" s="45" t="s">
        <v>167</v>
      </c>
      <c r="Q4" s="46"/>
      <c r="R4" s="209" t="s">
        <v>220</v>
      </c>
      <c r="S4" s="146" t="s">
        <v>221</v>
      </c>
      <c r="T4" s="533" t="s">
        <v>168</v>
      </c>
      <c r="U4" s="533"/>
      <c r="V4" s="47"/>
      <c r="W4" s="8"/>
      <c r="X4" s="8"/>
      <c r="Y4" s="8"/>
    </row>
    <row r="5" spans="1:35" ht="14.25">
      <c r="A5" s="295"/>
      <c r="B5" s="296" t="s">
        <v>2</v>
      </c>
      <c r="C5" s="296"/>
      <c r="D5" s="187"/>
      <c r="E5" s="296"/>
      <c r="F5" s="296"/>
      <c r="G5" s="296"/>
      <c r="H5" s="296"/>
      <c r="I5" s="296"/>
      <c r="J5" s="374"/>
      <c r="K5" s="403"/>
      <c r="L5" s="403"/>
      <c r="M5" s="407"/>
      <c r="P5" s="48" t="s">
        <v>7</v>
      </c>
      <c r="Q5" s="11"/>
      <c r="R5" s="209" t="s">
        <v>43</v>
      </c>
      <c r="S5" s="49" t="s">
        <v>11</v>
      </c>
      <c r="T5" s="204">
        <v>41</v>
      </c>
      <c r="U5" s="8"/>
      <c r="V5" s="50"/>
      <c r="W5" s="8"/>
      <c r="X5" s="8"/>
      <c r="Y5" s="8"/>
    </row>
    <row r="6" spans="1:35" ht="14.65" thickBot="1">
      <c r="A6" s="295"/>
      <c r="B6" s="296"/>
      <c r="C6" s="139"/>
      <c r="D6" s="140"/>
      <c r="E6" s="296"/>
      <c r="F6" s="296"/>
      <c r="G6" s="296"/>
      <c r="H6" s="296"/>
      <c r="I6" s="296"/>
      <c r="J6" s="374"/>
      <c r="K6" s="403"/>
      <c r="L6" s="403"/>
      <c r="M6" s="407"/>
      <c r="N6" s="42"/>
      <c r="O6" s="42"/>
      <c r="P6" s="51" t="s">
        <v>169</v>
      </c>
      <c r="Q6" s="209" t="s">
        <v>44</v>
      </c>
      <c r="R6" s="52" t="s">
        <v>170</v>
      </c>
      <c r="S6" s="209" t="s">
        <v>44</v>
      </c>
      <c r="T6" s="53" t="s">
        <v>12</v>
      </c>
      <c r="U6" s="142"/>
      <c r="V6" s="171"/>
      <c r="W6" s="8"/>
      <c r="X6" s="8"/>
      <c r="Y6" s="8"/>
    </row>
    <row r="7" spans="1:35" ht="14.65" thickBot="1">
      <c r="A7" s="295"/>
      <c r="B7" s="297" t="s">
        <v>8</v>
      </c>
      <c r="C7" s="298"/>
      <c r="D7" s="296" t="s">
        <v>9</v>
      </c>
      <c r="E7" s="299"/>
      <c r="F7" s="296"/>
      <c r="G7" s="297" t="s">
        <v>10</v>
      </c>
      <c r="H7" s="67">
        <f>T5+1+E7</f>
        <v>42</v>
      </c>
      <c r="I7" s="296"/>
      <c r="J7" s="374"/>
      <c r="K7" s="403"/>
      <c r="L7" s="403"/>
      <c r="M7" s="407"/>
      <c r="N7" s="42"/>
      <c r="O7" s="42"/>
      <c r="P7" s="8"/>
      <c r="Q7" s="8"/>
      <c r="R7" s="8"/>
      <c r="S7" s="8"/>
      <c r="T7" s="8"/>
      <c r="U7" s="8"/>
      <c r="V7" s="8"/>
      <c r="W7" s="8"/>
      <c r="X7" s="8"/>
      <c r="Y7" s="8"/>
    </row>
    <row r="8" spans="1:35" ht="14.65" thickBot="1">
      <c r="A8" s="295"/>
      <c r="B8" s="296" t="s">
        <v>173</v>
      </c>
      <c r="C8" s="296"/>
      <c r="D8" s="299"/>
      <c r="E8" s="296"/>
      <c r="F8" s="296"/>
      <c r="G8" s="296"/>
      <c r="H8" s="296"/>
      <c r="I8" s="296"/>
      <c r="J8" s="374"/>
      <c r="K8" s="403"/>
      <c r="L8" s="403"/>
      <c r="M8" s="407"/>
      <c r="N8" s="42"/>
      <c r="O8" s="42"/>
      <c r="P8" s="143" t="s">
        <v>171</v>
      </c>
      <c r="Q8" s="44"/>
      <c r="R8" s="204" t="s">
        <v>32</v>
      </c>
      <c r="S8" s="144" t="s">
        <v>33</v>
      </c>
      <c r="T8" s="44"/>
      <c r="U8" s="204" t="s">
        <v>34</v>
      </c>
      <c r="V8" s="145" t="s">
        <v>35</v>
      </c>
      <c r="W8" s="44"/>
      <c r="X8" s="170" t="s">
        <v>36</v>
      </c>
      <c r="Y8" s="8"/>
    </row>
    <row r="9" spans="1:35" ht="14.65" thickBot="1">
      <c r="A9" s="300"/>
      <c r="B9" s="69"/>
      <c r="C9" s="69"/>
      <c r="D9" s="69"/>
      <c r="E9" s="69"/>
      <c r="F9" s="69"/>
      <c r="G9" s="69"/>
      <c r="H9" s="69"/>
      <c r="I9" s="69"/>
      <c r="J9" s="8"/>
      <c r="K9" s="10"/>
      <c r="L9" s="404"/>
      <c r="M9" s="408"/>
      <c r="N9" s="42"/>
      <c r="O9" s="42"/>
      <c r="P9" s="8"/>
      <c r="Q9" s="8"/>
      <c r="R9" s="8"/>
      <c r="S9" s="8"/>
      <c r="T9" s="8"/>
      <c r="U9" s="8"/>
      <c r="V9" s="8"/>
      <c r="W9" s="8"/>
      <c r="X9" s="8"/>
      <c r="Y9" s="8"/>
    </row>
    <row r="10" spans="1:35" ht="14.25">
      <c r="A10" s="301"/>
      <c r="B10" s="69"/>
      <c r="C10" s="70"/>
      <c r="D10" s="17"/>
      <c r="E10" s="70"/>
      <c r="F10" s="69"/>
      <c r="G10" s="69"/>
      <c r="H10" s="69"/>
      <c r="I10" s="69"/>
      <c r="J10" s="375"/>
      <c r="K10" s="10"/>
      <c r="L10" s="10"/>
      <c r="M10" s="195"/>
      <c r="P10" s="55" t="s">
        <v>13</v>
      </c>
      <c r="Q10" s="56"/>
      <c r="R10" s="56"/>
      <c r="S10" s="544" t="s">
        <v>14</v>
      </c>
      <c r="T10" s="544"/>
      <c r="U10" s="544"/>
      <c r="V10" s="57" t="s">
        <v>15</v>
      </c>
      <c r="W10" s="191" t="s">
        <v>16</v>
      </c>
      <c r="X10" s="46"/>
      <c r="Y10" s="46"/>
      <c r="Z10" s="192"/>
      <c r="AA10" s="192"/>
      <c r="AB10" s="192"/>
      <c r="AC10" s="193"/>
    </row>
    <row r="11" spans="1:35" ht="14.25">
      <c r="A11" s="302"/>
      <c r="B11" s="303" t="s">
        <v>22</v>
      </c>
      <c r="C11" s="304"/>
      <c r="D11" s="299"/>
      <c r="E11" s="304"/>
      <c r="F11" s="305" t="s">
        <v>24</v>
      </c>
      <c r="G11" s="299"/>
      <c r="H11" s="306" t="str">
        <f>IF(G11="m-Cherry","mCh",IF(G11="eGFP","GFP",""))</f>
        <v/>
      </c>
      <c r="I11" s="306"/>
      <c r="J11" s="376"/>
      <c r="K11" s="405"/>
      <c r="L11" s="412" t="str">
        <f>IF(ISNUMBER(SEARCH(D11,S10)),"","CHECK PLASMID INFO")</f>
        <v/>
      </c>
      <c r="M11" s="409"/>
      <c r="P11" s="58"/>
      <c r="Q11" s="7"/>
      <c r="R11" s="7"/>
      <c r="S11" s="194"/>
      <c r="T11" s="10"/>
      <c r="U11" s="10"/>
      <c r="V11" s="10"/>
      <c r="W11" s="10"/>
      <c r="X11" s="10"/>
      <c r="Y11" s="10"/>
      <c r="Z11" s="190"/>
      <c r="AA11" s="190"/>
      <c r="AB11" s="190"/>
      <c r="AC11" s="195"/>
    </row>
    <row r="12" spans="1:35" ht="14.25">
      <c r="A12" s="302"/>
      <c r="B12" s="304" t="s">
        <v>26</v>
      </c>
      <c r="C12" s="304"/>
      <c r="D12" s="299"/>
      <c r="E12" s="306"/>
      <c r="F12" s="306"/>
      <c r="G12" s="306"/>
      <c r="H12" s="306"/>
      <c r="I12" s="306"/>
      <c r="J12" s="376"/>
      <c r="K12" s="405"/>
      <c r="L12" s="413" t="str">
        <f>IF(ISNUMBER(SEARCH(G11,S12)),"","CHECK PLASMID INFO")</f>
        <v/>
      </c>
      <c r="M12" s="409"/>
      <c r="P12" s="199"/>
      <c r="Q12" s="197" t="s">
        <v>17</v>
      </c>
      <c r="R12" s="196"/>
      <c r="S12" s="534" t="s">
        <v>25</v>
      </c>
      <c r="T12" s="534"/>
      <c r="U12" s="188"/>
      <c r="V12" s="59"/>
      <c r="W12" s="542" t="s">
        <v>240</v>
      </c>
      <c r="X12" s="542"/>
      <c r="Y12" s="188"/>
      <c r="Z12" s="59"/>
      <c r="AA12" s="542" t="s">
        <v>241</v>
      </c>
      <c r="AB12" s="542"/>
      <c r="AC12" s="201"/>
      <c r="AD12" s="203"/>
    </row>
    <row r="13" spans="1:35" ht="14.25">
      <c r="A13" s="302"/>
      <c r="B13" s="304" t="s">
        <v>29</v>
      </c>
      <c r="C13" s="304"/>
      <c r="D13" s="299"/>
      <c r="E13" s="306"/>
      <c r="F13" s="306"/>
      <c r="G13" s="305" t="s">
        <v>15</v>
      </c>
      <c r="H13" s="299"/>
      <c r="I13" s="306"/>
      <c r="J13" s="402"/>
      <c r="K13" s="321" t="s">
        <v>546</v>
      </c>
      <c r="L13" s="422"/>
      <c r="M13" s="410"/>
      <c r="P13" s="200"/>
      <c r="Q13" s="198"/>
      <c r="R13" s="196" t="s">
        <v>239</v>
      </c>
      <c r="S13" s="534" t="s">
        <v>19</v>
      </c>
      <c r="T13" s="534"/>
      <c r="U13" s="534"/>
      <c r="V13" s="59"/>
      <c r="W13" s="542" t="s">
        <v>20</v>
      </c>
      <c r="X13" s="542"/>
      <c r="Y13" s="542"/>
      <c r="Z13" s="59"/>
      <c r="AA13" s="542" t="s">
        <v>20</v>
      </c>
      <c r="AB13" s="542"/>
      <c r="AC13" s="543"/>
      <c r="AD13" s="203"/>
    </row>
    <row r="14" spans="1:35" ht="14.65" thickBot="1">
      <c r="A14" s="307"/>
      <c r="B14" s="308"/>
      <c r="C14" s="308"/>
      <c r="D14" s="309"/>
      <c r="E14" s="309"/>
      <c r="F14" s="309"/>
      <c r="G14" s="309"/>
      <c r="H14" s="309"/>
      <c r="I14" s="309"/>
      <c r="J14" s="377"/>
      <c r="K14" s="377"/>
      <c r="L14" s="377"/>
      <c r="M14" s="411"/>
      <c r="N14" s="169"/>
      <c r="P14" s="200"/>
      <c r="Q14" s="198"/>
      <c r="R14" s="196" t="s">
        <v>15</v>
      </c>
      <c r="S14" s="236" t="s">
        <v>16</v>
      </c>
      <c r="T14" s="188"/>
      <c r="U14" s="188"/>
      <c r="V14" s="59"/>
      <c r="W14" s="542" t="s">
        <v>21</v>
      </c>
      <c r="X14" s="542"/>
      <c r="Y14" s="188"/>
      <c r="Z14" s="59"/>
      <c r="AA14" s="542" t="s">
        <v>21</v>
      </c>
      <c r="AB14" s="542"/>
      <c r="AC14" s="201"/>
      <c r="AD14" s="203"/>
    </row>
    <row r="15" spans="1:35" ht="14.65" thickBot="1">
      <c r="A15" s="9"/>
      <c r="B15" s="9"/>
      <c r="C15" s="9"/>
      <c r="D15" s="9"/>
      <c r="E15" s="9"/>
      <c r="F15" s="9"/>
      <c r="G15" s="9"/>
      <c r="H15" s="9"/>
      <c r="I15" s="9"/>
      <c r="J15" s="9"/>
      <c r="K15" s="9"/>
      <c r="L15" s="9"/>
      <c r="P15" s="60"/>
      <c r="Q15" s="61"/>
      <c r="R15" s="61"/>
      <c r="S15" s="54"/>
      <c r="T15" s="54"/>
      <c r="U15" s="54"/>
      <c r="V15" s="62"/>
      <c r="W15" s="54"/>
      <c r="X15" s="54"/>
      <c r="Y15" s="189"/>
      <c r="Z15" s="62"/>
      <c r="AA15" s="54"/>
      <c r="AB15" s="54"/>
      <c r="AC15" s="63"/>
    </row>
    <row r="16" spans="1:35" ht="14.65" thickBot="1">
      <c r="A16" s="72" t="s">
        <v>174</v>
      </c>
      <c r="B16" s="73" t="s">
        <v>523</v>
      </c>
      <c r="C16" s="74"/>
      <c r="D16" s="75"/>
      <c r="E16" s="76" t="s">
        <v>524</v>
      </c>
      <c r="F16" s="77"/>
      <c r="G16" s="74"/>
      <c r="H16" s="78"/>
      <c r="AA16" s="12" t="s">
        <v>242</v>
      </c>
    </row>
    <row r="17" spans="1:26" ht="14.25">
      <c r="A17" s="79"/>
      <c r="B17" s="80"/>
      <c r="C17" s="80"/>
      <c r="D17" s="80"/>
      <c r="E17" s="80"/>
      <c r="F17" s="80"/>
      <c r="G17" s="80"/>
      <c r="H17" s="81"/>
      <c r="N17" s="42"/>
    </row>
    <row r="18" spans="1:26" ht="14.25">
      <c r="A18" s="378" t="s">
        <v>525</v>
      </c>
      <c r="B18" s="130"/>
      <c r="C18" s="325"/>
      <c r="D18" s="147" t="s">
        <v>210</v>
      </c>
      <c r="E18" s="148" t="s">
        <v>226</v>
      </c>
      <c r="F18" s="80"/>
      <c r="G18" s="80"/>
      <c r="H18" s="81"/>
    </row>
    <row r="19" spans="1:26" ht="14.25">
      <c r="A19" s="79"/>
      <c r="B19" s="80" t="s">
        <v>179</v>
      </c>
      <c r="C19" s="80"/>
      <c r="D19" s="80">
        <v>4</v>
      </c>
      <c r="E19" s="80">
        <f>D19*C18</f>
        <v>0</v>
      </c>
      <c r="F19" s="80"/>
      <c r="G19" s="80"/>
      <c r="H19" s="81"/>
    </row>
    <row r="20" spans="1:26" ht="14.65" thickBot="1">
      <c r="A20" s="79"/>
      <c r="B20" s="80" t="s">
        <v>180</v>
      </c>
      <c r="C20" s="80"/>
      <c r="D20" s="80">
        <v>2.5</v>
      </c>
      <c r="E20" s="80">
        <f>D20*C18</f>
        <v>0</v>
      </c>
      <c r="F20" s="80"/>
      <c r="G20" s="80"/>
      <c r="H20" s="81"/>
      <c r="K20" s="190"/>
      <c r="P20" s="11" t="s">
        <v>233</v>
      </c>
    </row>
    <row r="21" spans="1:26" ht="14.25">
      <c r="A21" s="79"/>
      <c r="B21" s="80" t="s">
        <v>229</v>
      </c>
      <c r="C21" s="80"/>
      <c r="D21" s="80"/>
      <c r="E21" s="80" t="e">
        <f>E49+E50</f>
        <v>#VALUE!</v>
      </c>
      <c r="F21" s="80"/>
      <c r="G21" s="80" t="s">
        <v>181</v>
      </c>
      <c r="H21" s="81"/>
      <c r="P21" s="551"/>
      <c r="Q21" s="552"/>
      <c r="R21" s="552"/>
      <c r="S21" s="552"/>
      <c r="T21" s="552"/>
      <c r="U21" s="552"/>
      <c r="V21" s="552"/>
      <c r="W21" s="553"/>
    </row>
    <row r="22" spans="1:26" ht="14.65" thickBot="1">
      <c r="A22" s="79"/>
      <c r="B22" s="80"/>
      <c r="C22" s="80"/>
      <c r="D22" s="80"/>
      <c r="E22" s="83"/>
      <c r="F22" s="80"/>
      <c r="G22" s="80"/>
      <c r="H22" s="81"/>
      <c r="P22" s="545"/>
      <c r="Q22" s="546"/>
      <c r="R22" s="546"/>
      <c r="S22" s="546"/>
      <c r="T22" s="546"/>
      <c r="U22" s="546"/>
      <c r="V22" s="546"/>
      <c r="W22" s="547"/>
    </row>
    <row r="23" spans="1:26" ht="14.65" thickBot="1">
      <c r="A23" s="79"/>
      <c r="B23" s="149" t="s">
        <v>526</v>
      </c>
      <c r="C23" s="77"/>
      <c r="D23" s="415" t="s">
        <v>532</v>
      </c>
      <c r="E23" s="84" t="e">
        <f>SUM(E19:E21)</f>
        <v>#VALUE!</v>
      </c>
      <c r="F23" s="85" t="s">
        <v>227</v>
      </c>
      <c r="G23" s="74"/>
      <c r="H23" s="81"/>
      <c r="P23" s="545"/>
      <c r="Q23" s="546"/>
      <c r="R23" s="546"/>
      <c r="S23" s="546"/>
      <c r="T23" s="546"/>
      <c r="U23" s="546"/>
      <c r="V23" s="546"/>
      <c r="W23" s="547"/>
    </row>
    <row r="24" spans="1:26" ht="14.65" thickBot="1">
      <c r="A24" s="86"/>
      <c r="B24" s="87"/>
      <c r="C24" s="87"/>
      <c r="D24" s="87"/>
      <c r="E24" s="88"/>
      <c r="F24" s="89"/>
      <c r="G24" s="87"/>
      <c r="H24" s="90"/>
      <c r="P24" s="548"/>
      <c r="Q24" s="549"/>
      <c r="R24" s="549"/>
      <c r="S24" s="549"/>
      <c r="T24" s="549"/>
      <c r="U24" s="549"/>
      <c r="V24" s="549"/>
      <c r="W24" s="550"/>
    </row>
    <row r="25" spans="1:26" ht="12" thickBot="1"/>
    <row r="26" spans="1:26" ht="14.65" thickBot="1">
      <c r="A26" s="280" t="s">
        <v>174</v>
      </c>
      <c r="B26" s="281" t="s">
        <v>182</v>
      </c>
      <c r="C26" s="97"/>
      <c r="D26" s="97"/>
      <c r="E26" s="97"/>
      <c r="F26" s="97"/>
      <c r="G26" s="97"/>
      <c r="H26" s="97"/>
      <c r="I26" s="97" t="s">
        <v>183</v>
      </c>
      <c r="J26" s="97"/>
      <c r="K26" s="97"/>
      <c r="L26" s="97"/>
      <c r="M26" s="98"/>
    </row>
    <row r="27" spans="1:26" ht="15" thickBot="1">
      <c r="A27" s="93"/>
      <c r="B27" s="94"/>
      <c r="C27" s="95" t="str">
        <f>IF(VALUE(RIGHT(B28))= 0, "CHOOSE VALUES &lt; 10 and &gt; 0", " ")</f>
        <v xml:space="preserve"> </v>
      </c>
      <c r="D27" s="96"/>
      <c r="E27" s="97"/>
      <c r="F27" s="535" t="s">
        <v>184</v>
      </c>
      <c r="G27" s="536"/>
      <c r="H27" s="537"/>
      <c r="I27" s="155" t="s">
        <v>185</v>
      </c>
      <c r="J27" s="164" t="s">
        <v>186</v>
      </c>
      <c r="K27" s="165"/>
      <c r="L27" s="160" t="s">
        <v>187</v>
      </c>
      <c r="M27" s="98"/>
      <c r="P27" s="11" t="s">
        <v>234</v>
      </c>
    </row>
    <row r="28" spans="1:26" ht="14.65">
      <c r="A28" s="99" t="s">
        <v>188</v>
      </c>
      <c r="B28" s="259" t="s">
        <v>189</v>
      </c>
      <c r="C28" s="92"/>
      <c r="D28" s="100" t="s">
        <v>190</v>
      </c>
      <c r="E28" s="260">
        <v>4</v>
      </c>
      <c r="F28" s="101" t="s">
        <v>191</v>
      </c>
      <c r="G28" s="156">
        <v>20</v>
      </c>
      <c r="H28" s="379" t="s">
        <v>192</v>
      </c>
      <c r="I28" s="158">
        <f>G28/J28</f>
        <v>5</v>
      </c>
      <c r="J28" s="261">
        <v>4</v>
      </c>
      <c r="K28" s="379" t="s">
        <v>192</v>
      </c>
      <c r="L28" s="161">
        <f>((E28*0.000000001)/(J28*0.000001))*1000</f>
        <v>1</v>
      </c>
      <c r="M28" s="102"/>
      <c r="P28" s="178"/>
      <c r="Q28" s="179"/>
      <c r="R28" s="179"/>
      <c r="S28" s="179"/>
      <c r="T28" s="179"/>
      <c r="U28" s="179"/>
      <c r="V28" s="179"/>
      <c r="W28" s="179"/>
      <c r="X28" s="179"/>
      <c r="Y28" s="179"/>
      <c r="Z28" s="180"/>
    </row>
    <row r="29" spans="1:26" ht="14.65">
      <c r="A29" s="103"/>
      <c r="B29" s="92"/>
      <c r="C29" s="92"/>
      <c r="D29" s="100" t="s">
        <v>193</v>
      </c>
      <c r="E29" s="151">
        <f>E28*RIGHT(B28)</f>
        <v>12</v>
      </c>
      <c r="F29" s="380" t="s">
        <v>194</v>
      </c>
      <c r="G29" s="152">
        <v>20</v>
      </c>
      <c r="H29" s="379" t="s">
        <v>192</v>
      </c>
      <c r="I29" s="157">
        <f>G29/J29</f>
        <v>5</v>
      </c>
      <c r="J29" s="262">
        <v>4</v>
      </c>
      <c r="K29" s="379" t="s">
        <v>192</v>
      </c>
      <c r="L29" s="162">
        <f>((E29*0.000000001)/(J29*0.000001))*1000</f>
        <v>3.0000000000000004</v>
      </c>
      <c r="M29" s="102"/>
      <c r="P29" s="181"/>
      <c r="Q29" s="182"/>
      <c r="R29" s="182"/>
      <c r="S29" s="182"/>
      <c r="T29" s="182"/>
      <c r="U29" s="182"/>
      <c r="V29" s="182"/>
      <c r="W29" s="182"/>
      <c r="X29" s="182"/>
      <c r="Y29" s="182"/>
      <c r="Z29" s="183"/>
    </row>
    <row r="30" spans="1:26" ht="15" thickBot="1">
      <c r="A30" s="103"/>
      <c r="B30" s="92"/>
      <c r="C30" s="92"/>
      <c r="D30" s="104" t="s">
        <v>195</v>
      </c>
      <c r="E30" s="172">
        <v>0.8</v>
      </c>
      <c r="F30" s="105" t="s">
        <v>196</v>
      </c>
      <c r="G30" s="173">
        <v>0.95</v>
      </c>
      <c r="H30" s="154" t="s">
        <v>197</v>
      </c>
      <c r="I30" s="159">
        <f>G30/J30</f>
        <v>1.1874999999999998</v>
      </c>
      <c r="J30" s="263">
        <v>0.8</v>
      </c>
      <c r="K30" s="154" t="s">
        <v>197</v>
      </c>
      <c r="L30" s="163">
        <f>E30/J30</f>
        <v>1</v>
      </c>
      <c r="M30" s="102"/>
      <c r="P30" s="181"/>
      <c r="Q30" s="182"/>
      <c r="R30" s="182"/>
      <c r="S30" s="182"/>
      <c r="T30" s="182"/>
      <c r="U30" s="182"/>
      <c r="V30" s="182"/>
      <c r="W30" s="182"/>
      <c r="X30" s="182"/>
      <c r="Y30" s="182"/>
      <c r="Z30" s="183"/>
    </row>
    <row r="31" spans="1:26" ht="14.65" thickBot="1">
      <c r="A31" s="103"/>
      <c r="B31" s="92"/>
      <c r="C31" s="92"/>
      <c r="D31" s="92"/>
      <c r="E31" s="92"/>
      <c r="F31" s="92"/>
      <c r="G31" s="92"/>
      <c r="H31" s="92"/>
      <c r="I31" s="97"/>
      <c r="J31" s="92"/>
      <c r="K31" s="92"/>
      <c r="L31" s="92"/>
      <c r="M31" s="102"/>
      <c r="P31" s="181"/>
      <c r="Q31" s="182"/>
      <c r="R31" s="182"/>
      <c r="S31" s="182"/>
      <c r="T31" s="182"/>
      <c r="U31" s="182"/>
      <c r="V31" s="182"/>
      <c r="W31" s="182"/>
      <c r="X31" s="182"/>
      <c r="Y31" s="182"/>
      <c r="Z31" s="183"/>
    </row>
    <row r="32" spans="1:26" ht="14.25">
      <c r="A32" s="103"/>
      <c r="B32" s="92"/>
      <c r="C32" s="92"/>
      <c r="D32" s="92"/>
      <c r="E32" s="92"/>
      <c r="F32" s="92"/>
      <c r="G32" s="92"/>
      <c r="H32" s="92"/>
      <c r="I32" s="92"/>
      <c r="J32" s="92"/>
      <c r="K32" s="106" t="s">
        <v>198</v>
      </c>
      <c r="L32" s="107">
        <f>SUM(L28:L31)</f>
        <v>5</v>
      </c>
      <c r="M32" s="381" t="e">
        <f>IF(OR((E36&gt;" "),(I36&gt;" ")),"RECALCULATE VOLUMES", " ")</f>
        <v>#DIV/0!</v>
      </c>
      <c r="P32" s="181"/>
      <c r="Q32" s="182"/>
      <c r="R32" s="182"/>
      <c r="S32" s="182"/>
      <c r="T32" s="182"/>
      <c r="U32" s="182"/>
      <c r="V32" s="182"/>
      <c r="W32" s="182"/>
      <c r="X32" s="182"/>
      <c r="Y32" s="182"/>
      <c r="Z32" s="183"/>
    </row>
    <row r="33" spans="1:26" ht="14.25">
      <c r="A33" s="382" t="s">
        <v>527</v>
      </c>
      <c r="B33" s="382"/>
      <c r="C33" s="415" t="s">
        <v>528</v>
      </c>
      <c r="D33" s="383" t="s">
        <v>529</v>
      </c>
      <c r="E33" s="384">
        <f>IF(C33="strip well",20,100)</f>
        <v>20</v>
      </c>
      <c r="F33" s="385"/>
      <c r="G33" s="383" t="s">
        <v>530</v>
      </c>
      <c r="H33" s="415"/>
      <c r="I33" s="386"/>
      <c r="J33" s="382"/>
      <c r="K33" s="382"/>
      <c r="L33" s="382"/>
      <c r="M33" s="382"/>
      <c r="P33" s="181"/>
      <c r="Q33" s="182"/>
      <c r="R33" s="182"/>
      <c r="S33" s="182"/>
      <c r="T33" s="182"/>
      <c r="U33" s="182"/>
      <c r="V33" s="182"/>
      <c r="W33" s="182"/>
      <c r="X33" s="182"/>
      <c r="Y33" s="182"/>
      <c r="Z33" s="183"/>
    </row>
    <row r="34" spans="1:26" ht="14.65">
      <c r="A34" s="103" t="s">
        <v>199</v>
      </c>
      <c r="B34" s="92"/>
      <c r="C34" s="118">
        <f>E33*H33</f>
        <v>0</v>
      </c>
      <c r="D34" s="387" t="s">
        <v>531</v>
      </c>
      <c r="E34" s="92"/>
      <c r="F34" s="92"/>
      <c r="G34" s="92"/>
      <c r="H34" s="388"/>
      <c r="I34" s="388"/>
      <c r="J34" s="92"/>
      <c r="K34" s="389"/>
      <c r="L34" s="92"/>
      <c r="M34" s="102"/>
      <c r="P34" s="181"/>
      <c r="Q34" s="182"/>
      <c r="R34" s="182"/>
      <c r="S34" s="182"/>
      <c r="T34" s="182"/>
      <c r="U34" s="182"/>
      <c r="V34" s="182"/>
      <c r="W34" s="182"/>
      <c r="X34" s="182"/>
      <c r="Y34" s="182"/>
      <c r="Z34" s="183"/>
    </row>
    <row r="35" spans="1:26" ht="14.65">
      <c r="A35" s="103" t="s">
        <v>201</v>
      </c>
      <c r="B35" s="92"/>
      <c r="C35" s="115">
        <f>L32</f>
        <v>5</v>
      </c>
      <c r="D35" s="387" t="s">
        <v>531</v>
      </c>
      <c r="E35" s="92"/>
      <c r="F35" s="92"/>
      <c r="G35" s="92"/>
      <c r="H35" s="92"/>
      <c r="I35" s="92"/>
      <c r="J35" s="92"/>
      <c r="K35" s="92"/>
      <c r="L35" s="92"/>
      <c r="M35" s="102"/>
      <c r="P35" s="181"/>
      <c r="Q35" s="182"/>
      <c r="R35" s="182"/>
      <c r="S35" s="182"/>
      <c r="T35" s="182"/>
      <c r="U35" s="182"/>
      <c r="V35" s="182"/>
      <c r="W35" s="182"/>
      <c r="X35" s="182"/>
      <c r="Y35" s="182"/>
      <c r="Z35" s="183"/>
    </row>
    <row r="36" spans="1:26" ht="14.65">
      <c r="A36" s="103" t="s">
        <v>202</v>
      </c>
      <c r="B36" s="92"/>
      <c r="C36" s="118">
        <f>SUM(C34:C35)</f>
        <v>5</v>
      </c>
      <c r="D36" s="387" t="s">
        <v>531</v>
      </c>
      <c r="E36" s="390" t="e">
        <f>IF(AND(E33 = 20,C36/H33&gt;25),"TOTAL VOL per vessel CANT Be &gt; 25uL"," ")</f>
        <v>#DIV/0!</v>
      </c>
      <c r="F36" s="391"/>
      <c r="G36" s="392"/>
      <c r="H36" s="391"/>
      <c r="I36" s="392" t="e">
        <f>IF(AND(E33&gt;20,C36/H33&gt; 120),"TOTAL VOL per vessel CANT Be &gt; 120uL"," ")</f>
        <v>#DIV/0!</v>
      </c>
      <c r="J36" s="393"/>
      <c r="K36" s="393"/>
      <c r="L36" s="393"/>
      <c r="M36" s="102"/>
      <c r="P36" s="181"/>
      <c r="Q36" s="182"/>
      <c r="R36" s="182"/>
      <c r="S36" s="182"/>
      <c r="T36" s="182"/>
      <c r="U36" s="182"/>
      <c r="V36" s="182"/>
      <c r="W36" s="182"/>
      <c r="X36" s="182"/>
      <c r="Y36" s="182"/>
      <c r="Z36" s="183"/>
    </row>
    <row r="37" spans="1:26" ht="14.65" thickBot="1">
      <c r="A37" s="109"/>
      <c r="B37" s="110"/>
      <c r="C37" s="110"/>
      <c r="D37" s="110"/>
      <c r="E37" s="110"/>
      <c r="F37" s="110"/>
      <c r="G37" s="110"/>
      <c r="H37" s="110"/>
      <c r="I37" s="110"/>
      <c r="J37" s="110"/>
      <c r="K37" s="110"/>
      <c r="L37" s="110"/>
      <c r="M37" s="290"/>
      <c r="P37" s="181"/>
      <c r="Q37" s="182"/>
      <c r="R37" s="182"/>
      <c r="S37" s="182"/>
      <c r="T37" s="182"/>
      <c r="U37" s="182"/>
      <c r="V37" s="182"/>
      <c r="W37" s="182"/>
      <c r="X37" s="182"/>
      <c r="Y37" s="182"/>
      <c r="Z37" s="183"/>
    </row>
    <row r="38" spans="1:26" ht="14.25">
      <c r="A38" s="103"/>
      <c r="B38" s="92"/>
      <c r="C38" s="92"/>
      <c r="D38" s="92"/>
      <c r="E38" s="92"/>
      <c r="F38" s="92"/>
      <c r="G38" s="92"/>
      <c r="H38" s="92"/>
      <c r="I38" s="92"/>
      <c r="J38" s="92"/>
      <c r="K38" s="92"/>
      <c r="L38" s="92"/>
      <c r="M38" s="102"/>
      <c r="P38" s="181"/>
      <c r="Q38" s="182"/>
      <c r="R38" s="182"/>
      <c r="S38" s="182"/>
      <c r="T38" s="182"/>
      <c r="U38" s="182"/>
      <c r="V38" s="182"/>
      <c r="W38" s="182"/>
      <c r="X38" s="182"/>
      <c r="Y38" s="182"/>
      <c r="Z38" s="183"/>
    </row>
    <row r="39" spans="1:26" ht="14.25">
      <c r="A39" s="103" t="s">
        <v>203</v>
      </c>
      <c r="B39" s="92"/>
      <c r="C39" s="394">
        <f>E28</f>
        <v>4</v>
      </c>
      <c r="D39" s="92"/>
      <c r="E39" s="121" t="s">
        <v>190</v>
      </c>
      <c r="F39" s="395">
        <f>E28</f>
        <v>4</v>
      </c>
      <c r="G39" s="92"/>
      <c r="H39" s="92"/>
      <c r="I39" s="92"/>
      <c r="J39" s="92"/>
      <c r="K39" s="92"/>
      <c r="L39" s="92"/>
      <c r="M39" s="102"/>
      <c r="P39" s="181"/>
      <c r="Q39" s="182"/>
      <c r="R39" s="182"/>
      <c r="S39" s="182"/>
      <c r="T39" s="182"/>
      <c r="U39" s="182"/>
      <c r="V39" s="182"/>
      <c r="W39" s="182"/>
      <c r="X39" s="182"/>
      <c r="Y39" s="182"/>
      <c r="Z39" s="183"/>
    </row>
    <row r="40" spans="1:26" ht="14.65">
      <c r="A40" s="103" t="s">
        <v>235</v>
      </c>
      <c r="B40" s="92"/>
      <c r="C40" s="174">
        <v>400000</v>
      </c>
      <c r="D40" s="92"/>
      <c r="E40" s="166" t="s">
        <v>230</v>
      </c>
      <c r="F40" s="395">
        <f>E30</f>
        <v>0.8</v>
      </c>
      <c r="G40" s="92"/>
      <c r="H40" s="92"/>
      <c r="I40" s="92"/>
      <c r="J40" s="92"/>
      <c r="K40" s="92"/>
      <c r="L40" s="92"/>
      <c r="M40" s="102"/>
      <c r="P40" s="181"/>
      <c r="Q40" s="182"/>
      <c r="R40" s="182"/>
      <c r="S40" s="182"/>
      <c r="T40" s="182"/>
      <c r="U40" s="182"/>
      <c r="V40" s="182"/>
      <c r="W40" s="182"/>
      <c r="X40" s="182"/>
      <c r="Y40" s="182"/>
      <c r="Z40" s="183"/>
    </row>
    <row r="41" spans="1:26" ht="14.25">
      <c r="A41" s="103"/>
      <c r="B41" s="282"/>
      <c r="C41" s="282"/>
      <c r="D41" s="282"/>
      <c r="E41" s="282"/>
      <c r="F41" s="282"/>
      <c r="G41" s="282"/>
      <c r="H41" s="282"/>
      <c r="I41" s="282"/>
      <c r="J41" s="282"/>
      <c r="K41" s="282"/>
      <c r="L41" s="282"/>
      <c r="M41" s="102"/>
      <c r="P41" s="181"/>
      <c r="Q41" s="182"/>
      <c r="R41" s="182"/>
      <c r="S41" s="182"/>
      <c r="T41" s="182"/>
      <c r="U41" s="182"/>
      <c r="V41" s="182"/>
      <c r="W41" s="182"/>
      <c r="X41" s="182"/>
      <c r="Y41" s="182"/>
      <c r="Z41" s="183"/>
    </row>
    <row r="42" spans="1:26" ht="14.25">
      <c r="A42" s="418"/>
      <c r="B42" s="418"/>
      <c r="C42" s="419"/>
      <c r="D42" s="418"/>
      <c r="E42" s="420"/>
      <c r="F42" s="421"/>
      <c r="G42" s="418"/>
      <c r="H42" s="418"/>
      <c r="I42" s="418"/>
      <c r="J42" s="418"/>
      <c r="K42" s="418"/>
      <c r="L42" s="418"/>
      <c r="M42" s="418"/>
      <c r="P42" s="181"/>
      <c r="Q42" s="182"/>
      <c r="R42" s="182"/>
      <c r="S42" s="182"/>
      <c r="T42" s="182"/>
      <c r="U42" s="182"/>
      <c r="V42" s="182"/>
      <c r="W42" s="182"/>
      <c r="X42" s="182"/>
      <c r="Y42" s="182"/>
      <c r="Z42" s="183"/>
    </row>
    <row r="43" spans="1:26" ht="14.25">
      <c r="A43" s="417"/>
      <c r="B43" s="417"/>
      <c r="C43" s="417"/>
      <c r="D43" s="417"/>
      <c r="E43" s="417"/>
      <c r="F43" s="417"/>
      <c r="G43" s="417"/>
      <c r="H43" s="417"/>
      <c r="I43" s="417"/>
      <c r="J43" s="417"/>
      <c r="K43" s="417"/>
      <c r="L43" s="417"/>
      <c r="M43" s="417"/>
      <c r="P43" s="181"/>
      <c r="Q43" s="182"/>
      <c r="R43" s="182"/>
      <c r="S43" s="182"/>
      <c r="T43" s="182"/>
      <c r="U43" s="182"/>
      <c r="V43" s="182"/>
      <c r="W43" s="182"/>
      <c r="X43" s="182"/>
      <c r="Y43" s="182"/>
      <c r="Z43" s="183"/>
    </row>
    <row r="44" spans="1:26" ht="14.25">
      <c r="A44" s="11" t="s">
        <v>218</v>
      </c>
      <c r="D44" s="11" t="str">
        <f>CONCATENATE(D5,H11,D12)</f>
        <v/>
      </c>
      <c r="P44" s="181"/>
      <c r="Q44" s="182"/>
      <c r="R44" s="182"/>
      <c r="S44" s="182"/>
      <c r="T44" s="182"/>
      <c r="U44" s="182"/>
      <c r="V44" s="182"/>
      <c r="W44" s="182"/>
      <c r="X44" s="182"/>
      <c r="Y44" s="182"/>
      <c r="Z44" s="183"/>
    </row>
    <row r="45" spans="1:26" ht="14.65" customHeight="1">
      <c r="J45" s="538" t="s">
        <v>247</v>
      </c>
      <c r="K45" s="538"/>
      <c r="L45" s="538"/>
      <c r="M45" s="538"/>
      <c r="N45" s="538"/>
      <c r="O45" s="539"/>
      <c r="P45" s="181"/>
      <c r="Q45" s="182"/>
      <c r="R45" s="182"/>
      <c r="S45" s="182"/>
      <c r="T45" s="182"/>
      <c r="U45" s="182"/>
      <c r="V45" s="182"/>
      <c r="W45" s="182"/>
      <c r="X45" s="182"/>
      <c r="Y45" s="182"/>
      <c r="Z45" s="183"/>
    </row>
    <row r="46" spans="1:26" ht="15" customHeight="1" thickBot="1">
      <c r="J46" s="540"/>
      <c r="K46" s="540"/>
      <c r="L46" s="540"/>
      <c r="M46" s="540"/>
      <c r="N46" s="540"/>
      <c r="O46" s="541"/>
      <c r="P46" s="181"/>
      <c r="Q46" s="182"/>
      <c r="R46" s="182"/>
      <c r="S46" s="182"/>
      <c r="T46" s="182"/>
      <c r="U46" s="182"/>
      <c r="V46" s="182"/>
      <c r="W46" s="182"/>
      <c r="X46" s="182"/>
      <c r="Y46" s="182"/>
      <c r="Z46" s="183"/>
    </row>
    <row r="47" spans="1:26" ht="14.65" thickBot="1">
      <c r="A47" s="280" t="s">
        <v>174</v>
      </c>
      <c r="B47" s="73" t="s">
        <v>204</v>
      </c>
      <c r="C47" s="77"/>
      <c r="D47" s="77"/>
      <c r="E47" s="76" t="s">
        <v>205</v>
      </c>
      <c r="F47" s="77"/>
      <c r="G47" s="74"/>
      <c r="H47" s="123" t="s">
        <v>206</v>
      </c>
      <c r="I47" s="74" t="s">
        <v>207</v>
      </c>
      <c r="J47" s="75"/>
      <c r="K47" s="77"/>
      <c r="L47" s="77"/>
      <c r="M47" s="77"/>
      <c r="N47" s="77"/>
      <c r="O47" s="75"/>
      <c r="P47" s="181"/>
      <c r="Q47" s="182"/>
      <c r="R47" s="182"/>
      <c r="S47" s="182"/>
      <c r="T47" s="182"/>
      <c r="U47" s="182"/>
      <c r="V47" s="182"/>
      <c r="W47" s="182"/>
      <c r="X47" s="182"/>
      <c r="Y47" s="182"/>
      <c r="Z47" s="183"/>
    </row>
    <row r="48" spans="1:26" ht="14.65" thickBot="1">
      <c r="A48" s="124"/>
      <c r="B48" s="125"/>
      <c r="C48" s="80"/>
      <c r="D48" s="80"/>
      <c r="E48" s="80"/>
      <c r="F48" s="82"/>
      <c r="G48" s="126"/>
      <c r="H48" s="80"/>
      <c r="I48" s="80"/>
      <c r="J48" s="126"/>
      <c r="K48" s="127"/>
      <c r="L48" s="75"/>
      <c r="M48" s="75"/>
      <c r="N48" s="78"/>
      <c r="O48" s="167"/>
      <c r="P48" s="181"/>
      <c r="Q48" s="182"/>
      <c r="R48" s="182"/>
      <c r="S48" s="182"/>
      <c r="T48" s="182"/>
      <c r="U48" s="182"/>
      <c r="V48" s="182"/>
      <c r="W48" s="182"/>
      <c r="X48" s="182"/>
      <c r="Y48" s="182"/>
      <c r="Z48" s="183"/>
    </row>
    <row r="49" spans="1:26" ht="14.65" thickBot="1">
      <c r="A49" s="79"/>
      <c r="B49" s="80"/>
      <c r="C49" s="129" t="s">
        <v>245</v>
      </c>
      <c r="D49" s="80"/>
      <c r="E49" s="129" t="s">
        <v>246</v>
      </c>
      <c r="F49" s="130"/>
      <c r="G49" s="279" t="s">
        <v>248</v>
      </c>
      <c r="H49" s="80"/>
      <c r="I49" s="129" t="s">
        <v>211</v>
      </c>
      <c r="J49" s="80"/>
      <c r="K49" s="131" t="s">
        <v>144</v>
      </c>
      <c r="L49" s="80"/>
      <c r="M49" s="87"/>
      <c r="N49" s="81"/>
      <c r="O49" s="167"/>
      <c r="P49" s="181"/>
      <c r="Q49" s="182"/>
      <c r="R49" s="182"/>
      <c r="S49" s="182"/>
      <c r="T49" s="182"/>
      <c r="U49" s="182"/>
      <c r="V49" s="182"/>
      <c r="W49" s="182"/>
      <c r="X49" s="182"/>
      <c r="Y49" s="182"/>
      <c r="Z49" s="183"/>
    </row>
    <row r="50" spans="1:26" ht="28.9" thickBot="1">
      <c r="A50" s="131" t="s">
        <v>212</v>
      </c>
      <c r="B50" s="80"/>
      <c r="C50" s="204">
        <v>4000</v>
      </c>
      <c r="D50" s="80"/>
      <c r="E50" s="278" t="str">
        <f>_xlfn.IFS(C50 = 0, 0, AND(C50&lt;&gt;" ", C51 = 0), "11.2", AND(C50&lt;&gt;" ", C51&lt;&gt;" "), "5.6")</f>
        <v>5.6</v>
      </c>
      <c r="F50" s="80"/>
      <c r="G50" s="278" t="str">
        <f>_xlfn.IFS(E50 = 0,"0", AND(E50&lt;&gt;" ",E51&lt;&gt;0),"0.05", AND(E50&lt;&gt;" ",E51 = 0), "0.1")</f>
        <v>0.05</v>
      </c>
      <c r="H50" s="80"/>
      <c r="I50" s="133">
        <f>C50/G50*E50</f>
        <v>448000</v>
      </c>
      <c r="J50" s="80"/>
      <c r="K50" s="79"/>
      <c r="L50" s="80" t="s">
        <v>213</v>
      </c>
      <c r="M50" s="275" t="s">
        <v>250</v>
      </c>
      <c r="N50" s="277" t="s">
        <v>249</v>
      </c>
      <c r="O50" s="273"/>
      <c r="P50" s="181"/>
      <c r="Q50" s="182"/>
      <c r="R50" s="182"/>
      <c r="S50" s="182"/>
      <c r="T50" s="182"/>
      <c r="U50" s="182"/>
      <c r="V50" s="182"/>
      <c r="W50" s="182"/>
      <c r="X50" s="182"/>
      <c r="Y50" s="182"/>
      <c r="Z50" s="183"/>
    </row>
    <row r="51" spans="1:26" ht="14.65" thickBot="1">
      <c r="A51" s="131" t="s">
        <v>214</v>
      </c>
      <c r="B51" s="80"/>
      <c r="C51" s="20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271">
        <v>800000</v>
      </c>
      <c r="M51" s="276">
        <f>I50/L51</f>
        <v>0.56000000000000005</v>
      </c>
      <c r="N51" s="268">
        <f>E50-M51</f>
        <v>5.0399999999999991</v>
      </c>
      <c r="O51" s="79"/>
      <c r="P51" s="181"/>
      <c r="Q51" s="182"/>
      <c r="R51" s="182"/>
      <c r="S51" s="182"/>
      <c r="T51" s="182"/>
      <c r="U51" s="182"/>
      <c r="V51" s="182"/>
      <c r="W51" s="182"/>
      <c r="X51" s="182"/>
      <c r="Y51" s="182"/>
      <c r="Z51" s="183"/>
    </row>
    <row r="52" spans="1:26" ht="14.65" thickBot="1">
      <c r="A52" s="86"/>
      <c r="B52" s="87"/>
      <c r="C52" s="87"/>
      <c r="D52" s="87"/>
      <c r="E52" s="136"/>
      <c r="F52" s="80"/>
      <c r="G52" s="136"/>
      <c r="H52" s="136"/>
      <c r="I52" s="80"/>
      <c r="J52" s="80"/>
      <c r="K52" s="86" t="s">
        <v>216</v>
      </c>
      <c r="L52" s="271">
        <v>809000</v>
      </c>
      <c r="M52" s="272">
        <f>I51/L52</f>
        <v>0.553770086526576</v>
      </c>
      <c r="N52" s="274">
        <f>E51-0.1</f>
        <v>5.5</v>
      </c>
      <c r="O52" s="273"/>
      <c r="P52" s="181"/>
      <c r="Q52" s="182"/>
      <c r="R52" s="182"/>
      <c r="S52" s="182"/>
      <c r="T52" s="182"/>
      <c r="U52" s="182"/>
      <c r="V52" s="182"/>
      <c r="W52" s="182"/>
      <c r="X52" s="182"/>
      <c r="Y52" s="182"/>
      <c r="Z52" s="183"/>
    </row>
    <row r="53" spans="1:26" ht="14.65" thickBot="1">
      <c r="A53" s="137" t="s">
        <v>217</v>
      </c>
      <c r="B53" s="77"/>
      <c r="C53" s="77"/>
      <c r="D53" s="267">
        <v>0.52083333333333337</v>
      </c>
      <c r="E53" s="87"/>
      <c r="F53" s="87"/>
      <c r="G53" s="87"/>
      <c r="H53" s="87"/>
      <c r="I53" s="87"/>
      <c r="J53" s="87"/>
      <c r="K53" s="87"/>
      <c r="L53" s="87"/>
      <c r="M53" s="130"/>
      <c r="N53" s="269"/>
      <c r="O53" s="87"/>
      <c r="P53" s="181"/>
      <c r="Q53" s="182"/>
      <c r="R53" s="182"/>
      <c r="S53" s="182"/>
      <c r="T53" s="182"/>
      <c r="U53" s="182"/>
      <c r="V53" s="182"/>
      <c r="W53" s="182"/>
      <c r="X53" s="182"/>
      <c r="Y53" s="182"/>
      <c r="Z53" s="183"/>
    </row>
    <row r="54" spans="1:26" ht="14.65" customHeight="1" thickTop="1">
      <c r="M54" s="270"/>
      <c r="P54" s="181"/>
      <c r="Q54" s="182"/>
      <c r="R54" s="182"/>
      <c r="S54" s="182"/>
      <c r="T54" s="182"/>
      <c r="U54" s="182"/>
      <c r="V54" s="182"/>
      <c r="W54" s="182"/>
      <c r="X54" s="182"/>
      <c r="Y54" s="182"/>
      <c r="Z54" s="183"/>
    </row>
    <row r="55" spans="1:26" ht="14.65" customHeight="1">
      <c r="A55" s="11" t="s">
        <v>219</v>
      </c>
      <c r="B55" s="11"/>
      <c r="C55" s="11" t="str">
        <f>CONCATENATE((R8),U8)</f>
        <v>AmaxaCB-150</v>
      </c>
      <c r="P55" s="181"/>
      <c r="Q55" s="182"/>
      <c r="R55" s="182"/>
      <c r="S55" s="182"/>
      <c r="T55" s="182"/>
      <c r="U55" s="182"/>
      <c r="V55" s="182"/>
      <c r="W55" s="182"/>
      <c r="X55" s="182"/>
      <c r="Y55" s="182"/>
      <c r="Z55" s="183"/>
    </row>
    <row r="56" spans="1:26" ht="14.65" customHeight="1" thickBot="1">
      <c r="P56" s="184"/>
      <c r="Q56" s="185"/>
      <c r="R56" s="185"/>
      <c r="S56" s="185"/>
      <c r="T56" s="185"/>
      <c r="U56" s="185"/>
      <c r="V56" s="185"/>
      <c r="W56" s="185"/>
      <c r="X56" s="185"/>
      <c r="Y56" s="185"/>
      <c r="Z56" s="186"/>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139" priority="62">
      <formula>"row is even"</formula>
    </cfRule>
  </conditionalFormatting>
  <conditionalFormatting sqref="B10 A6:F6">
    <cfRule type="expression" priority="69">
      <formula>"row if val(a..) EVEN"</formula>
    </cfRule>
    <cfRule type="expression" dxfId="138" priority="70">
      <formula>"row is even"</formula>
    </cfRule>
  </conditionalFormatting>
  <conditionalFormatting sqref="D5">
    <cfRule type="expression" priority="67">
      <formula>"row if val(a..) EVEN"</formula>
    </cfRule>
    <cfRule type="expression" dxfId="137" priority="68">
      <formula>"row is even"</formula>
    </cfRule>
  </conditionalFormatting>
  <conditionalFormatting sqref="E10">
    <cfRule type="expression" priority="65">
      <formula>"row if val(a..) EVEN"</formula>
    </cfRule>
    <cfRule type="expression" dxfId="136" priority="66">
      <formula>"row is even"</formula>
    </cfRule>
  </conditionalFormatting>
  <conditionalFormatting sqref="C10">
    <cfRule type="expression" priority="63">
      <formula>"row if val(a..) EVEN"</formula>
    </cfRule>
    <cfRule type="expression" dxfId="135" priority="64">
      <formula>"row is even"</formula>
    </cfRule>
  </conditionalFormatting>
  <conditionalFormatting sqref="Q6 P4 S6 P2:Q2 S2:U2 P5:T5">
    <cfRule type="expression" priority="19">
      <formula>"row if val(a..) EVEN"</formula>
    </cfRule>
    <cfRule type="expression" dxfId="134" priority="20">
      <formula>"row is even"</formula>
    </cfRule>
  </conditionalFormatting>
  <conditionalFormatting sqref="Q4 T6">
    <cfRule type="expression" priority="21">
      <formula>"row if val(a..) EVEN"</formula>
    </cfRule>
    <cfRule type="expression" dxfId="133" priority="22">
      <formula>"row is even"</formula>
    </cfRule>
  </conditionalFormatting>
  <conditionalFormatting sqref="H8:I8 A7 C7">
    <cfRule type="expression" priority="15">
      <formula>"row if val(a..) EVEN"</formula>
    </cfRule>
    <cfRule type="expression" dxfId="132" priority="16">
      <formula>"row is even"</formula>
    </cfRule>
  </conditionalFormatting>
  <conditionalFormatting sqref="E8:F8 A8 G7">
    <cfRule type="expression" priority="17">
      <formula>"row if val(a..) EVEN"</formula>
    </cfRule>
    <cfRule type="expression" dxfId="131" priority="18">
      <formula>"row is even"</formula>
    </cfRule>
  </conditionalFormatting>
  <conditionalFormatting sqref="A11:I11">
    <cfRule type="expression" priority="13">
      <formula>"row if val(a..) EVEN"</formula>
    </cfRule>
    <cfRule type="expression" dxfId="130" priority="14">
      <formula>"row is even"</formula>
    </cfRule>
  </conditionalFormatting>
  <conditionalFormatting sqref="R4">
    <cfRule type="expression" priority="11">
      <formula>"row if val(a..) EVEN"</formula>
    </cfRule>
    <cfRule type="expression" dxfId="129" priority="12">
      <formula>"row is even"</formula>
    </cfRule>
  </conditionalFormatting>
  <conditionalFormatting sqref="V6">
    <cfRule type="expression" priority="9">
      <formula>"row if val(a..) EVEN"</formula>
    </cfRule>
    <cfRule type="expression" dxfId="128" priority="10">
      <formula>"row is even"</formula>
    </cfRule>
  </conditionalFormatting>
  <conditionalFormatting sqref="J6:M6 L7:M8 J9:M9">
    <cfRule type="expression" priority="5">
      <formula>"row if val(a..) EVEN"</formula>
    </cfRule>
    <cfRule type="expression" dxfId="127" priority="6">
      <formula>"row is even"</formula>
    </cfRule>
  </conditionalFormatting>
  <conditionalFormatting sqref="J10">
    <cfRule type="expression" priority="7">
      <formula>"row if val(a..) EVEN"</formula>
    </cfRule>
    <cfRule type="expression" dxfId="126" priority="8">
      <formula>"row is even"</formula>
    </cfRule>
  </conditionalFormatting>
  <conditionalFormatting sqref="J8:K8">
    <cfRule type="expression" priority="3">
      <formula>"row if val(a..) EVEN"</formula>
    </cfRule>
    <cfRule type="expression" dxfId="125" priority="4">
      <formula>"row is even"</formula>
    </cfRule>
  </conditionalFormatting>
  <conditionalFormatting sqref="J11:K11">
    <cfRule type="expression" priority="1">
      <formula>"row if val(a..) EVEN"</formula>
    </cfRule>
    <cfRule type="expression" dxfId="124"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50157-3B3B-482C-9C35-FA9B625C42B5}">
  <sheetPr codeName="WSMetadataTemplate6"/>
  <dimension ref="A1:AI59"/>
  <sheetViews>
    <sheetView showGridLines="0" topLeftCell="A11" zoomScale="82" zoomScaleNormal="82"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326" t="s">
        <v>42</v>
      </c>
      <c r="R2" s="205"/>
      <c r="S2" s="206" t="s">
        <v>5</v>
      </c>
      <c r="T2" s="326" t="s">
        <v>6</v>
      </c>
      <c r="U2" s="14"/>
      <c r="V2" s="14"/>
      <c r="W2" s="14"/>
      <c r="X2" s="14"/>
      <c r="Y2" s="14"/>
      <c r="Z2" s="207"/>
      <c r="AA2" s="207"/>
      <c r="AB2" s="207"/>
      <c r="AC2" s="207"/>
    </row>
    <row r="3" spans="1:35" ht="14.65" thickBot="1">
      <c r="A3" s="9"/>
      <c r="B3" s="9"/>
      <c r="C3" s="9"/>
      <c r="D3" s="9"/>
      <c r="E3" s="9"/>
      <c r="F3" s="9"/>
      <c r="G3" s="9"/>
      <c r="H3" s="9"/>
      <c r="I3" s="9"/>
      <c r="J3" s="9"/>
      <c r="K3" s="9"/>
      <c r="L3" s="9"/>
      <c r="P3" s="8"/>
      <c r="Q3" s="14"/>
      <c r="R3" s="14"/>
      <c r="S3" s="14"/>
      <c r="T3" s="14"/>
      <c r="U3" s="14"/>
      <c r="V3" s="14"/>
      <c r="W3" s="14"/>
      <c r="X3" s="14"/>
      <c r="Y3" s="14"/>
      <c r="Z3" s="207"/>
      <c r="AA3" s="207"/>
      <c r="AB3" s="207"/>
      <c r="AC3" s="207"/>
    </row>
    <row r="4" spans="1:35" ht="14.25">
      <c r="A4" s="72" t="s">
        <v>174</v>
      </c>
      <c r="B4" s="66" t="s">
        <v>165</v>
      </c>
      <c r="C4" s="66"/>
      <c r="D4" s="326" t="s">
        <v>1</v>
      </c>
      <c r="E4" s="66"/>
      <c r="F4" s="66"/>
      <c r="G4" s="66"/>
      <c r="H4" s="66"/>
      <c r="I4" s="66"/>
      <c r="J4" s="373"/>
      <c r="K4" s="373"/>
      <c r="L4" s="373"/>
      <c r="M4" s="406"/>
      <c r="P4" s="45" t="s">
        <v>167</v>
      </c>
      <c r="Q4" s="208"/>
      <c r="R4" s="209" t="s">
        <v>220</v>
      </c>
      <c r="S4" s="210" t="s">
        <v>221</v>
      </c>
      <c r="T4" s="533" t="s">
        <v>168</v>
      </c>
      <c r="U4" s="533"/>
      <c r="V4" s="211"/>
      <c r="W4" s="14"/>
      <c r="X4" s="14"/>
      <c r="Y4" s="14"/>
      <c r="Z4" s="207"/>
      <c r="AA4" s="207"/>
      <c r="AB4" s="207"/>
      <c r="AC4" s="207"/>
    </row>
    <row r="5" spans="1:35" ht="14.25">
      <c r="A5" s="66"/>
      <c r="B5" s="66" t="s">
        <v>2</v>
      </c>
      <c r="C5" s="66"/>
      <c r="D5" s="187" t="s">
        <v>251</v>
      </c>
      <c r="E5" s="66"/>
      <c r="F5" s="66"/>
      <c r="G5" s="66"/>
      <c r="H5" s="66"/>
      <c r="I5" s="66"/>
      <c r="J5" s="374"/>
      <c r="K5" s="403"/>
      <c r="L5" s="403"/>
      <c r="M5" s="407"/>
      <c r="P5" s="48" t="s">
        <v>7</v>
      </c>
      <c r="Q5" s="212"/>
      <c r="R5" s="209" t="s">
        <v>43</v>
      </c>
      <c r="S5" s="213" t="s">
        <v>11</v>
      </c>
      <c r="T5" s="326">
        <v>41</v>
      </c>
      <c r="U5" s="14"/>
      <c r="V5" s="214"/>
      <c r="W5" s="14"/>
      <c r="X5" s="14"/>
      <c r="Y5" s="14"/>
      <c r="Z5" s="207"/>
      <c r="AA5" s="207"/>
      <c r="AB5" s="207"/>
      <c r="AC5" s="207"/>
    </row>
    <row r="6" spans="1:35" ht="14.65" thickBot="1">
      <c r="A6" s="66"/>
      <c r="B6" s="66"/>
      <c r="C6" s="139"/>
      <c r="D6" s="140"/>
      <c r="E6" s="66"/>
      <c r="F6" s="66"/>
      <c r="G6" s="66"/>
      <c r="H6" s="66"/>
      <c r="I6" s="66"/>
      <c r="J6" s="374"/>
      <c r="K6" s="403"/>
      <c r="L6" s="403"/>
      <c r="M6" s="407"/>
      <c r="N6" s="42"/>
      <c r="O6" s="42"/>
      <c r="P6" s="51" t="s">
        <v>169</v>
      </c>
      <c r="Q6" s="209" t="s">
        <v>44</v>
      </c>
      <c r="R6" s="215" t="s">
        <v>170</v>
      </c>
      <c r="S6" s="209" t="s">
        <v>44</v>
      </c>
      <c r="T6" s="216" t="s">
        <v>12</v>
      </c>
      <c r="U6" s="217"/>
      <c r="V6" s="209"/>
      <c r="W6" s="14"/>
      <c r="X6" s="14"/>
      <c r="Y6" s="14"/>
      <c r="Z6" s="207"/>
      <c r="AA6" s="207"/>
      <c r="AB6" s="207"/>
      <c r="AC6" s="207"/>
    </row>
    <row r="7" spans="1:35" ht="14.65" thickBot="1">
      <c r="A7" s="66"/>
      <c r="B7" s="68" t="s">
        <v>8</v>
      </c>
      <c r="C7" s="209" t="s">
        <v>172</v>
      </c>
      <c r="D7" s="66" t="s">
        <v>9</v>
      </c>
      <c r="E7" s="329">
        <v>1</v>
      </c>
      <c r="F7" s="66"/>
      <c r="G7" s="68" t="s">
        <v>10</v>
      </c>
      <c r="H7" s="67">
        <f>T5+1+E7</f>
        <v>43</v>
      </c>
      <c r="I7" s="66"/>
      <c r="J7" s="374"/>
      <c r="K7" s="403"/>
      <c r="L7" s="403"/>
      <c r="M7" s="407"/>
      <c r="N7" s="42"/>
      <c r="O7" s="42"/>
      <c r="P7" s="8"/>
      <c r="Q7" s="14"/>
      <c r="R7" s="14"/>
      <c r="S7" s="14"/>
      <c r="T7" s="14"/>
      <c r="U7" s="14"/>
      <c r="V7" s="14"/>
      <c r="W7" s="14"/>
      <c r="X7" s="14"/>
      <c r="Y7" s="14"/>
      <c r="Z7" s="207"/>
      <c r="AA7" s="207"/>
      <c r="AB7" s="207"/>
      <c r="AC7" s="207"/>
    </row>
    <row r="8" spans="1:35" ht="14.65" thickBot="1">
      <c r="A8" s="66"/>
      <c r="B8" s="66" t="s">
        <v>173</v>
      </c>
      <c r="C8" s="66"/>
      <c r="D8" s="329">
        <v>20200102</v>
      </c>
      <c r="E8" s="66"/>
      <c r="F8" s="66"/>
      <c r="G8" s="66"/>
      <c r="H8" s="66"/>
      <c r="I8" s="66"/>
      <c r="J8" s="374"/>
      <c r="K8" s="403"/>
      <c r="L8" s="403"/>
      <c r="M8" s="407"/>
      <c r="N8" s="42"/>
      <c r="O8" s="42"/>
      <c r="P8" s="143" t="s">
        <v>171</v>
      </c>
      <c r="Q8" s="205"/>
      <c r="R8" s="326" t="s">
        <v>32</v>
      </c>
      <c r="S8" s="218" t="s">
        <v>33</v>
      </c>
      <c r="T8" s="205"/>
      <c r="U8" s="326" t="s">
        <v>34</v>
      </c>
      <c r="V8" s="219" t="s">
        <v>35</v>
      </c>
      <c r="W8" s="205"/>
      <c r="X8" s="326" t="s">
        <v>36</v>
      </c>
      <c r="Y8" s="14"/>
      <c r="Z8" s="207"/>
      <c r="AA8" s="207"/>
      <c r="AB8" s="207"/>
      <c r="AC8" s="207"/>
    </row>
    <row r="9" spans="1:35" ht="14.65" thickBot="1">
      <c r="A9" s="19"/>
      <c r="B9" s="19"/>
      <c r="C9" s="19"/>
      <c r="D9" s="19"/>
      <c r="E9" s="19"/>
      <c r="F9" s="19"/>
      <c r="G9" s="69"/>
      <c r="H9" s="19"/>
      <c r="I9" s="19"/>
      <c r="J9" s="8"/>
      <c r="K9" s="10"/>
      <c r="L9" s="404"/>
      <c r="M9" s="408"/>
      <c r="N9" s="42"/>
      <c r="O9" s="42"/>
      <c r="P9" s="8"/>
      <c r="Q9" s="14"/>
      <c r="R9" s="14"/>
      <c r="S9" s="14"/>
      <c r="T9" s="14"/>
      <c r="U9" s="14"/>
      <c r="V9" s="14"/>
      <c r="W9" s="14"/>
      <c r="X9" s="14"/>
      <c r="Y9" s="14"/>
      <c r="Z9" s="207"/>
      <c r="AA9" s="207"/>
      <c r="AB9" s="207"/>
      <c r="AC9" s="207"/>
    </row>
    <row r="10" spans="1:35" ht="14.25">
      <c r="A10" s="9"/>
      <c r="B10" s="19"/>
      <c r="C10" s="70"/>
      <c r="D10" s="17"/>
      <c r="E10" s="70"/>
      <c r="F10" s="69"/>
      <c r="G10" s="69"/>
      <c r="H10" s="69"/>
      <c r="I10" s="69"/>
      <c r="J10" s="375"/>
      <c r="K10" s="10"/>
      <c r="L10" s="10"/>
      <c r="M10" s="195"/>
      <c r="P10" s="55" t="s">
        <v>13</v>
      </c>
      <c r="Q10" s="220"/>
      <c r="R10" s="220"/>
      <c r="S10" s="558" t="s">
        <v>14</v>
      </c>
      <c r="T10" s="559"/>
      <c r="U10" s="559"/>
      <c r="V10" s="221" t="s">
        <v>15</v>
      </c>
      <c r="W10" s="328" t="s">
        <v>16</v>
      </c>
      <c r="X10" s="208"/>
      <c r="Y10" s="208"/>
      <c r="Z10" s="223"/>
      <c r="AA10" s="223"/>
      <c r="AB10" s="223"/>
      <c r="AC10" s="224"/>
    </row>
    <row r="11" spans="1:35" ht="14.25">
      <c r="A11" s="71"/>
      <c r="B11" s="141" t="s">
        <v>22</v>
      </c>
      <c r="C11" s="64"/>
      <c r="D11" s="326" t="s">
        <v>23</v>
      </c>
      <c r="E11" s="64"/>
      <c r="F11" s="65" t="s">
        <v>24</v>
      </c>
      <c r="G11" s="326" t="s">
        <v>25</v>
      </c>
      <c r="H11" s="71" t="str">
        <f>IF(G11="m-Cherry","mCh",IF(G11="eGFP","GFP",""))</f>
        <v>mCh</v>
      </c>
      <c r="I11" s="71"/>
      <c r="J11" s="376"/>
      <c r="K11" s="405"/>
      <c r="L11" s="412" t="str">
        <f>IF(ISNUMBER(SEARCH(D11,S10)),"","CHECK PLASMID INFO")</f>
        <v/>
      </c>
      <c r="M11" s="409"/>
      <c r="P11" s="58"/>
      <c r="Q11" s="225"/>
      <c r="R11" s="225"/>
      <c r="S11" s="226"/>
      <c r="T11" s="227"/>
      <c r="U11" s="227"/>
      <c r="V11" s="227"/>
      <c r="W11" s="227"/>
      <c r="X11" s="227"/>
      <c r="Y11" s="227"/>
      <c r="Z11" s="228"/>
      <c r="AA11" s="228"/>
      <c r="AB11" s="228"/>
      <c r="AC11" s="229"/>
    </row>
    <row r="12" spans="1:35" ht="14.25">
      <c r="A12" s="71"/>
      <c r="B12" s="64" t="s">
        <v>26</v>
      </c>
      <c r="C12" s="64"/>
      <c r="D12" s="326" t="s">
        <v>27</v>
      </c>
      <c r="E12" s="71"/>
      <c r="F12" s="71"/>
      <c r="G12" s="71"/>
      <c r="H12" s="71"/>
      <c r="I12" s="71"/>
      <c r="J12" s="376"/>
      <c r="K12" s="405"/>
      <c r="L12" s="413" t="str">
        <f>IF(ISNUMBER(SEARCH(G11,S12)),"","CHECK PLASMID INFO")</f>
        <v/>
      </c>
      <c r="M12" s="409"/>
      <c r="P12" s="199"/>
      <c r="Q12" s="230" t="s">
        <v>17</v>
      </c>
      <c r="R12" s="231"/>
      <c r="S12" s="534" t="s">
        <v>25</v>
      </c>
      <c r="T12" s="534"/>
      <c r="U12" s="232"/>
      <c r="V12" s="233"/>
      <c r="W12" s="534" t="s">
        <v>240</v>
      </c>
      <c r="X12" s="534"/>
      <c r="Y12" s="232"/>
      <c r="Z12" s="233"/>
      <c r="AA12" s="534" t="s">
        <v>241</v>
      </c>
      <c r="AB12" s="534"/>
      <c r="AC12" s="234"/>
      <c r="AD12" s="202"/>
    </row>
    <row r="13" spans="1:35" ht="14.25">
      <c r="A13" s="71"/>
      <c r="B13" s="64" t="s">
        <v>29</v>
      </c>
      <c r="C13" s="64"/>
      <c r="D13" s="326" t="s">
        <v>30</v>
      </c>
      <c r="E13" s="71"/>
      <c r="F13" s="71"/>
      <c r="G13" s="65" t="s">
        <v>15</v>
      </c>
      <c r="H13" s="326" t="s">
        <v>28</v>
      </c>
      <c r="I13" s="71"/>
      <c r="J13" s="402"/>
      <c r="K13" s="321" t="s">
        <v>546</v>
      </c>
      <c r="L13" s="422" t="s">
        <v>550</v>
      </c>
      <c r="M13" s="410"/>
      <c r="P13" s="200"/>
      <c r="Q13" s="235"/>
      <c r="R13" s="231" t="s">
        <v>239</v>
      </c>
      <c r="S13" s="534" t="s">
        <v>19</v>
      </c>
      <c r="T13" s="534"/>
      <c r="U13" s="534"/>
      <c r="V13" s="233"/>
      <c r="W13" s="534" t="s">
        <v>548</v>
      </c>
      <c r="X13" s="534"/>
      <c r="Y13" s="534"/>
      <c r="Z13" s="233"/>
      <c r="AA13" s="534" t="s">
        <v>14</v>
      </c>
      <c r="AB13" s="534"/>
      <c r="AC13" s="534"/>
    </row>
    <row r="14" spans="1:35" ht="14.65" thickBot="1">
      <c r="A14" s="71"/>
      <c r="B14" s="64"/>
      <c r="C14" s="64"/>
      <c r="D14" s="71"/>
      <c r="E14" s="71"/>
      <c r="F14" s="71"/>
      <c r="G14" s="71"/>
      <c r="H14" s="71"/>
      <c r="I14" s="71"/>
      <c r="J14" s="377"/>
      <c r="K14" s="377"/>
      <c r="L14" s="377"/>
      <c r="M14" s="411"/>
      <c r="N14" s="169"/>
      <c r="P14" s="200"/>
      <c r="Q14" s="235"/>
      <c r="R14" s="231" t="s">
        <v>15</v>
      </c>
      <c r="S14" s="327" t="s">
        <v>16</v>
      </c>
      <c r="T14" s="232"/>
      <c r="U14" s="232"/>
      <c r="V14" s="233"/>
      <c r="W14" s="534" t="s">
        <v>21</v>
      </c>
      <c r="X14" s="534"/>
      <c r="Y14" s="232"/>
      <c r="Z14" s="233"/>
      <c r="AA14" s="534" t="s">
        <v>16</v>
      </c>
      <c r="AB14" s="534"/>
      <c r="AC14" s="234"/>
      <c r="AD14" s="202"/>
    </row>
    <row r="15" spans="1:35" ht="14.65" thickBot="1">
      <c r="A15" s="9"/>
      <c r="B15" s="9"/>
      <c r="C15" s="9"/>
      <c r="D15" s="9"/>
      <c r="E15" s="9"/>
      <c r="F15" s="9"/>
      <c r="G15" s="9"/>
      <c r="H15" s="9"/>
      <c r="I15" s="9"/>
      <c r="J15" s="9"/>
      <c r="K15" s="9"/>
      <c r="L15" s="9"/>
      <c r="P15" s="60"/>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2</v>
      </c>
      <c r="D19" s="147" t="s">
        <v>178</v>
      </c>
      <c r="E19" s="148" t="s">
        <v>226</v>
      </c>
      <c r="F19" s="80"/>
      <c r="G19" s="80"/>
      <c r="H19" s="81"/>
    </row>
    <row r="20" spans="1:26" ht="14.25">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54" t="s">
        <v>254</v>
      </c>
      <c r="Q21" s="555"/>
      <c r="R21" s="555"/>
      <c r="S21" s="555"/>
      <c r="T21" s="555"/>
      <c r="U21" s="555"/>
      <c r="V21" s="555"/>
      <c r="W21" s="556"/>
    </row>
    <row r="22" spans="1:26" ht="14.25">
      <c r="A22" s="79"/>
      <c r="B22" s="80" t="s">
        <v>229</v>
      </c>
      <c r="C22" s="80"/>
      <c r="D22" s="80"/>
      <c r="E22" s="80">
        <f>E50+E51</f>
        <v>11.2</v>
      </c>
      <c r="F22" s="80"/>
      <c r="G22" s="80" t="s">
        <v>181</v>
      </c>
      <c r="H22" s="81"/>
      <c r="P22" s="557"/>
      <c r="Q22" s="557"/>
      <c r="R22" s="557"/>
      <c r="S22" s="557"/>
      <c r="T22" s="557"/>
      <c r="U22" s="557"/>
      <c r="V22" s="557"/>
      <c r="W22" s="557"/>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24.2</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25">
      <c r="P27" s="11" t="s">
        <v>234</v>
      </c>
    </row>
    <row r="28" spans="1:26" ht="14.65" thickBot="1">
      <c r="A28" s="258" t="s">
        <v>174</v>
      </c>
      <c r="B28" s="91" t="s">
        <v>182</v>
      </c>
      <c r="C28" s="92"/>
      <c r="D28" s="92"/>
      <c r="E28" s="92"/>
      <c r="F28" s="92"/>
      <c r="G28" s="92"/>
      <c r="H28" s="92"/>
      <c r="I28" s="92" t="s">
        <v>183</v>
      </c>
      <c r="J28" s="92"/>
      <c r="K28" s="92"/>
      <c r="L28" s="92"/>
      <c r="M28" s="92"/>
      <c r="P28" s="329"/>
      <c r="Q28" s="329"/>
      <c r="R28" s="329"/>
      <c r="S28" s="329"/>
      <c r="T28" s="329"/>
      <c r="U28" s="329"/>
      <c r="V28" s="329"/>
      <c r="W28" s="329"/>
      <c r="X28" s="329"/>
      <c r="Y28" s="329"/>
      <c r="Z28" s="329"/>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329"/>
      <c r="Q29" s="329"/>
      <c r="R29" s="329"/>
      <c r="S29" s="329"/>
      <c r="T29" s="329"/>
      <c r="U29" s="329"/>
      <c r="V29" s="329"/>
      <c r="W29" s="329"/>
      <c r="X29" s="329"/>
      <c r="Y29" s="329"/>
      <c r="Z29" s="329"/>
    </row>
    <row r="30" spans="1:26" ht="14.65">
      <c r="A30" s="99" t="s">
        <v>188</v>
      </c>
      <c r="B30" s="259" t="s">
        <v>189</v>
      </c>
      <c r="C30" s="92"/>
      <c r="D30" s="100" t="s">
        <v>190</v>
      </c>
      <c r="E30" s="260">
        <v>2</v>
      </c>
      <c r="F30" s="101" t="s">
        <v>191</v>
      </c>
      <c r="G30" s="156">
        <v>20</v>
      </c>
      <c r="H30" s="153" t="s">
        <v>192</v>
      </c>
      <c r="I30" s="158">
        <f>G30/J30</f>
        <v>10</v>
      </c>
      <c r="J30" s="261">
        <v>2</v>
      </c>
      <c r="K30" s="153" t="s">
        <v>192</v>
      </c>
      <c r="L30" s="161">
        <f>((E30*0.000000001)/(J30*0.000001))*1000</f>
        <v>1</v>
      </c>
      <c r="M30" s="102"/>
      <c r="P30" s="329"/>
      <c r="Q30" s="329"/>
      <c r="R30" s="329"/>
      <c r="S30" s="329"/>
      <c r="T30" s="329"/>
      <c r="U30" s="329"/>
      <c r="V30" s="329"/>
      <c r="W30" s="329"/>
      <c r="X30" s="329"/>
      <c r="Y30" s="329"/>
      <c r="Z30" s="329"/>
    </row>
    <row r="31" spans="1:26" ht="14.65">
      <c r="A31" s="103"/>
      <c r="B31" s="92"/>
      <c r="C31" s="92"/>
      <c r="D31" s="100" t="s">
        <v>193</v>
      </c>
      <c r="E31" s="151">
        <f>E30*RIGHT(B30)</f>
        <v>6</v>
      </c>
      <c r="F31" s="150" t="s">
        <v>194</v>
      </c>
      <c r="G31" s="152">
        <v>20</v>
      </c>
      <c r="H31" s="153" t="s">
        <v>192</v>
      </c>
      <c r="I31" s="157">
        <f>G31/J31</f>
        <v>10</v>
      </c>
      <c r="J31" s="262">
        <v>2</v>
      </c>
      <c r="K31" s="153" t="s">
        <v>192</v>
      </c>
      <c r="L31" s="162">
        <f>((E31*0.000000001)/(J31*0.000001))*1000</f>
        <v>3.0000000000000004</v>
      </c>
      <c r="M31" s="102"/>
      <c r="P31" s="329"/>
      <c r="Q31" s="329"/>
      <c r="R31" s="329"/>
      <c r="S31" s="329"/>
      <c r="T31" s="329"/>
      <c r="U31" s="329"/>
      <c r="V31" s="329"/>
      <c r="W31" s="329"/>
      <c r="X31" s="329"/>
      <c r="Y31" s="329"/>
      <c r="Z31" s="329"/>
    </row>
    <row r="32" spans="1:26" ht="15" thickBot="1">
      <c r="A32" s="103"/>
      <c r="B32" s="92"/>
      <c r="C32" s="92"/>
      <c r="D32" s="104" t="s">
        <v>195</v>
      </c>
      <c r="E32" s="172">
        <v>0.2</v>
      </c>
      <c r="F32" s="105" t="s">
        <v>196</v>
      </c>
      <c r="G32" s="173">
        <v>0.6</v>
      </c>
      <c r="H32" s="154" t="s">
        <v>197</v>
      </c>
      <c r="I32" s="159">
        <f>G32/J32</f>
        <v>2.9999999999999996</v>
      </c>
      <c r="J32" s="263">
        <v>0.2</v>
      </c>
      <c r="K32" s="154" t="s">
        <v>197</v>
      </c>
      <c r="L32" s="163">
        <f>E32/J32</f>
        <v>1</v>
      </c>
      <c r="M32" s="102"/>
      <c r="P32" s="329"/>
      <c r="Q32" s="329"/>
      <c r="R32" s="329"/>
      <c r="S32" s="329"/>
      <c r="T32" s="329"/>
      <c r="U32" s="329"/>
      <c r="V32" s="329"/>
      <c r="W32" s="329"/>
      <c r="X32" s="329"/>
      <c r="Y32" s="329"/>
      <c r="Z32" s="329"/>
    </row>
    <row r="33" spans="1:30" ht="14.65" thickBot="1">
      <c r="A33" s="103"/>
      <c r="B33" s="92"/>
      <c r="C33" s="92"/>
      <c r="D33" s="92"/>
      <c r="E33" s="92"/>
      <c r="F33" s="92"/>
      <c r="G33" s="92"/>
      <c r="H33" s="92"/>
      <c r="I33" s="97"/>
      <c r="J33" s="92"/>
      <c r="K33" s="92"/>
      <c r="L33" s="92"/>
      <c r="M33" s="102"/>
      <c r="P33" s="329"/>
      <c r="Q33" s="329"/>
      <c r="R33" s="329"/>
      <c r="S33" s="329"/>
      <c r="T33" s="329"/>
      <c r="U33" s="329"/>
      <c r="V33" s="329"/>
      <c r="W33" s="329"/>
      <c r="X33" s="329"/>
      <c r="Y33" s="329"/>
      <c r="Z33" s="329"/>
      <c r="AD33" s="190"/>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329"/>
      <c r="Q34" s="329"/>
      <c r="R34" s="329"/>
      <c r="S34" s="329"/>
      <c r="T34" s="329"/>
      <c r="U34" s="329"/>
      <c r="V34" s="329"/>
      <c r="W34" s="329"/>
      <c r="X34" s="329"/>
      <c r="Y34" s="329"/>
      <c r="Z34" s="329"/>
    </row>
    <row r="35" spans="1:30" ht="14.65" thickBot="1">
      <c r="A35" s="109"/>
      <c r="B35" s="110"/>
      <c r="C35" s="110"/>
      <c r="D35" s="110"/>
      <c r="E35" s="110"/>
      <c r="F35" s="110"/>
      <c r="G35" s="110"/>
      <c r="H35" s="111"/>
      <c r="I35" s="110"/>
      <c r="J35" s="110"/>
      <c r="K35" s="110"/>
      <c r="L35" s="110"/>
      <c r="M35" s="112"/>
      <c r="P35" s="329"/>
      <c r="Q35" s="329"/>
      <c r="R35" s="329"/>
      <c r="S35" s="329"/>
      <c r="T35" s="329"/>
      <c r="U35" s="329"/>
      <c r="V35" s="329"/>
      <c r="W35" s="329"/>
      <c r="X35" s="329"/>
      <c r="Y35" s="329"/>
      <c r="Z35" s="329"/>
    </row>
    <row r="36" spans="1:30" ht="14.25">
      <c r="A36" s="93" t="s">
        <v>199</v>
      </c>
      <c r="B36" s="97"/>
      <c r="C36" s="97">
        <v>20</v>
      </c>
      <c r="D36" s="97" t="s">
        <v>200</v>
      </c>
      <c r="E36" s="97"/>
      <c r="F36" s="97"/>
      <c r="G36" s="97"/>
      <c r="H36" s="97"/>
      <c r="I36" s="97"/>
      <c r="J36" s="97"/>
      <c r="K36" s="113"/>
      <c r="L36" s="97"/>
      <c r="M36" s="114"/>
      <c r="P36" s="329"/>
      <c r="Q36" s="329"/>
      <c r="R36" s="329"/>
      <c r="S36" s="329"/>
      <c r="T36" s="329"/>
      <c r="U36" s="329"/>
      <c r="V36" s="329"/>
      <c r="W36" s="329"/>
      <c r="X36" s="329"/>
      <c r="Y36" s="329"/>
      <c r="Z36" s="329"/>
    </row>
    <row r="37" spans="1:30" ht="14.65" thickBot="1">
      <c r="A37" s="103" t="s">
        <v>201</v>
      </c>
      <c r="B37" s="92"/>
      <c r="C37" s="115">
        <f>L34</f>
        <v>5</v>
      </c>
      <c r="D37" s="92" t="s">
        <v>200</v>
      </c>
      <c r="E37" s="92"/>
      <c r="F37" s="92"/>
      <c r="G37" s="92"/>
      <c r="H37" s="92"/>
      <c r="I37" s="92"/>
      <c r="J37" s="92"/>
      <c r="K37" s="92"/>
      <c r="L37" s="92"/>
      <c r="M37" s="116"/>
      <c r="P37" s="329"/>
      <c r="Q37" s="329"/>
      <c r="R37" s="329"/>
      <c r="S37" s="329"/>
      <c r="T37" s="329"/>
      <c r="U37" s="329"/>
      <c r="V37" s="329"/>
      <c r="W37" s="329"/>
      <c r="X37" s="329"/>
      <c r="Y37" s="329"/>
      <c r="Z37" s="329"/>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329"/>
      <c r="Q38" s="329"/>
      <c r="R38" s="329"/>
      <c r="S38" s="329"/>
      <c r="T38" s="329"/>
      <c r="U38" s="329"/>
      <c r="V38" s="329"/>
      <c r="W38" s="329"/>
      <c r="X38" s="329"/>
      <c r="Y38" s="329"/>
      <c r="Z38" s="329"/>
    </row>
    <row r="39" spans="1:30" ht="14.65" thickBot="1">
      <c r="A39" s="109"/>
      <c r="B39" s="110"/>
      <c r="C39" s="110"/>
      <c r="D39" s="110"/>
      <c r="E39" s="110"/>
      <c r="F39" s="110"/>
      <c r="G39" s="110"/>
      <c r="H39" s="110"/>
      <c r="I39" s="110"/>
      <c r="J39" s="110"/>
      <c r="K39" s="110"/>
      <c r="L39" s="110"/>
      <c r="M39" s="119"/>
      <c r="P39" s="329"/>
      <c r="Q39" s="329"/>
      <c r="R39" s="329"/>
      <c r="S39" s="329"/>
      <c r="T39" s="329"/>
      <c r="U39" s="329"/>
      <c r="V39" s="329"/>
      <c r="W39" s="329"/>
      <c r="X39" s="329"/>
      <c r="Y39" s="329"/>
      <c r="Z39" s="329"/>
    </row>
    <row r="40" spans="1:30" ht="14.25">
      <c r="A40" s="92"/>
      <c r="B40" s="92"/>
      <c r="C40" s="92"/>
      <c r="D40" s="92"/>
      <c r="E40" s="92"/>
      <c r="F40" s="92"/>
      <c r="G40" s="92"/>
      <c r="H40" s="92"/>
      <c r="I40" s="92"/>
      <c r="J40" s="92"/>
      <c r="K40" s="92"/>
      <c r="L40" s="92"/>
      <c r="M40" s="116"/>
      <c r="P40" s="329"/>
      <c r="Q40" s="329"/>
      <c r="R40" s="329"/>
      <c r="S40" s="329"/>
      <c r="T40" s="329"/>
      <c r="U40" s="329"/>
      <c r="V40" s="329"/>
      <c r="W40" s="329"/>
      <c r="X40" s="329"/>
      <c r="Y40" s="329"/>
      <c r="Z40" s="329"/>
    </row>
    <row r="41" spans="1:30" ht="14.25">
      <c r="A41" s="92" t="s">
        <v>203</v>
      </c>
      <c r="B41" s="92"/>
      <c r="C41" s="120">
        <f>E30</f>
        <v>2</v>
      </c>
      <c r="D41" s="92"/>
      <c r="E41" s="121" t="s">
        <v>190</v>
      </c>
      <c r="F41" s="168">
        <f>E30</f>
        <v>2</v>
      </c>
      <c r="G41" s="92"/>
      <c r="H41" s="92"/>
      <c r="I41" s="92"/>
      <c r="J41" s="92"/>
      <c r="K41" s="92"/>
      <c r="L41" s="92"/>
      <c r="M41" s="116"/>
      <c r="P41" s="329"/>
      <c r="Q41" s="329"/>
      <c r="R41" s="329"/>
      <c r="S41" s="329"/>
      <c r="T41" s="329"/>
      <c r="U41" s="329"/>
      <c r="V41" s="329"/>
      <c r="W41" s="329"/>
      <c r="X41" s="329"/>
      <c r="Y41" s="329"/>
      <c r="Z41" s="329"/>
    </row>
    <row r="42" spans="1:30" ht="14.65">
      <c r="A42" s="92" t="s">
        <v>235</v>
      </c>
      <c r="B42" s="92"/>
      <c r="C42" s="174">
        <v>400000</v>
      </c>
      <c r="D42" s="92"/>
      <c r="E42" s="166" t="s">
        <v>230</v>
      </c>
      <c r="F42" s="168">
        <f>E32</f>
        <v>0.2</v>
      </c>
      <c r="G42" s="92"/>
      <c r="H42" s="92"/>
      <c r="I42" s="92"/>
      <c r="J42" s="92"/>
      <c r="K42" s="92"/>
      <c r="L42" s="92"/>
      <c r="M42" s="116"/>
      <c r="P42" s="329"/>
      <c r="Q42" s="329"/>
      <c r="R42" s="329"/>
      <c r="S42" s="329"/>
      <c r="T42" s="329"/>
      <c r="U42" s="329"/>
      <c r="V42" s="329"/>
      <c r="W42" s="329"/>
      <c r="X42" s="329"/>
      <c r="Y42" s="329"/>
      <c r="Z42" s="329"/>
    </row>
    <row r="43" spans="1:30" ht="14.25">
      <c r="A43" s="92"/>
      <c r="B43" s="92"/>
      <c r="C43" s="92"/>
      <c r="D43" s="92"/>
      <c r="E43" s="92"/>
      <c r="F43" s="92"/>
      <c r="G43" s="92"/>
      <c r="H43" s="92"/>
      <c r="I43" s="92"/>
      <c r="J43" s="92"/>
      <c r="K43" s="92"/>
      <c r="L43" s="92"/>
      <c r="M43" s="116"/>
      <c r="P43" s="329"/>
      <c r="Q43" s="329"/>
      <c r="R43" s="329"/>
      <c r="S43" s="329"/>
      <c r="T43" s="329"/>
      <c r="U43" s="329"/>
      <c r="V43" s="329"/>
      <c r="W43" s="329"/>
      <c r="X43" s="329"/>
      <c r="Y43" s="329"/>
      <c r="Z43" s="329"/>
    </row>
    <row r="44" spans="1:30" ht="14.25">
      <c r="A44" s="11" t="s">
        <v>218</v>
      </c>
      <c r="D44" s="11" t="str">
        <f>CONCATENATE(D5,H11,D12)</f>
        <v>20200113mChOCT4sg2</v>
      </c>
      <c r="P44" s="329"/>
      <c r="Q44" s="329"/>
      <c r="R44" s="329"/>
      <c r="S44" s="329"/>
      <c r="T44" s="329"/>
      <c r="U44" s="329"/>
      <c r="V44" s="329"/>
      <c r="W44" s="329"/>
      <c r="X44" s="329"/>
      <c r="Y44" s="329"/>
      <c r="Z44" s="329"/>
    </row>
    <row r="45" spans="1:30" ht="14.65" customHeight="1">
      <c r="P45" s="329"/>
      <c r="Q45" s="329"/>
      <c r="R45" s="329"/>
      <c r="S45" s="329"/>
      <c r="T45" s="329"/>
      <c r="U45" s="329"/>
      <c r="V45" s="329"/>
      <c r="W45" s="329"/>
      <c r="X45" s="329"/>
      <c r="Y45" s="329"/>
      <c r="Z45" s="329"/>
    </row>
    <row r="46" spans="1:30" ht="15" customHeight="1" thickBot="1">
      <c r="P46" s="329"/>
      <c r="Q46" s="329"/>
      <c r="R46" s="329"/>
      <c r="S46" s="329"/>
      <c r="T46" s="329"/>
      <c r="U46" s="329"/>
      <c r="V46" s="329"/>
      <c r="W46" s="329"/>
      <c r="X46" s="329"/>
      <c r="Y46" s="329"/>
      <c r="Z46" s="329"/>
    </row>
    <row r="47" spans="1:30" ht="14.65" thickBot="1">
      <c r="A47" s="280" t="s">
        <v>174</v>
      </c>
      <c r="B47" s="73" t="s">
        <v>204</v>
      </c>
      <c r="C47" s="77"/>
      <c r="D47" s="77"/>
      <c r="E47" s="76" t="s">
        <v>205</v>
      </c>
      <c r="F47" s="77"/>
      <c r="G47" s="74"/>
      <c r="H47" s="123" t="s">
        <v>206</v>
      </c>
      <c r="I47" s="74" t="s">
        <v>207</v>
      </c>
      <c r="J47" s="75"/>
      <c r="K47" s="77"/>
      <c r="L47" s="77"/>
      <c r="M47" s="77"/>
      <c r="N47" s="77"/>
      <c r="O47" s="75"/>
      <c r="P47" s="329"/>
      <c r="Q47" s="329"/>
      <c r="R47" s="329"/>
      <c r="S47" s="329"/>
      <c r="T47" s="329"/>
      <c r="U47" s="329"/>
      <c r="V47" s="329"/>
      <c r="W47" s="329"/>
      <c r="X47" s="329"/>
      <c r="Y47" s="329"/>
      <c r="Z47" s="329"/>
    </row>
    <row r="48" spans="1:30" ht="14.65" thickBot="1">
      <c r="A48" s="124"/>
      <c r="B48" s="125"/>
      <c r="C48" s="80"/>
      <c r="D48" s="80"/>
      <c r="E48" s="80"/>
      <c r="F48" s="82"/>
      <c r="G48" s="126"/>
      <c r="H48" s="80"/>
      <c r="I48" s="80"/>
      <c r="J48" s="126"/>
      <c r="K48" s="127"/>
      <c r="L48" s="75"/>
      <c r="M48" s="75"/>
      <c r="N48" s="78"/>
      <c r="O48" s="167"/>
      <c r="P48" s="329"/>
      <c r="Q48" s="329"/>
      <c r="R48" s="329"/>
      <c r="S48" s="329"/>
      <c r="T48" s="329"/>
      <c r="U48" s="329"/>
      <c r="V48" s="329"/>
      <c r="W48" s="329"/>
      <c r="X48" s="329"/>
      <c r="Y48" s="329"/>
      <c r="Z48" s="329"/>
    </row>
    <row r="49" spans="1:26" ht="14.65" thickBot="1">
      <c r="A49" s="79"/>
      <c r="B49" s="80"/>
      <c r="C49" s="128" t="s">
        <v>245</v>
      </c>
      <c r="D49" s="80"/>
      <c r="E49" s="129" t="s">
        <v>246</v>
      </c>
      <c r="F49" s="130"/>
      <c r="G49" s="128" t="s">
        <v>248</v>
      </c>
      <c r="H49" s="80"/>
      <c r="I49" s="128" t="s">
        <v>211</v>
      </c>
      <c r="J49" s="80"/>
      <c r="K49" s="131" t="s">
        <v>144</v>
      </c>
      <c r="L49" s="80"/>
      <c r="M49" s="80"/>
      <c r="N49" s="81"/>
      <c r="O49" s="167"/>
      <c r="P49" s="329"/>
      <c r="Q49" s="329"/>
      <c r="R49" s="329"/>
      <c r="S49" s="329"/>
      <c r="T49" s="329"/>
      <c r="U49" s="329"/>
      <c r="V49" s="329"/>
      <c r="W49" s="329"/>
      <c r="X49" s="329"/>
      <c r="Y49" s="329"/>
      <c r="Z49" s="329"/>
    </row>
    <row r="50" spans="1:26" ht="28.9" thickBot="1">
      <c r="A50" s="131" t="s">
        <v>212</v>
      </c>
      <c r="B50" s="80"/>
      <c r="C50" s="326">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75" t="s">
        <v>250</v>
      </c>
      <c r="N50" s="277" t="s">
        <v>249</v>
      </c>
      <c r="O50" s="167"/>
      <c r="P50" s="329"/>
      <c r="Q50" s="329"/>
      <c r="R50" s="329"/>
      <c r="S50" s="329"/>
      <c r="T50" s="329"/>
      <c r="U50" s="329"/>
      <c r="V50" s="329"/>
      <c r="W50" s="329"/>
      <c r="X50" s="329"/>
      <c r="Y50" s="329"/>
      <c r="Z50" s="329"/>
    </row>
    <row r="51" spans="1:26" ht="14.65" thickBot="1">
      <c r="A51" s="131" t="s">
        <v>214</v>
      </c>
      <c r="B51" s="80"/>
      <c r="C51" s="326">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4">
        <v>278000</v>
      </c>
      <c r="M51" s="276">
        <f>I50/L51</f>
        <v>1.6115107913669064</v>
      </c>
      <c r="N51" s="268">
        <f>E50-M51</f>
        <v>3.9884892086330934</v>
      </c>
      <c r="O51" s="79"/>
      <c r="P51" s="329"/>
      <c r="Q51" s="329"/>
      <c r="R51" s="329"/>
      <c r="S51" s="329"/>
      <c r="T51" s="329"/>
      <c r="U51" s="329"/>
      <c r="V51" s="329"/>
      <c r="W51" s="329"/>
      <c r="X51" s="329"/>
      <c r="Y51" s="329"/>
      <c r="Z51" s="329"/>
    </row>
    <row r="52" spans="1:26" ht="14.65" thickBot="1">
      <c r="A52" s="86"/>
      <c r="B52" s="87"/>
      <c r="C52" s="87"/>
      <c r="D52" s="87"/>
      <c r="E52" s="136"/>
      <c r="F52" s="80"/>
      <c r="G52" s="136"/>
      <c r="H52" s="136"/>
      <c r="I52" s="80"/>
      <c r="J52" s="80"/>
      <c r="K52" s="86" t="s">
        <v>216</v>
      </c>
      <c r="L52" s="174">
        <v>218000</v>
      </c>
      <c r="M52" s="272">
        <f>I51/L52</f>
        <v>2.0550458715596331</v>
      </c>
      <c r="N52" s="274">
        <f>E51-0.1</f>
        <v>5.5</v>
      </c>
      <c r="O52" s="167"/>
      <c r="P52" s="329"/>
      <c r="Q52" s="329"/>
      <c r="R52" s="329"/>
      <c r="S52" s="329"/>
      <c r="T52" s="329"/>
      <c r="U52" s="329"/>
      <c r="V52" s="329"/>
      <c r="W52" s="329"/>
      <c r="X52" s="329"/>
      <c r="Y52" s="329"/>
      <c r="Z52" s="329"/>
    </row>
    <row r="53" spans="1:26" ht="14.65" thickBot="1">
      <c r="A53" s="137" t="s">
        <v>217</v>
      </c>
      <c r="B53" s="77"/>
      <c r="C53" s="77"/>
      <c r="D53" s="267">
        <v>0.48958333333333331</v>
      </c>
      <c r="E53" s="87"/>
      <c r="F53" s="87"/>
      <c r="G53" s="87"/>
      <c r="H53" s="87"/>
      <c r="I53" s="87"/>
      <c r="J53" s="87"/>
      <c r="K53" s="87"/>
      <c r="L53" s="87"/>
      <c r="M53" s="87"/>
      <c r="N53" s="87"/>
      <c r="O53" s="87"/>
      <c r="P53" s="329"/>
      <c r="Q53" s="329"/>
      <c r="R53" s="329"/>
      <c r="S53" s="329"/>
      <c r="T53" s="329"/>
      <c r="U53" s="329"/>
      <c r="V53" s="329"/>
      <c r="W53" s="329"/>
      <c r="X53" s="329"/>
      <c r="Y53" s="329"/>
      <c r="Z53" s="329"/>
    </row>
    <row r="54" spans="1:26" ht="14.65" customHeight="1">
      <c r="P54" s="329"/>
      <c r="Q54" s="329"/>
      <c r="R54" s="329"/>
      <c r="S54" s="329"/>
      <c r="T54" s="329"/>
      <c r="U54" s="329"/>
      <c r="V54" s="329"/>
      <c r="W54" s="329"/>
      <c r="X54" s="329"/>
      <c r="Y54" s="329"/>
      <c r="Z54" s="329"/>
    </row>
    <row r="55" spans="1:26" ht="14.65" customHeight="1">
      <c r="A55" s="11" t="s">
        <v>219</v>
      </c>
      <c r="B55" s="11"/>
      <c r="C55" s="11" t="str">
        <f>CONCATENATE((R8),U8)</f>
        <v>AmaxaCB-150</v>
      </c>
      <c r="P55" s="329"/>
      <c r="Q55" s="329"/>
      <c r="R55" s="329"/>
      <c r="S55" s="329"/>
      <c r="T55" s="329"/>
      <c r="U55" s="329"/>
      <c r="V55" s="329"/>
      <c r="W55" s="329"/>
      <c r="X55" s="329"/>
      <c r="Y55" s="329"/>
      <c r="Z55" s="329"/>
    </row>
    <row r="56" spans="1:26" ht="14.65" customHeight="1">
      <c r="P56" s="329"/>
      <c r="Q56" s="329"/>
      <c r="R56" s="329"/>
      <c r="S56" s="329"/>
      <c r="T56" s="329"/>
      <c r="U56" s="329"/>
      <c r="V56" s="329"/>
      <c r="W56" s="329"/>
      <c r="X56" s="329"/>
      <c r="Y56" s="329"/>
      <c r="Z56" s="329"/>
    </row>
    <row r="58" spans="1:26" ht="14.25">
      <c r="B58" s="11"/>
      <c r="D58" s="11"/>
    </row>
    <row r="59" spans="1:26" ht="14.25">
      <c r="D59" s="11"/>
    </row>
  </sheetData>
  <sheetProtection algorithmName="SHA-512" hashValue="H+8g8xl2D3QuHEfux4f6L4PMJ0tMZm3s1xLeKyhPMXZqYb2/I4WINTAHcVhHTLfMlWFWZiGvCz5zpCBv6+4L7w==" saltValue="CW7C6mIci0Y6QnCUml2eig==" spinCount="100000" sheet="1" scenarios="1" selectLockedCells="1"/>
  <mergeCells count="15">
    <mergeCell ref="S13:U13"/>
    <mergeCell ref="W13:Y13"/>
    <mergeCell ref="AA13:AC13"/>
    <mergeCell ref="T4:U4"/>
    <mergeCell ref="S10:U10"/>
    <mergeCell ref="S12:T12"/>
    <mergeCell ref="W12:X12"/>
    <mergeCell ref="AA12:AB12"/>
    <mergeCell ref="F29:H29"/>
    <mergeCell ref="W14:X14"/>
    <mergeCell ref="AA14:AB14"/>
    <mergeCell ref="P21:W21"/>
    <mergeCell ref="P22:W22"/>
    <mergeCell ref="P23:W23"/>
    <mergeCell ref="P24:W24"/>
  </mergeCells>
  <conditionalFormatting sqref="H6:I6 A9:I9 N6:O9">
    <cfRule type="expression" priority="23">
      <formula>"row if val(a..) EVEN"</formula>
    </cfRule>
    <cfRule type="expression" dxfId="123" priority="24">
      <formula>"row is even"</formula>
    </cfRule>
  </conditionalFormatting>
  <conditionalFormatting sqref="B10 A6:F6">
    <cfRule type="expression" priority="31">
      <formula>"row if val(a..) EVEN"</formula>
    </cfRule>
    <cfRule type="expression" dxfId="122" priority="32">
      <formula>"row is even"</formula>
    </cfRule>
  </conditionalFormatting>
  <conditionalFormatting sqref="D5">
    <cfRule type="expression" priority="29">
      <formula>"row if val(a..) EVEN"</formula>
    </cfRule>
    <cfRule type="expression" dxfId="121" priority="30">
      <formula>"row is even"</formula>
    </cfRule>
  </conditionalFormatting>
  <conditionalFormatting sqref="E10">
    <cfRule type="expression" priority="27">
      <formula>"row if val(a..) EVEN"</formula>
    </cfRule>
    <cfRule type="expression" dxfId="120" priority="28">
      <formula>"row is even"</formula>
    </cfRule>
  </conditionalFormatting>
  <conditionalFormatting sqref="C10">
    <cfRule type="expression" priority="25">
      <formula>"row if val(a..) EVEN"</formula>
    </cfRule>
    <cfRule type="expression" dxfId="119" priority="26">
      <formula>"row is even"</formula>
    </cfRule>
  </conditionalFormatting>
  <conditionalFormatting sqref="Q6 P4 S6 P2:Q2 S2:U2 P5:T5">
    <cfRule type="expression" priority="19">
      <formula>"row if val(a..) EVEN"</formula>
    </cfRule>
    <cfRule type="expression" dxfId="118" priority="20">
      <formula>"row is even"</formula>
    </cfRule>
  </conditionalFormatting>
  <conditionalFormatting sqref="Q4 T6">
    <cfRule type="expression" priority="21">
      <formula>"row if val(a..) EVEN"</formula>
    </cfRule>
    <cfRule type="expression" dxfId="117" priority="22">
      <formula>"row is even"</formula>
    </cfRule>
  </conditionalFormatting>
  <conditionalFormatting sqref="H8:I8 A7 C7">
    <cfRule type="expression" priority="15">
      <formula>"row if val(a..) EVEN"</formula>
    </cfRule>
    <cfRule type="expression" dxfId="116" priority="16">
      <formula>"row is even"</formula>
    </cfRule>
  </conditionalFormatting>
  <conditionalFormatting sqref="E8:F8 A8 G7">
    <cfRule type="expression" priority="17">
      <formula>"row if val(a..) EVEN"</formula>
    </cfRule>
    <cfRule type="expression" dxfId="115" priority="18">
      <formula>"row is even"</formula>
    </cfRule>
  </conditionalFormatting>
  <conditionalFormatting sqref="A11:I11">
    <cfRule type="expression" priority="13">
      <formula>"row if val(a..) EVEN"</formula>
    </cfRule>
    <cfRule type="expression" dxfId="114" priority="14">
      <formula>"row is even"</formula>
    </cfRule>
  </conditionalFormatting>
  <conditionalFormatting sqref="R4">
    <cfRule type="expression" priority="11">
      <formula>"row if val(a..) EVEN"</formula>
    </cfRule>
    <cfRule type="expression" dxfId="113" priority="12">
      <formula>"row is even"</formula>
    </cfRule>
  </conditionalFormatting>
  <conditionalFormatting sqref="V6">
    <cfRule type="expression" priority="9">
      <formula>"row if val(a..) EVEN"</formula>
    </cfRule>
    <cfRule type="expression" dxfId="112" priority="10">
      <formula>"row is even"</formula>
    </cfRule>
  </conditionalFormatting>
  <conditionalFormatting sqref="J6:M6 L7:M8 J9:M9">
    <cfRule type="expression" priority="5">
      <formula>"row if val(a..) EVEN"</formula>
    </cfRule>
    <cfRule type="expression" dxfId="111" priority="6">
      <formula>"row is even"</formula>
    </cfRule>
  </conditionalFormatting>
  <conditionalFormatting sqref="J10">
    <cfRule type="expression" priority="7">
      <formula>"row if val(a..) EVEN"</formula>
    </cfRule>
    <cfRule type="expression" dxfId="110" priority="8">
      <formula>"row is even"</formula>
    </cfRule>
  </conditionalFormatting>
  <conditionalFormatting sqref="J8:K8">
    <cfRule type="expression" priority="3">
      <formula>"row if val(a..) EVEN"</formula>
    </cfRule>
    <cfRule type="expression" dxfId="109" priority="4">
      <formula>"row is even"</formula>
    </cfRule>
  </conditionalFormatting>
  <conditionalFormatting sqref="J11:K11">
    <cfRule type="expression" priority="1">
      <formula>"row if val(a..) EVEN"</formula>
    </cfRule>
    <cfRule type="expression" dxfId="108" priority="2">
      <formula>"row is even"</formula>
    </cfRule>
  </conditionalFormatting>
  <dataValidations count="10">
    <dataValidation operator="equal" allowBlank="1" showInputMessage="1" showErrorMessage="1" prompt="ex: 20190417" sqref="C10 R5" xr:uid="{6F4B5D96-4820-411F-882C-CE761730ABA5}"/>
    <dataValidation type="whole" allowBlank="1" showInputMessage="1" prompt="number" sqref="T5" xr:uid="{035A8DA5-5697-458F-AE1E-37E9043622DD}">
      <formula1>10</formula1>
      <formula2>50</formula2>
    </dataValidation>
    <dataValidation type="whole" allowBlank="1" showInputMessage="1" showErrorMessage="1" prompt="Enter a number" sqref="H7 K10" xr:uid="{E6EC5E2D-7C45-4F48-85D8-43D4B0CCB6C4}">
      <formula1>1</formula1>
      <formula2>50</formula2>
    </dataValidation>
    <dataValidation type="whole" allowBlank="1" showInputMessage="1" showErrorMessage="1" prompt="enter a number" sqref="H10 E7" xr:uid="{A0350E73-5A34-416A-AE7B-89C1B667F3B4}">
      <formula1>0</formula1>
      <formula2>10</formula2>
    </dataValidation>
    <dataValidation type="textLength" operator="equal" allowBlank="1" showInputMessage="1" showErrorMessage="1" prompt="ex: 20190417" sqref="G9 E10 S6 C7 Q6 V6 R4" xr:uid="{5CCC57FD-718D-49F5-81B5-E401CAF5ADA4}">
      <formula1>8</formula1>
    </dataValidation>
    <dataValidation allowBlank="1" showInputMessage="1" showErrorMessage="1" prompt="Enter a number (e.g. 1e6)" sqref="C42" xr:uid="{315227EA-28DA-4426-BA11-F334BFB364A6}"/>
    <dataValidation allowBlank="1" showInputMessage="1" showErrorMessage="1" prompt="ex: 534e3" sqref="L51:L52" xr:uid="{51A70390-840E-45EC-8A2C-6E5FC525DB30}"/>
    <dataValidation type="textLength" operator="equal" allowBlank="1" showInputMessage="1" showErrorMessage="1" prompt="ex. 20200110" sqref="D8" xr:uid="{E48A8D47-8F36-49B7-8649-1F3BA4A7EB9B}">
      <formula1>8</formula1>
    </dataValidation>
    <dataValidation type="time" allowBlank="1" showInputMessage="1" showErrorMessage="1" sqref="D53" xr:uid="{DBD5F77D-3949-419E-A545-EB2C87975C62}">
      <formula1>0</formula1>
      <formula2>0.999305555555556</formula2>
    </dataValidation>
    <dataValidation type="textLength" operator="equal" allowBlank="1" showErrorMessage="1" sqref="D5" xr:uid="{8796B55F-50B5-4925-A719-C931FF00449B}">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FE6F9CC8-3EE5-4065-B2A7-4DCE63E174B9}">
          <x14:formula1>
            <xm:f>'C:\Users\aplant\AppData\Local\Microsoft\Windows\INetCache\Content.Outlook\ZYZ9ILGB\[0701Copy of 0615question.alp.TransfectionMetadata w Calendar.xlsm]Data validation criteria'!#REF!</xm:f>
          </x14:formula1>
          <xm:sqref>Y12 AC12</xm:sqref>
        </x14:dataValidation>
        <x14:dataValidation type="list" showInputMessage="1" showErrorMessage="1" xr:uid="{2DE4F312-AC1D-4717-B9AA-94EB861200B3}">
          <x14:formula1>
            <xm:f>'Data validation criteria'!$K$21:$K$26</xm:f>
          </x14:formula1>
          <xm:sqref>H13</xm:sqref>
        </x14:dataValidation>
        <x14:dataValidation type="list" allowBlank="1" showInputMessage="1" showErrorMessage="1" xr:uid="{66F29E33-FD8A-4E44-B44B-BC74297D46A1}">
          <x14:formula1>
            <xm:f>'Data validation criteria'!$A$3:$A$9</xm:f>
          </x14:formula1>
          <xm:sqref>D4 C4:C5</xm:sqref>
        </x14:dataValidation>
        <x14:dataValidation type="list" allowBlank="1" showInputMessage="1" showErrorMessage="1" xr:uid="{5B30C790-DD66-44C2-8ACB-446BF7AAC8EB}">
          <x14:formula1>
            <xm:f>'Data validation criteria'!$C$21:$C$25</xm:f>
          </x14:formula1>
          <xm:sqref>D11</xm:sqref>
        </x14:dataValidation>
        <x14:dataValidation type="list" allowBlank="1" showInputMessage="1" showErrorMessage="1" xr:uid="{4C769DD6-E550-4A84-ADA0-F4FBC6939D8A}">
          <x14:formula1>
            <xm:f>'Data validation criteria'!$M$21:$M$30</xm:f>
          </x14:formula1>
          <xm:sqref>D12</xm:sqref>
        </x14:dataValidation>
        <x14:dataValidation type="list" allowBlank="1" showInputMessage="1" showErrorMessage="1" xr:uid="{3B6A7590-715C-44BA-A517-8DF7AE63681F}">
          <x14:formula1>
            <xm:f>'Data validation criteria'!$N$21:$N$30</xm:f>
          </x14:formula1>
          <xm:sqref>D13</xm:sqref>
        </x14:dataValidation>
        <x14:dataValidation type="list" allowBlank="1" showInputMessage="1" showErrorMessage="1" xr:uid="{956DA79B-A717-4CA0-9EE8-C4FB9798D2E5}">
          <x14:formula1>
            <xm:f>'Data validation criteria'!$D$21:$D$25</xm:f>
          </x14:formula1>
          <xm:sqref>G11</xm:sqref>
        </x14:dataValidation>
        <x14:dataValidation type="list" allowBlank="1" showInputMessage="1" showErrorMessage="1" xr:uid="{ADCC8459-C454-4A0B-AED3-59E1F41175E5}">
          <x14:formula1>
            <xm:f>'Data validation criteria'!$F$21:$F$23</xm:f>
          </x14:formula1>
          <xm:sqref>R8</xm:sqref>
        </x14:dataValidation>
        <x14:dataValidation type="list" allowBlank="1" showInputMessage="1" showErrorMessage="1" xr:uid="{0B6E9B3B-B148-4BD0-A90B-579CCEB75A65}">
          <x14:formula1>
            <xm:f>'Data validation criteria'!$A$34:$A$39</xm:f>
          </x14:formula1>
          <xm:sqref>U8</xm:sqref>
        </x14:dataValidation>
        <x14:dataValidation type="list" allowBlank="1" showInputMessage="1" showErrorMessage="1" xr:uid="{D7F717FB-4021-4ADB-8ED5-E659D223E878}">
          <x14:formula1>
            <xm:f>'Data validation criteria'!$L$21:$L$23</xm:f>
          </x14:formula1>
          <xm:sqref>X8</xm:sqref>
        </x14:dataValidation>
        <x14:dataValidation type="list" allowBlank="1" showInputMessage="1" showErrorMessage="1" xr:uid="{B6D74808-C454-47EB-B9A6-6C527B2E1621}">
          <x14:formula1>
            <xm:f>'Data validation criteria'!$A$21:$A$28</xm:f>
          </x14:formula1>
          <xm:sqref>S10</xm:sqref>
        </x14:dataValidation>
        <x14:dataValidation type="list" allowBlank="1" showInputMessage="1" showErrorMessage="1" xr:uid="{EEBD7FE0-5804-4484-B339-F78CC64C2A3C}">
          <x14:formula1>
            <xm:f>'Data validation criteria'!$J$21:$J$24</xm:f>
          </x14:formula1>
          <xm:sqref>W10 W14:X14 AA14:AB14</xm:sqref>
        </x14:dataValidation>
        <x14:dataValidation type="list" allowBlank="1" showInputMessage="1" showErrorMessage="1" xr:uid="{F7A4B169-BCB1-427D-9AFC-BAA57E5B10D6}">
          <x14:formula1>
            <xm:f>'Data validation criteria'!$I$21:$I$25</xm:f>
          </x14:formula1>
          <xm:sqref>S12 W12 AA12</xm:sqref>
        </x14:dataValidation>
        <x14:dataValidation type="list" allowBlank="1" showInputMessage="1" showErrorMessage="1" xr:uid="{F1D32091-A1A7-4729-B6E0-44821F6DB793}">
          <x14:formula1>
            <xm:f>'Data validation criteria'!$A$21:$A$27</xm:f>
          </x14:formula1>
          <xm:sqref>S13:U13 W13:Y13 AA13:AC13</xm:sqref>
        </x14:dataValidation>
        <x14:dataValidation type="list" allowBlank="1" showInputMessage="1" showErrorMessage="1" xr:uid="{595A8ADD-E6D2-40BE-9BB6-BA97F51C37C1}">
          <x14:formula1>
            <xm:f>'Data validation criteria'!$J$21:$J$25</xm:f>
          </x14:formula1>
          <xm:sqref>S14</xm:sqref>
        </x14:dataValidation>
        <x14:dataValidation type="list" allowBlank="1" showInputMessage="1" showErrorMessage="1" xr:uid="{2B9171EC-D00A-400F-A535-3E4142F431E8}">
          <x14:formula1>
            <xm:f>'Data validation criteria'!$E$21:$E$25</xm:f>
          </x14:formula1>
          <xm:sqref>Q2</xm:sqref>
        </x14:dataValidation>
        <x14:dataValidation type="list" allowBlank="1" showInputMessage="1" showErrorMessage="1" xr:uid="{B41FD868-9811-4216-BC29-4593A38B0878}">
          <x14:formula1>
            <xm:f>'Data validation criteria'!$F$2:$F$7</xm:f>
          </x14:formula1>
          <xm:sqref>T2</xm:sqref>
        </x14:dataValidation>
        <x14:dataValidation type="list" allowBlank="1" showInputMessage="1" showErrorMessage="1" xr:uid="{C06297F1-2A72-420B-9DD6-6C98AEDD665B}">
          <x14:formula1>
            <xm:f>'Data validation criteria'!$D$34:$D$38</xm:f>
          </x14:formula1>
          <xm:sqref>T4:U4</xm:sqref>
        </x14:dataValidation>
        <x14:dataValidation type="list" allowBlank="1" showInputMessage="1" showErrorMessage="1" xr:uid="{19CF12DD-28CF-4E0F-8CFD-7D96FCD1C073}">
          <x14:formula1>
            <xm:f>'Data validation criteria'!$G$34:$G$39</xm:f>
          </x14:formula1>
          <xm:sqref>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6784-1441-4D20-9D4E-4AA4E22635A2}">
  <sheetPr codeName="WSMetadataTemplate1"/>
  <dimension ref="A1:AI59"/>
  <sheetViews>
    <sheetView showGridLines="0" topLeftCell="B1" zoomScale="47" zoomScaleNormal="47"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04" t="s">
        <v>42</v>
      </c>
      <c r="R2" s="205"/>
      <c r="S2" s="206" t="s">
        <v>5</v>
      </c>
      <c r="T2" s="204" t="s">
        <v>6</v>
      </c>
      <c r="U2" s="14"/>
      <c r="V2" s="14"/>
      <c r="W2" s="14"/>
      <c r="X2" s="14"/>
      <c r="Y2" s="14"/>
      <c r="Z2" s="207"/>
      <c r="AA2" s="207"/>
      <c r="AB2" s="207"/>
      <c r="AC2" s="207"/>
    </row>
    <row r="3" spans="1:35" ht="14.65" thickBot="1">
      <c r="A3" s="9"/>
      <c r="B3" s="9"/>
      <c r="C3" s="9"/>
      <c r="D3" s="9"/>
      <c r="E3" s="9"/>
      <c r="F3" s="9"/>
      <c r="G3" s="9"/>
      <c r="H3" s="9"/>
      <c r="I3" s="9"/>
      <c r="J3" s="9"/>
      <c r="K3" s="9"/>
      <c r="L3" s="9"/>
      <c r="P3" s="8"/>
      <c r="Q3" s="14"/>
      <c r="R3" s="14"/>
      <c r="S3" s="14"/>
      <c r="T3" s="14"/>
      <c r="U3" s="14"/>
      <c r="V3" s="14"/>
      <c r="W3" s="14"/>
      <c r="X3" s="14"/>
      <c r="Y3" s="14"/>
      <c r="Z3" s="207"/>
      <c r="AA3" s="207"/>
      <c r="AB3" s="207"/>
      <c r="AC3" s="207"/>
    </row>
    <row r="4" spans="1:35" ht="14.25">
      <c r="A4" s="72" t="s">
        <v>174</v>
      </c>
      <c r="B4" s="66" t="s">
        <v>165</v>
      </c>
      <c r="C4" s="66"/>
      <c r="D4" s="204" t="s">
        <v>1</v>
      </c>
      <c r="E4" s="66"/>
      <c r="F4" s="66"/>
      <c r="G4" s="66"/>
      <c r="H4" s="66"/>
      <c r="I4" s="66"/>
      <c r="J4" s="373"/>
      <c r="K4" s="373"/>
      <c r="L4" s="373"/>
      <c r="M4" s="406"/>
      <c r="P4" s="45" t="s">
        <v>167</v>
      </c>
      <c r="Q4" s="208"/>
      <c r="R4" s="209" t="s">
        <v>220</v>
      </c>
      <c r="S4" s="210" t="s">
        <v>221</v>
      </c>
      <c r="T4" s="533" t="s">
        <v>168</v>
      </c>
      <c r="U4" s="533"/>
      <c r="V4" s="211"/>
      <c r="W4" s="14"/>
      <c r="X4" s="14"/>
      <c r="Y4" s="14"/>
      <c r="Z4" s="207"/>
      <c r="AA4" s="207"/>
      <c r="AB4" s="207"/>
      <c r="AC4" s="207"/>
    </row>
    <row r="5" spans="1:35" ht="14.25">
      <c r="A5" s="66"/>
      <c r="B5" s="66" t="s">
        <v>2</v>
      </c>
      <c r="C5" s="66"/>
      <c r="D5" s="187" t="s">
        <v>231</v>
      </c>
      <c r="E5" s="66"/>
      <c r="F5" s="66"/>
      <c r="G5" s="66"/>
      <c r="H5" s="66"/>
      <c r="I5" s="66"/>
      <c r="J5" s="374"/>
      <c r="K5" s="403"/>
      <c r="L5" s="403"/>
      <c r="M5" s="407"/>
      <c r="P5" s="48" t="s">
        <v>7</v>
      </c>
      <c r="Q5" s="212"/>
      <c r="R5" s="209" t="s">
        <v>43</v>
      </c>
      <c r="S5" s="213" t="s">
        <v>11</v>
      </c>
      <c r="T5" s="204">
        <v>41</v>
      </c>
      <c r="U5" s="14"/>
      <c r="V5" s="214"/>
      <c r="W5" s="14"/>
      <c r="X5" s="14"/>
      <c r="Y5" s="14"/>
      <c r="Z5" s="207"/>
      <c r="AA5" s="207"/>
      <c r="AB5" s="207"/>
      <c r="AC5" s="207"/>
    </row>
    <row r="6" spans="1:35" ht="14.65" thickBot="1">
      <c r="A6" s="66"/>
      <c r="B6" s="66"/>
      <c r="C6" s="139"/>
      <c r="D6" s="140"/>
      <c r="E6" s="66"/>
      <c r="F6" s="66"/>
      <c r="G6" s="66"/>
      <c r="H6" s="66"/>
      <c r="I6" s="66"/>
      <c r="J6" s="374"/>
      <c r="K6" s="403"/>
      <c r="L6" s="403"/>
      <c r="M6" s="407"/>
      <c r="N6" s="42"/>
      <c r="O6" s="42"/>
      <c r="P6" s="51" t="s">
        <v>169</v>
      </c>
      <c r="Q6" s="209" t="s">
        <v>44</v>
      </c>
      <c r="R6" s="215" t="s">
        <v>170</v>
      </c>
      <c r="S6" s="209" t="s">
        <v>44</v>
      </c>
      <c r="T6" s="216" t="s">
        <v>12</v>
      </c>
      <c r="U6" s="217"/>
      <c r="V6" s="209"/>
      <c r="W6" s="14"/>
      <c r="X6" s="14"/>
      <c r="Y6" s="14"/>
      <c r="Z6" s="207"/>
      <c r="AA6" s="207"/>
      <c r="AB6" s="207"/>
      <c r="AC6" s="207"/>
    </row>
    <row r="7" spans="1:35" ht="14.65" thickBot="1">
      <c r="A7" s="66"/>
      <c r="B7" s="68" t="s">
        <v>8</v>
      </c>
      <c r="C7" s="209" t="s">
        <v>172</v>
      </c>
      <c r="D7" s="66" t="s">
        <v>9</v>
      </c>
      <c r="E7" s="170">
        <v>1</v>
      </c>
      <c r="F7" s="66"/>
      <c r="G7" s="68" t="s">
        <v>10</v>
      </c>
      <c r="H7" s="67">
        <f>T5+1+E7</f>
        <v>43</v>
      </c>
      <c r="I7" s="66"/>
      <c r="J7" s="374"/>
      <c r="K7" s="403"/>
      <c r="L7" s="403"/>
      <c r="M7" s="407"/>
      <c r="N7" s="42"/>
      <c r="O7" s="42"/>
      <c r="P7" s="8"/>
      <c r="Q7" s="14"/>
      <c r="R7" s="14"/>
      <c r="S7" s="14"/>
      <c r="T7" s="14"/>
      <c r="U7" s="14"/>
      <c r="V7" s="14"/>
      <c r="W7" s="14"/>
      <c r="X7" s="14"/>
      <c r="Y7" s="14"/>
      <c r="Z7" s="207"/>
      <c r="AA7" s="207"/>
      <c r="AB7" s="207"/>
      <c r="AC7" s="207"/>
    </row>
    <row r="8" spans="1:35" ht="14.65" thickBot="1">
      <c r="A8" s="66"/>
      <c r="B8" s="66" t="s">
        <v>173</v>
      </c>
      <c r="C8" s="66"/>
      <c r="D8" s="170">
        <v>20200102</v>
      </c>
      <c r="E8" s="66"/>
      <c r="F8" s="66"/>
      <c r="G8" s="66"/>
      <c r="H8" s="66"/>
      <c r="I8" s="66"/>
      <c r="J8" s="374"/>
      <c r="K8" s="403"/>
      <c r="L8" s="403"/>
      <c r="M8" s="407"/>
      <c r="N8" s="42"/>
      <c r="O8" s="42"/>
      <c r="P8" s="143" t="s">
        <v>171</v>
      </c>
      <c r="Q8" s="205"/>
      <c r="R8" s="204" t="s">
        <v>32</v>
      </c>
      <c r="S8" s="218" t="s">
        <v>33</v>
      </c>
      <c r="T8" s="205"/>
      <c r="U8" s="204" t="s">
        <v>34</v>
      </c>
      <c r="V8" s="219" t="s">
        <v>35</v>
      </c>
      <c r="W8" s="205"/>
      <c r="X8" s="204" t="s">
        <v>36</v>
      </c>
      <c r="Y8" s="14"/>
      <c r="Z8" s="207"/>
      <c r="AA8" s="207"/>
      <c r="AB8" s="207"/>
      <c r="AC8" s="207"/>
    </row>
    <row r="9" spans="1:35" ht="14.65" thickBot="1">
      <c r="A9" s="19"/>
      <c r="B9" s="19"/>
      <c r="C9" s="19"/>
      <c r="D9" s="19"/>
      <c r="E9" s="19"/>
      <c r="F9" s="19"/>
      <c r="G9" s="69"/>
      <c r="H9" s="19"/>
      <c r="I9" s="19"/>
      <c r="J9" s="8"/>
      <c r="K9" s="10"/>
      <c r="L9" s="404"/>
      <c r="M9" s="408"/>
      <c r="N9" s="42"/>
      <c r="O9" s="42"/>
      <c r="P9" s="8"/>
      <c r="Q9" s="14"/>
      <c r="R9" s="14"/>
      <c r="S9" s="14"/>
      <c r="T9" s="14"/>
      <c r="U9" s="14"/>
      <c r="V9" s="14"/>
      <c r="W9" s="14"/>
      <c r="X9" s="14"/>
      <c r="Y9" s="14"/>
      <c r="Z9" s="207"/>
      <c r="AA9" s="207"/>
      <c r="AB9" s="207"/>
      <c r="AC9" s="207"/>
    </row>
    <row r="10" spans="1:35" ht="14.25">
      <c r="A10" s="9"/>
      <c r="B10" s="19"/>
      <c r="C10" s="70"/>
      <c r="D10" s="17"/>
      <c r="E10" s="70"/>
      <c r="F10" s="69"/>
      <c r="G10" s="69"/>
      <c r="H10" s="69"/>
      <c r="I10" s="69"/>
      <c r="J10" s="375"/>
      <c r="K10" s="10"/>
      <c r="L10" s="10"/>
      <c r="M10" s="195"/>
      <c r="P10" s="55" t="s">
        <v>13</v>
      </c>
      <c r="Q10" s="220"/>
      <c r="R10" s="220"/>
      <c r="S10" s="558" t="s">
        <v>14</v>
      </c>
      <c r="T10" s="559"/>
      <c r="U10" s="559"/>
      <c r="V10" s="221" t="s">
        <v>15</v>
      </c>
      <c r="W10" s="222" t="s">
        <v>16</v>
      </c>
      <c r="X10" s="208"/>
      <c r="Y10" s="208"/>
      <c r="Z10" s="223"/>
      <c r="AA10" s="223"/>
      <c r="AB10" s="223"/>
      <c r="AC10" s="224"/>
    </row>
    <row r="11" spans="1:35" ht="14.25">
      <c r="A11" s="71"/>
      <c r="B11" s="141" t="s">
        <v>22</v>
      </c>
      <c r="C11" s="64"/>
      <c r="D11" s="204" t="s">
        <v>23</v>
      </c>
      <c r="E11" s="64"/>
      <c r="F11" s="65" t="s">
        <v>24</v>
      </c>
      <c r="G11" s="204" t="s">
        <v>25</v>
      </c>
      <c r="H11" s="71" t="str">
        <f>IF(G11="m-Cherry","mCh",IF(G11="eGFP","GFP",""))</f>
        <v>mCh</v>
      </c>
      <c r="I11" s="71"/>
      <c r="J11" s="376"/>
      <c r="K11" s="405"/>
      <c r="L11" s="412" t="str">
        <f>IF(ISNUMBER(SEARCH(D11,S10)),"","CHECK PLASMID INFO")</f>
        <v/>
      </c>
      <c r="M11" s="409"/>
      <c r="P11" s="58"/>
      <c r="Q11" s="225"/>
      <c r="R11" s="225"/>
      <c r="S11" s="226"/>
      <c r="T11" s="227"/>
      <c r="U11" s="227"/>
      <c r="V11" s="227"/>
      <c r="W11" s="227"/>
      <c r="X11" s="227"/>
      <c r="Y11" s="227"/>
      <c r="Z11" s="228"/>
      <c r="AA11" s="228"/>
      <c r="AB11" s="228"/>
      <c r="AC11" s="229"/>
    </row>
    <row r="12" spans="1:35" ht="14.25">
      <c r="A12" s="71"/>
      <c r="B12" s="64" t="s">
        <v>26</v>
      </c>
      <c r="C12" s="64"/>
      <c r="D12" s="204" t="s">
        <v>27</v>
      </c>
      <c r="E12" s="71"/>
      <c r="F12" s="71"/>
      <c r="G12" s="71"/>
      <c r="H12" s="71"/>
      <c r="I12" s="71"/>
      <c r="J12" s="376"/>
      <c r="K12" s="405"/>
      <c r="L12" s="413" t="str">
        <f>IF(ISNUMBER(SEARCH(G11,S12)),"","CHECK PLASMID INFO")</f>
        <v/>
      </c>
      <c r="M12" s="409"/>
      <c r="P12" s="199"/>
      <c r="Q12" s="230" t="s">
        <v>17</v>
      </c>
      <c r="R12" s="231"/>
      <c r="S12" s="534" t="s">
        <v>25</v>
      </c>
      <c r="T12" s="534"/>
      <c r="U12" s="232"/>
      <c r="V12" s="233"/>
      <c r="W12" s="534" t="s">
        <v>240</v>
      </c>
      <c r="X12" s="534"/>
      <c r="Y12" s="232"/>
      <c r="Z12" s="233"/>
      <c r="AA12" s="534" t="s">
        <v>241</v>
      </c>
      <c r="AB12" s="534"/>
      <c r="AC12" s="234"/>
      <c r="AD12" s="202"/>
    </row>
    <row r="13" spans="1:35" ht="14.25">
      <c r="A13" s="71"/>
      <c r="B13" s="64" t="s">
        <v>29</v>
      </c>
      <c r="C13" s="64"/>
      <c r="D13" s="204" t="s">
        <v>30</v>
      </c>
      <c r="E13" s="71"/>
      <c r="F13" s="71"/>
      <c r="G13" s="65" t="s">
        <v>15</v>
      </c>
      <c r="H13" s="204" t="s">
        <v>28</v>
      </c>
      <c r="I13" s="71"/>
      <c r="J13" s="402"/>
      <c r="K13" s="321" t="s">
        <v>546</v>
      </c>
      <c r="L13" s="422" t="s">
        <v>550</v>
      </c>
      <c r="M13" s="410"/>
      <c r="P13" s="200"/>
      <c r="Q13" s="235"/>
      <c r="R13" s="231" t="s">
        <v>239</v>
      </c>
      <c r="S13" s="534" t="s">
        <v>19</v>
      </c>
      <c r="T13" s="534"/>
      <c r="U13" s="534"/>
      <c r="V13" s="233"/>
      <c r="W13" s="534" t="s">
        <v>20</v>
      </c>
      <c r="X13" s="534"/>
      <c r="Y13" s="534"/>
      <c r="Z13" s="233"/>
      <c r="AA13" s="534" t="s">
        <v>14</v>
      </c>
      <c r="AB13" s="534"/>
      <c r="AC13" s="534"/>
    </row>
    <row r="14" spans="1:35" ht="14.65" thickBot="1">
      <c r="A14" s="71"/>
      <c r="B14" s="64"/>
      <c r="C14" s="64"/>
      <c r="D14" s="71"/>
      <c r="E14" s="71"/>
      <c r="F14" s="71"/>
      <c r="G14" s="71"/>
      <c r="H14" s="71"/>
      <c r="I14" s="71"/>
      <c r="J14" s="377"/>
      <c r="K14" s="377"/>
      <c r="L14" s="377"/>
      <c r="M14" s="411"/>
      <c r="N14" s="169"/>
      <c r="P14" s="200"/>
      <c r="Q14" s="235"/>
      <c r="R14" s="231" t="s">
        <v>15</v>
      </c>
      <c r="S14" s="236" t="s">
        <v>16</v>
      </c>
      <c r="T14" s="232"/>
      <c r="U14" s="232"/>
      <c r="V14" s="233"/>
      <c r="W14" s="534" t="s">
        <v>21</v>
      </c>
      <c r="X14" s="534"/>
      <c r="Y14" s="232"/>
      <c r="Z14" s="233"/>
      <c r="AA14" s="534" t="s">
        <v>16</v>
      </c>
      <c r="AB14" s="534"/>
      <c r="AC14" s="234"/>
      <c r="AD14" s="202"/>
    </row>
    <row r="15" spans="1:35" ht="14.65" thickBot="1">
      <c r="A15" s="9"/>
      <c r="B15" s="9"/>
      <c r="C15" s="9"/>
      <c r="D15" s="9"/>
      <c r="E15" s="9"/>
      <c r="F15" s="9"/>
      <c r="G15" s="9"/>
      <c r="H15" s="9"/>
      <c r="I15" s="9"/>
      <c r="J15" s="9"/>
      <c r="K15" s="9"/>
      <c r="L15" s="9"/>
      <c r="P15" s="60"/>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2</v>
      </c>
      <c r="D19" s="147" t="s">
        <v>178</v>
      </c>
      <c r="E19" s="148" t="s">
        <v>226</v>
      </c>
      <c r="F19" s="80"/>
      <c r="G19" s="80"/>
      <c r="H19" s="81"/>
    </row>
    <row r="20" spans="1:26" ht="14.65" thickBot="1">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60" t="s">
        <v>253</v>
      </c>
      <c r="Q21" s="561"/>
      <c r="R21" s="561"/>
      <c r="S21" s="561"/>
      <c r="T21" s="561"/>
      <c r="U21" s="561"/>
      <c r="V21" s="561"/>
      <c r="W21" s="562"/>
    </row>
    <row r="22" spans="1:26" ht="14.25">
      <c r="A22" s="79"/>
      <c r="B22" s="80" t="s">
        <v>229</v>
      </c>
      <c r="C22" s="80"/>
      <c r="D22" s="80"/>
      <c r="E22" s="80">
        <f>E50+E51</f>
        <v>11.2</v>
      </c>
      <c r="F22" s="80"/>
      <c r="G22" s="80" t="s">
        <v>181</v>
      </c>
      <c r="H22" s="81"/>
      <c r="P22" s="557"/>
      <c r="Q22" s="557"/>
      <c r="R22" s="557"/>
      <c r="S22" s="557"/>
      <c r="T22" s="557"/>
      <c r="U22" s="557"/>
      <c r="V22" s="557"/>
      <c r="W22" s="557"/>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24.2</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25">
      <c r="P27" s="11" t="s">
        <v>234</v>
      </c>
    </row>
    <row r="28" spans="1:26" ht="14.65" thickBot="1">
      <c r="A28" s="258" t="s">
        <v>174</v>
      </c>
      <c r="B28" s="91" t="s">
        <v>182</v>
      </c>
      <c r="C28" s="92"/>
      <c r="D28" s="92"/>
      <c r="E28" s="92"/>
      <c r="F28" s="92"/>
      <c r="G28" s="92"/>
      <c r="H28" s="92"/>
      <c r="I28" s="92" t="s">
        <v>183</v>
      </c>
      <c r="J28" s="92"/>
      <c r="K28" s="92"/>
      <c r="L28" s="92"/>
      <c r="M28" s="92"/>
      <c r="P28" s="177"/>
      <c r="Q28" s="177"/>
      <c r="R28" s="177"/>
      <c r="S28" s="177"/>
      <c r="T28" s="177"/>
      <c r="U28" s="177"/>
      <c r="V28" s="177"/>
      <c r="W28" s="177"/>
      <c r="X28" s="177"/>
      <c r="Y28" s="177"/>
      <c r="Z28" s="177"/>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177"/>
      <c r="Q29" s="177"/>
      <c r="R29" s="177"/>
      <c r="S29" s="177"/>
      <c r="T29" s="177"/>
      <c r="U29" s="177"/>
      <c r="V29" s="177"/>
      <c r="W29" s="177"/>
      <c r="X29" s="177"/>
      <c r="Y29" s="177"/>
      <c r="Z29" s="177"/>
    </row>
    <row r="30" spans="1:26" ht="14.65">
      <c r="A30" s="99" t="s">
        <v>188</v>
      </c>
      <c r="B30" s="259" t="s">
        <v>189</v>
      </c>
      <c r="C30" s="92"/>
      <c r="D30" s="100" t="s">
        <v>190</v>
      </c>
      <c r="E30" s="260">
        <v>2</v>
      </c>
      <c r="F30" s="101" t="s">
        <v>191</v>
      </c>
      <c r="G30" s="156">
        <v>20</v>
      </c>
      <c r="H30" s="153" t="s">
        <v>192</v>
      </c>
      <c r="I30" s="158">
        <f>G30/J30</f>
        <v>10</v>
      </c>
      <c r="J30" s="261">
        <v>2</v>
      </c>
      <c r="K30" s="153" t="s">
        <v>192</v>
      </c>
      <c r="L30" s="161">
        <f>((E30*0.000000001)/(J30*0.000001))*1000</f>
        <v>1</v>
      </c>
      <c r="M30" s="102"/>
      <c r="P30" s="177"/>
      <c r="Q30" s="177"/>
      <c r="R30" s="177"/>
      <c r="S30" s="177"/>
      <c r="T30" s="177"/>
      <c r="U30" s="177"/>
      <c r="V30" s="177"/>
      <c r="W30" s="177"/>
      <c r="X30" s="177"/>
      <c r="Y30" s="177"/>
      <c r="Z30" s="177"/>
    </row>
    <row r="31" spans="1:26" ht="14.65">
      <c r="A31" s="103"/>
      <c r="B31" s="92"/>
      <c r="C31" s="92"/>
      <c r="D31" s="100" t="s">
        <v>193</v>
      </c>
      <c r="E31" s="151">
        <f>E30*RIGHT(B30)</f>
        <v>6</v>
      </c>
      <c r="F31" s="150" t="s">
        <v>194</v>
      </c>
      <c r="G31" s="152">
        <v>20</v>
      </c>
      <c r="H31" s="153" t="s">
        <v>192</v>
      </c>
      <c r="I31" s="157">
        <f>G31/J31</f>
        <v>10</v>
      </c>
      <c r="J31" s="262">
        <v>2</v>
      </c>
      <c r="K31" s="153" t="s">
        <v>192</v>
      </c>
      <c r="L31" s="162">
        <f>((E31*0.000000001)/(J31*0.000001))*1000</f>
        <v>3.0000000000000004</v>
      </c>
      <c r="M31" s="102"/>
      <c r="P31" s="177"/>
      <c r="Q31" s="177"/>
      <c r="R31" s="177"/>
      <c r="S31" s="177"/>
      <c r="T31" s="177"/>
      <c r="U31" s="177"/>
      <c r="V31" s="177"/>
      <c r="W31" s="177"/>
      <c r="X31" s="177"/>
      <c r="Y31" s="177"/>
      <c r="Z31" s="177"/>
    </row>
    <row r="32" spans="1:26" ht="15" thickBot="1">
      <c r="A32" s="103"/>
      <c r="B32" s="92"/>
      <c r="C32" s="92"/>
      <c r="D32" s="104" t="s">
        <v>195</v>
      </c>
      <c r="E32" s="172">
        <v>0.2</v>
      </c>
      <c r="F32" s="105" t="s">
        <v>196</v>
      </c>
      <c r="G32" s="173">
        <v>0.6</v>
      </c>
      <c r="H32" s="154" t="s">
        <v>197</v>
      </c>
      <c r="I32" s="159">
        <f>G32/J32</f>
        <v>2.9999999999999996</v>
      </c>
      <c r="J32" s="263">
        <v>0.2</v>
      </c>
      <c r="K32" s="154" t="s">
        <v>197</v>
      </c>
      <c r="L32" s="163">
        <f>E32/J32</f>
        <v>1</v>
      </c>
      <c r="M32" s="102"/>
      <c r="P32" s="177"/>
      <c r="Q32" s="177"/>
      <c r="R32" s="177"/>
      <c r="S32" s="177"/>
      <c r="T32" s="177"/>
      <c r="U32" s="177"/>
      <c r="V32" s="177"/>
      <c r="W32" s="177"/>
      <c r="X32" s="177"/>
      <c r="Y32" s="177"/>
      <c r="Z32" s="177"/>
    </row>
    <row r="33" spans="1:30" ht="14.65" thickBot="1">
      <c r="A33" s="103"/>
      <c r="B33" s="92"/>
      <c r="C33" s="92"/>
      <c r="D33" s="92"/>
      <c r="E33" s="92"/>
      <c r="F33" s="92"/>
      <c r="G33" s="92"/>
      <c r="H33" s="92"/>
      <c r="I33" s="97"/>
      <c r="J33" s="92"/>
      <c r="K33" s="92"/>
      <c r="L33" s="92"/>
      <c r="M33" s="102"/>
      <c r="P33" s="177"/>
      <c r="Q33" s="177"/>
      <c r="R33" s="177"/>
      <c r="S33" s="177"/>
      <c r="T33" s="177"/>
      <c r="U33" s="177"/>
      <c r="V33" s="177"/>
      <c r="W33" s="177"/>
      <c r="X33" s="177"/>
      <c r="Y33" s="177"/>
      <c r="Z33" s="177"/>
      <c r="AD33" s="190"/>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177"/>
      <c r="Q34" s="177"/>
      <c r="R34" s="177"/>
      <c r="S34" s="177"/>
      <c r="T34" s="177"/>
      <c r="U34" s="177"/>
      <c r="V34" s="177"/>
      <c r="W34" s="177"/>
      <c r="X34" s="177"/>
      <c r="Y34" s="177"/>
      <c r="Z34" s="177"/>
    </row>
    <row r="35" spans="1:30" ht="14.65" thickBot="1">
      <c r="A35" s="109"/>
      <c r="B35" s="110"/>
      <c r="C35" s="110"/>
      <c r="D35" s="110"/>
      <c r="E35" s="110"/>
      <c r="F35" s="110"/>
      <c r="G35" s="110"/>
      <c r="H35" s="111"/>
      <c r="I35" s="110"/>
      <c r="J35" s="110"/>
      <c r="K35" s="110"/>
      <c r="L35" s="110"/>
      <c r="M35" s="112"/>
      <c r="P35" s="177"/>
      <c r="Q35" s="177"/>
      <c r="R35" s="177"/>
      <c r="S35" s="177"/>
      <c r="T35" s="177"/>
      <c r="U35" s="177"/>
      <c r="V35" s="177"/>
      <c r="W35" s="177"/>
      <c r="X35" s="177"/>
      <c r="Y35" s="177"/>
      <c r="Z35" s="177"/>
    </row>
    <row r="36" spans="1:30" ht="14.25">
      <c r="A36" s="93" t="s">
        <v>199</v>
      </c>
      <c r="B36" s="97"/>
      <c r="C36" s="97">
        <v>20</v>
      </c>
      <c r="D36" s="97" t="s">
        <v>200</v>
      </c>
      <c r="E36" s="97"/>
      <c r="F36" s="97"/>
      <c r="G36" s="97"/>
      <c r="H36" s="97"/>
      <c r="I36" s="97"/>
      <c r="J36" s="97"/>
      <c r="K36" s="113"/>
      <c r="L36" s="97"/>
      <c r="M36" s="114"/>
      <c r="P36" s="177"/>
      <c r="Q36" s="177"/>
      <c r="R36" s="177"/>
      <c r="S36" s="177"/>
      <c r="T36" s="177"/>
      <c r="U36" s="177"/>
      <c r="V36" s="177"/>
      <c r="W36" s="177"/>
      <c r="X36" s="177"/>
      <c r="Y36" s="177"/>
      <c r="Z36" s="177"/>
    </row>
    <row r="37" spans="1:30" ht="14.65" thickBot="1">
      <c r="A37" s="103" t="s">
        <v>201</v>
      </c>
      <c r="B37" s="92"/>
      <c r="C37" s="115">
        <f>L34</f>
        <v>5</v>
      </c>
      <c r="D37" s="92" t="s">
        <v>200</v>
      </c>
      <c r="E37" s="92"/>
      <c r="F37" s="92"/>
      <c r="G37" s="92"/>
      <c r="H37" s="92"/>
      <c r="I37" s="92"/>
      <c r="J37" s="92"/>
      <c r="K37" s="92"/>
      <c r="L37" s="92"/>
      <c r="M37" s="116"/>
      <c r="P37" s="177"/>
      <c r="Q37" s="177"/>
      <c r="R37" s="177"/>
      <c r="S37" s="177"/>
      <c r="T37" s="177"/>
      <c r="U37" s="177"/>
      <c r="V37" s="177"/>
      <c r="W37" s="177"/>
      <c r="X37" s="177"/>
      <c r="Y37" s="177"/>
      <c r="Z37" s="177"/>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177"/>
      <c r="Q38" s="177"/>
      <c r="R38" s="177"/>
      <c r="S38" s="177"/>
      <c r="T38" s="177"/>
      <c r="U38" s="177"/>
      <c r="V38" s="177"/>
      <c r="W38" s="177"/>
      <c r="X38" s="177"/>
      <c r="Y38" s="177"/>
      <c r="Z38" s="177"/>
    </row>
    <row r="39" spans="1:30" ht="14.65" thickBot="1">
      <c r="A39" s="109"/>
      <c r="B39" s="110"/>
      <c r="C39" s="110"/>
      <c r="D39" s="110"/>
      <c r="E39" s="110"/>
      <c r="F39" s="110"/>
      <c r="G39" s="110"/>
      <c r="H39" s="110"/>
      <c r="I39" s="110"/>
      <c r="J39" s="110"/>
      <c r="K39" s="110"/>
      <c r="L39" s="110"/>
      <c r="M39" s="119"/>
      <c r="P39" s="177"/>
      <c r="Q39" s="177"/>
      <c r="R39" s="177"/>
      <c r="S39" s="177"/>
      <c r="T39" s="177"/>
      <c r="U39" s="177"/>
      <c r="V39" s="177"/>
      <c r="W39" s="177"/>
      <c r="X39" s="177"/>
      <c r="Y39" s="177"/>
      <c r="Z39" s="177"/>
    </row>
    <row r="40" spans="1:30" ht="14.25">
      <c r="A40" s="92"/>
      <c r="B40" s="92"/>
      <c r="C40" s="92"/>
      <c r="D40" s="92"/>
      <c r="E40" s="92"/>
      <c r="F40" s="92"/>
      <c r="G40" s="92"/>
      <c r="H40" s="92"/>
      <c r="I40" s="92"/>
      <c r="J40" s="92"/>
      <c r="K40" s="92"/>
      <c r="L40" s="92"/>
      <c r="M40" s="116"/>
      <c r="P40" s="177"/>
      <c r="Q40" s="177"/>
      <c r="R40" s="177"/>
      <c r="S40" s="177"/>
      <c r="T40" s="177"/>
      <c r="U40" s="177"/>
      <c r="V40" s="177"/>
      <c r="W40" s="177"/>
      <c r="X40" s="177"/>
      <c r="Y40" s="177"/>
      <c r="Z40" s="177"/>
    </row>
    <row r="41" spans="1:30" ht="14.25">
      <c r="A41" s="92" t="s">
        <v>203</v>
      </c>
      <c r="B41" s="92"/>
      <c r="C41" s="120">
        <f>E30</f>
        <v>2</v>
      </c>
      <c r="D41" s="92"/>
      <c r="E41" s="121" t="s">
        <v>190</v>
      </c>
      <c r="F41" s="168">
        <f>E30</f>
        <v>2</v>
      </c>
      <c r="G41" s="92"/>
      <c r="H41" s="92"/>
      <c r="I41" s="92"/>
      <c r="J41" s="92"/>
      <c r="K41" s="92"/>
      <c r="L41" s="92"/>
      <c r="M41" s="116"/>
      <c r="P41" s="177"/>
      <c r="Q41" s="177"/>
      <c r="R41" s="177"/>
      <c r="S41" s="177"/>
      <c r="T41" s="177"/>
      <c r="U41" s="177"/>
      <c r="V41" s="177"/>
      <c r="W41" s="177"/>
      <c r="X41" s="177"/>
      <c r="Y41" s="177"/>
      <c r="Z41" s="177"/>
    </row>
    <row r="42" spans="1:30" ht="14.65">
      <c r="A42" s="92" t="s">
        <v>235</v>
      </c>
      <c r="B42" s="92"/>
      <c r="C42" s="174">
        <v>400000</v>
      </c>
      <c r="D42" s="92"/>
      <c r="E42" s="166" t="s">
        <v>230</v>
      </c>
      <c r="F42" s="168">
        <f>E32</f>
        <v>0.2</v>
      </c>
      <c r="G42" s="92"/>
      <c r="H42" s="92"/>
      <c r="I42" s="92"/>
      <c r="J42" s="92"/>
      <c r="K42" s="92"/>
      <c r="L42" s="92"/>
      <c r="M42" s="116"/>
      <c r="P42" s="177"/>
      <c r="Q42" s="177"/>
      <c r="R42" s="177"/>
      <c r="S42" s="177"/>
      <c r="T42" s="177"/>
      <c r="U42" s="177"/>
      <c r="V42" s="177"/>
      <c r="W42" s="177"/>
      <c r="X42" s="177"/>
      <c r="Y42" s="177"/>
      <c r="Z42" s="177"/>
    </row>
    <row r="43" spans="1:30" ht="14.25">
      <c r="A43" s="92"/>
      <c r="B43" s="92"/>
      <c r="C43" s="92"/>
      <c r="D43" s="92"/>
      <c r="E43" s="92"/>
      <c r="F43" s="92"/>
      <c r="G43" s="92"/>
      <c r="H43" s="92"/>
      <c r="I43" s="92"/>
      <c r="J43" s="92"/>
      <c r="K43" s="92"/>
      <c r="L43" s="92"/>
      <c r="M43" s="116"/>
      <c r="P43" s="177"/>
      <c r="Q43" s="177"/>
      <c r="R43" s="177"/>
      <c r="S43" s="177"/>
      <c r="T43" s="177"/>
      <c r="U43" s="177"/>
      <c r="V43" s="177"/>
      <c r="W43" s="177"/>
      <c r="X43" s="177"/>
      <c r="Y43" s="177"/>
      <c r="Z43" s="177"/>
    </row>
    <row r="44" spans="1:30" ht="14.25">
      <c r="A44" s="11" t="s">
        <v>218</v>
      </c>
      <c r="D44" s="11" t="str">
        <f>CONCATENATE(D5,H11,D12)</f>
        <v>20200120mChOCT4sg2</v>
      </c>
      <c r="P44" s="177"/>
      <c r="Q44" s="177"/>
      <c r="R44" s="177"/>
      <c r="S44" s="177"/>
      <c r="T44" s="177"/>
      <c r="U44" s="177"/>
      <c r="V44" s="177"/>
      <c r="W44" s="177"/>
      <c r="X44" s="177"/>
      <c r="Y44" s="177"/>
      <c r="Z44" s="177"/>
    </row>
    <row r="45" spans="1:30" ht="14.65" customHeight="1">
      <c r="P45" s="177"/>
      <c r="Q45" s="177"/>
      <c r="R45" s="177"/>
      <c r="S45" s="177"/>
      <c r="T45" s="177"/>
      <c r="U45" s="177"/>
      <c r="V45" s="177"/>
      <c r="W45" s="177"/>
      <c r="X45" s="177"/>
      <c r="Y45" s="177"/>
      <c r="Z45" s="177"/>
    </row>
    <row r="46" spans="1:30" ht="15" customHeight="1" thickBot="1">
      <c r="P46" s="177"/>
      <c r="Q46" s="177"/>
      <c r="R46" s="177"/>
      <c r="S46" s="177"/>
      <c r="T46" s="177"/>
      <c r="U46" s="177"/>
      <c r="V46" s="177"/>
      <c r="W46" s="177"/>
      <c r="X46" s="177"/>
      <c r="Y46" s="177"/>
      <c r="Z46" s="177"/>
    </row>
    <row r="47" spans="1:30" ht="14.65" thickBot="1">
      <c r="A47" s="280" t="s">
        <v>174</v>
      </c>
      <c r="B47" s="73" t="s">
        <v>204</v>
      </c>
      <c r="C47" s="77"/>
      <c r="D47" s="77"/>
      <c r="E47" s="76" t="s">
        <v>205</v>
      </c>
      <c r="F47" s="77"/>
      <c r="G47" s="74"/>
      <c r="H47" s="123" t="s">
        <v>206</v>
      </c>
      <c r="I47" s="74" t="s">
        <v>207</v>
      </c>
      <c r="J47" s="75"/>
      <c r="K47" s="77"/>
      <c r="L47" s="77"/>
      <c r="M47" s="77"/>
      <c r="N47" s="77"/>
      <c r="O47" s="75"/>
      <c r="P47" s="177"/>
      <c r="Q47" s="177"/>
      <c r="R47" s="177"/>
      <c r="S47" s="177"/>
      <c r="T47" s="177"/>
      <c r="U47" s="177"/>
      <c r="V47" s="177"/>
      <c r="W47" s="177"/>
      <c r="X47" s="177"/>
      <c r="Y47" s="177"/>
      <c r="Z47" s="177"/>
    </row>
    <row r="48" spans="1:30" ht="14.65" thickBot="1">
      <c r="A48" s="124"/>
      <c r="B48" s="125"/>
      <c r="C48" s="80"/>
      <c r="D48" s="80"/>
      <c r="E48" s="80"/>
      <c r="F48" s="82"/>
      <c r="G48" s="126"/>
      <c r="H48" s="80"/>
      <c r="I48" s="80"/>
      <c r="J48" s="126"/>
      <c r="K48" s="127"/>
      <c r="L48" s="75"/>
      <c r="M48" s="75"/>
      <c r="N48" s="78"/>
      <c r="O48" s="167"/>
      <c r="P48" s="177"/>
      <c r="Q48" s="177"/>
      <c r="R48" s="177"/>
      <c r="S48" s="177"/>
      <c r="T48" s="177"/>
      <c r="U48" s="177"/>
      <c r="V48" s="177"/>
      <c r="W48" s="177"/>
      <c r="X48" s="177"/>
      <c r="Y48" s="177"/>
      <c r="Z48" s="177"/>
    </row>
    <row r="49" spans="1:26" ht="14.65" thickBot="1">
      <c r="A49" s="79"/>
      <c r="B49" s="80"/>
      <c r="C49" s="128" t="s">
        <v>245</v>
      </c>
      <c r="D49" s="80"/>
      <c r="E49" s="129" t="s">
        <v>246</v>
      </c>
      <c r="F49" s="130"/>
      <c r="G49" s="128" t="s">
        <v>248</v>
      </c>
      <c r="H49" s="80"/>
      <c r="I49" s="128" t="s">
        <v>211</v>
      </c>
      <c r="J49" s="80"/>
      <c r="K49" s="131" t="s">
        <v>144</v>
      </c>
      <c r="L49" s="80"/>
      <c r="M49" s="80"/>
      <c r="N49" s="81"/>
      <c r="O49" s="167"/>
      <c r="P49" s="177"/>
      <c r="Q49" s="177"/>
      <c r="R49" s="177"/>
      <c r="S49" s="177"/>
      <c r="T49" s="177"/>
      <c r="U49" s="177"/>
      <c r="V49" s="177"/>
      <c r="W49" s="177"/>
      <c r="X49" s="177"/>
      <c r="Y49" s="177"/>
      <c r="Z49" s="177"/>
    </row>
    <row r="50" spans="1:26" ht="28.9" thickBot="1">
      <c r="A50" s="131" t="s">
        <v>212</v>
      </c>
      <c r="B50" s="80"/>
      <c r="C50" s="204">
        <v>8000</v>
      </c>
      <c r="D50" s="80"/>
      <c r="E50" s="132" t="str">
        <f>_xlfn.IFS(C50 = 0, 0, AND(C50&lt;&gt;" ", C51 = 0), "11.2", AND(C50&lt;&gt;" ", C51&lt;&gt;" "), "5.6")</f>
        <v>5.6</v>
      </c>
      <c r="F50" s="80"/>
      <c r="G50" s="132" t="str">
        <f>_xlfn.IFS(E50 = 0,"0", AND(E50&lt;&gt;" ",E51&lt;&gt;0),"0.05", AND(E50&lt;&gt;" ",E51 = 0), "0.1")</f>
        <v>0.05</v>
      </c>
      <c r="H50" s="80"/>
      <c r="I50" s="133">
        <f>C50/G50*E50</f>
        <v>896000</v>
      </c>
      <c r="J50" s="80"/>
      <c r="K50" s="79"/>
      <c r="L50" s="80" t="s">
        <v>213</v>
      </c>
      <c r="M50" s="275" t="s">
        <v>250</v>
      </c>
      <c r="N50" s="277" t="s">
        <v>249</v>
      </c>
      <c r="O50" s="167"/>
      <c r="P50" s="177"/>
      <c r="Q50" s="177"/>
      <c r="R50" s="177"/>
      <c r="S50" s="177"/>
      <c r="T50" s="177"/>
      <c r="U50" s="177"/>
      <c r="V50" s="177"/>
      <c r="W50" s="177"/>
      <c r="X50" s="177"/>
      <c r="Y50" s="177"/>
      <c r="Z50" s="177"/>
    </row>
    <row r="51" spans="1:26" ht="14.65" thickBot="1">
      <c r="A51" s="131" t="s">
        <v>214</v>
      </c>
      <c r="B51" s="80"/>
      <c r="C51" s="20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4">
        <v>800000</v>
      </c>
      <c r="M51" s="276">
        <f>I50/L51</f>
        <v>1.1200000000000001</v>
      </c>
      <c r="N51" s="268">
        <f>E50-M51</f>
        <v>4.4799999999999995</v>
      </c>
      <c r="O51" s="79"/>
      <c r="P51" s="177"/>
      <c r="Q51" s="177"/>
      <c r="R51" s="177"/>
      <c r="S51" s="177"/>
      <c r="T51" s="177"/>
      <c r="U51" s="177"/>
      <c r="V51" s="177"/>
      <c r="W51" s="177"/>
      <c r="X51" s="177"/>
      <c r="Y51" s="177"/>
      <c r="Z51" s="177"/>
    </row>
    <row r="52" spans="1:26" ht="14.65" thickBot="1">
      <c r="A52" s="86"/>
      <c r="B52" s="87"/>
      <c r="C52" s="87"/>
      <c r="D52" s="87"/>
      <c r="E52" s="136"/>
      <c r="F52" s="80"/>
      <c r="G52" s="136"/>
      <c r="H52" s="136"/>
      <c r="I52" s="80"/>
      <c r="J52" s="80"/>
      <c r="K52" s="86" t="s">
        <v>216</v>
      </c>
      <c r="L52" s="174">
        <v>809000</v>
      </c>
      <c r="M52" s="272">
        <f>I51/L52</f>
        <v>0.553770086526576</v>
      </c>
      <c r="N52" s="274">
        <f>E51-0.1</f>
        <v>5.5</v>
      </c>
      <c r="O52" s="167"/>
      <c r="P52" s="177"/>
      <c r="Q52" s="177"/>
      <c r="R52" s="177"/>
      <c r="S52" s="177"/>
      <c r="T52" s="177"/>
      <c r="U52" s="177"/>
      <c r="V52" s="177"/>
      <c r="W52" s="177"/>
      <c r="X52" s="177"/>
      <c r="Y52" s="177"/>
      <c r="Z52" s="177"/>
    </row>
    <row r="53" spans="1:26" ht="14.65" thickBot="1">
      <c r="A53" s="137" t="s">
        <v>217</v>
      </c>
      <c r="B53" s="77"/>
      <c r="C53" s="77"/>
      <c r="D53" s="267">
        <v>0.52083333333333337</v>
      </c>
      <c r="E53" s="87"/>
      <c r="F53" s="87"/>
      <c r="G53" s="87"/>
      <c r="H53" s="87"/>
      <c r="I53" s="87"/>
      <c r="J53" s="87"/>
      <c r="K53" s="87"/>
      <c r="L53" s="87"/>
      <c r="M53" s="87"/>
      <c r="N53" s="87"/>
      <c r="O53" s="87"/>
      <c r="P53" s="177"/>
      <c r="Q53" s="177"/>
      <c r="R53" s="177"/>
      <c r="S53" s="177"/>
      <c r="T53" s="177"/>
      <c r="U53" s="177"/>
      <c r="V53" s="177"/>
      <c r="W53" s="177"/>
      <c r="X53" s="177"/>
      <c r="Y53" s="177"/>
      <c r="Z53" s="177"/>
    </row>
    <row r="54" spans="1:26" ht="14.65" customHeight="1">
      <c r="P54" s="177"/>
      <c r="Q54" s="177"/>
      <c r="R54" s="177"/>
      <c r="S54" s="177"/>
      <c r="T54" s="177"/>
      <c r="U54" s="177"/>
      <c r="V54" s="177"/>
      <c r="W54" s="177"/>
      <c r="X54" s="177"/>
      <c r="Y54" s="177"/>
      <c r="Z54" s="177"/>
    </row>
    <row r="55" spans="1:26" ht="14.65" customHeight="1">
      <c r="A55" s="11" t="s">
        <v>219</v>
      </c>
      <c r="B55" s="11"/>
      <c r="C55" s="11" t="str">
        <f>CONCATENATE((R8),U8)</f>
        <v>AmaxaCB-150</v>
      </c>
      <c r="P55" s="177"/>
      <c r="Q55" s="177"/>
      <c r="R55" s="177"/>
      <c r="S55" s="177"/>
      <c r="T55" s="177"/>
      <c r="U55" s="177"/>
      <c r="V55" s="177"/>
      <c r="W55" s="177"/>
      <c r="X55" s="177"/>
      <c r="Y55" s="177"/>
      <c r="Z55" s="177"/>
    </row>
    <row r="56" spans="1:26" ht="14.65" customHeight="1">
      <c r="P56" s="177"/>
      <c r="Q56" s="177"/>
      <c r="R56" s="177"/>
      <c r="S56" s="177"/>
      <c r="T56" s="177"/>
      <c r="U56" s="177"/>
      <c r="V56" s="177"/>
      <c r="W56" s="177"/>
      <c r="X56" s="177"/>
      <c r="Y56" s="177"/>
      <c r="Z56" s="177"/>
    </row>
    <row r="58" spans="1:26" ht="14.25">
      <c r="B58" s="11"/>
      <c r="D58" s="11"/>
    </row>
    <row r="59" spans="1:26" ht="14.25">
      <c r="D59" s="11"/>
    </row>
  </sheetData>
  <sheetProtection algorithmName="SHA-512" hashValue="CTnVfLC+BW+HnqhdQUkn5C6efevRTAOXGtNv6czhAcrciyQBZio8ZWDtZdfAfALpnzy5+/hEalEQL4niLiKIuA==" saltValue="fKUWvZOFkhL+bzShYdqCfw==" spinCount="100000" sheet="1" scenarios="1" selectLockedCells="1"/>
  <mergeCells count="15">
    <mergeCell ref="F29:H29"/>
    <mergeCell ref="W14:X14"/>
    <mergeCell ref="P21:W21"/>
    <mergeCell ref="P22:W22"/>
    <mergeCell ref="P23:W23"/>
    <mergeCell ref="P24:W24"/>
    <mergeCell ref="AA12:AB12"/>
    <mergeCell ref="AA13:AC13"/>
    <mergeCell ref="AA14:AB14"/>
    <mergeCell ref="T4:U4"/>
    <mergeCell ref="S10:U10"/>
    <mergeCell ref="S12:T12"/>
    <mergeCell ref="W12:X12"/>
    <mergeCell ref="S13:U13"/>
    <mergeCell ref="W13:Y13"/>
  </mergeCells>
  <conditionalFormatting sqref="H6:I6 A9:I9 N6:O9">
    <cfRule type="expression" priority="23">
      <formula>"row if val(a..) EVEN"</formula>
    </cfRule>
    <cfRule type="expression" dxfId="107" priority="24">
      <formula>"row is even"</formula>
    </cfRule>
  </conditionalFormatting>
  <conditionalFormatting sqref="B10 A6:F6">
    <cfRule type="expression" priority="31">
      <formula>"row if val(a..) EVEN"</formula>
    </cfRule>
    <cfRule type="expression" dxfId="106" priority="32">
      <formula>"row is even"</formula>
    </cfRule>
  </conditionalFormatting>
  <conditionalFormatting sqref="D5">
    <cfRule type="expression" priority="29">
      <formula>"row if val(a..) EVEN"</formula>
    </cfRule>
    <cfRule type="expression" dxfId="105" priority="30">
      <formula>"row is even"</formula>
    </cfRule>
  </conditionalFormatting>
  <conditionalFormatting sqref="E10">
    <cfRule type="expression" priority="27">
      <formula>"row if val(a..) EVEN"</formula>
    </cfRule>
    <cfRule type="expression" dxfId="104" priority="28">
      <formula>"row is even"</formula>
    </cfRule>
  </conditionalFormatting>
  <conditionalFormatting sqref="C10">
    <cfRule type="expression" priority="25">
      <formula>"row if val(a..) EVEN"</formula>
    </cfRule>
    <cfRule type="expression" dxfId="103" priority="26">
      <formula>"row is even"</formula>
    </cfRule>
  </conditionalFormatting>
  <conditionalFormatting sqref="Q6 P4 S6 P2:Q2 S2:U2 P5:T5">
    <cfRule type="expression" priority="19">
      <formula>"row if val(a..) EVEN"</formula>
    </cfRule>
    <cfRule type="expression" dxfId="102" priority="20">
      <formula>"row is even"</formula>
    </cfRule>
  </conditionalFormatting>
  <conditionalFormatting sqref="Q4 T6">
    <cfRule type="expression" priority="21">
      <formula>"row if val(a..) EVEN"</formula>
    </cfRule>
    <cfRule type="expression" dxfId="101" priority="22">
      <formula>"row is even"</formula>
    </cfRule>
  </conditionalFormatting>
  <conditionalFormatting sqref="H8:I8 A7 C7">
    <cfRule type="expression" priority="15">
      <formula>"row if val(a..) EVEN"</formula>
    </cfRule>
    <cfRule type="expression" dxfId="100" priority="16">
      <formula>"row is even"</formula>
    </cfRule>
  </conditionalFormatting>
  <conditionalFormatting sqref="E8:F8 A8 G7">
    <cfRule type="expression" priority="17">
      <formula>"row if val(a..) EVEN"</formula>
    </cfRule>
    <cfRule type="expression" dxfId="99" priority="18">
      <formula>"row is even"</formula>
    </cfRule>
  </conditionalFormatting>
  <conditionalFormatting sqref="A11:I11">
    <cfRule type="expression" priority="13">
      <formula>"row if val(a..) EVEN"</formula>
    </cfRule>
    <cfRule type="expression" dxfId="98" priority="14">
      <formula>"row is even"</formula>
    </cfRule>
  </conditionalFormatting>
  <conditionalFormatting sqref="R4">
    <cfRule type="expression" priority="11">
      <formula>"row if val(a..) EVEN"</formula>
    </cfRule>
    <cfRule type="expression" dxfId="97" priority="12">
      <formula>"row is even"</formula>
    </cfRule>
  </conditionalFormatting>
  <conditionalFormatting sqref="V6">
    <cfRule type="expression" priority="9">
      <formula>"row if val(a..) EVEN"</formula>
    </cfRule>
    <cfRule type="expression" dxfId="96" priority="10">
      <formula>"row is even"</formula>
    </cfRule>
  </conditionalFormatting>
  <conditionalFormatting sqref="J6:M6 L7:M8 J9:M9">
    <cfRule type="expression" priority="5">
      <formula>"row if val(a..) EVEN"</formula>
    </cfRule>
    <cfRule type="expression" dxfId="95" priority="6">
      <formula>"row is even"</formula>
    </cfRule>
  </conditionalFormatting>
  <conditionalFormatting sqref="J10">
    <cfRule type="expression" priority="7">
      <formula>"row if val(a..) EVEN"</formula>
    </cfRule>
    <cfRule type="expression" dxfId="94" priority="8">
      <formula>"row is even"</formula>
    </cfRule>
  </conditionalFormatting>
  <conditionalFormatting sqref="J8:K8">
    <cfRule type="expression" priority="3">
      <formula>"row if val(a..) EVEN"</formula>
    </cfRule>
    <cfRule type="expression" dxfId="93" priority="4">
      <formula>"row is even"</formula>
    </cfRule>
  </conditionalFormatting>
  <conditionalFormatting sqref="J11:K11">
    <cfRule type="expression" priority="1">
      <formula>"row if val(a..) EVEN"</formula>
    </cfRule>
    <cfRule type="expression" dxfId="92" priority="2">
      <formula>"row is even"</formula>
    </cfRule>
  </conditionalFormatting>
  <dataValidations count="10">
    <dataValidation type="textLength" operator="equal" allowBlank="1" showErrorMessage="1" sqref="D5" xr:uid="{DD3D13E0-2D97-40C3-BFED-0ACCC527BF36}">
      <formula1>8</formula1>
    </dataValidation>
    <dataValidation type="time" allowBlank="1" showInputMessage="1" showErrorMessage="1" sqref="D53" xr:uid="{81333E55-A895-47CD-A2CD-CF3C6B00DB07}">
      <formula1>0</formula1>
      <formula2>0.999305555555556</formula2>
    </dataValidation>
    <dataValidation type="textLength" operator="equal" allowBlank="1" showInputMessage="1" showErrorMessage="1" prompt="ex. 20200110" sqref="D8" xr:uid="{F800066D-99BE-4467-ACDD-D6BBE436A182}">
      <formula1>8</formula1>
    </dataValidation>
    <dataValidation allowBlank="1" showInputMessage="1" showErrorMessage="1" prompt="ex: 534e3" sqref="L51:L52" xr:uid="{8690B29A-1B7E-416C-9CE3-E67A1FBF1908}"/>
    <dataValidation allowBlank="1" showInputMessage="1" showErrorMessage="1" prompt="Enter a number (e.g. 1e6)" sqref="C42" xr:uid="{027D7B01-92FE-499F-9F97-C198D7BE5969}"/>
    <dataValidation type="textLength" operator="equal" allowBlank="1" showInputMessage="1" showErrorMessage="1" prompt="ex: 20190417" sqref="G9 E10 S6 C7 Q6 V6 R4" xr:uid="{00095ABC-D759-452F-885D-B66F87E3D7CE}">
      <formula1>8</formula1>
    </dataValidation>
    <dataValidation type="whole" allowBlank="1" showInputMessage="1" showErrorMessage="1" prompt="enter a number" sqref="H10 E7" xr:uid="{8892DC51-00E1-47B5-9CB0-90205E1E8307}">
      <formula1>0</formula1>
      <formula2>10</formula2>
    </dataValidation>
    <dataValidation type="whole" allowBlank="1" showInputMessage="1" showErrorMessage="1" prompt="Enter a number" sqref="H7 K10" xr:uid="{A0C8CD01-EE9E-430D-8A9D-A142F8607981}">
      <formula1>1</formula1>
      <formula2>50</formula2>
    </dataValidation>
    <dataValidation type="whole" allowBlank="1" showInputMessage="1" prompt="number" sqref="T5" xr:uid="{E2ABBC3B-4092-4C45-AB4E-99BCAE89AB55}">
      <formula1>10</formula1>
      <formula2>50</formula2>
    </dataValidation>
    <dataValidation operator="equal" allowBlank="1" showInputMessage="1" showErrorMessage="1" prompt="ex: 20190417" sqref="C10 R5" xr:uid="{1C408CD8-01ED-49CC-BCF5-7E5B524B39AB}"/>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4DDA5CC2-F860-4C5C-8223-2380B5702093}">
          <x14:formula1>
            <xm:f>'Data validation criteria'!$D$34:$D$38</xm:f>
          </x14:formula1>
          <xm:sqref>T4:U4</xm:sqref>
        </x14:dataValidation>
        <x14:dataValidation type="list" allowBlank="1" showInputMessage="1" showErrorMessage="1" xr:uid="{15F731B5-6B90-448E-8972-F18C628A2F0B}">
          <x14:formula1>
            <xm:f>'Data validation criteria'!$F$2:$F$7</xm:f>
          </x14:formula1>
          <xm:sqref>T2</xm:sqref>
        </x14:dataValidation>
        <x14:dataValidation type="list" allowBlank="1" showInputMessage="1" showErrorMessage="1" xr:uid="{C7DE5298-BB85-48D8-BC6E-83AD71FBB3DC}">
          <x14:formula1>
            <xm:f>'Data validation criteria'!$E$21:$E$25</xm:f>
          </x14:formula1>
          <xm:sqref>Q2</xm:sqref>
        </x14:dataValidation>
        <x14:dataValidation type="list" allowBlank="1" showInputMessage="1" showErrorMessage="1" xr:uid="{AF3C50FF-CB18-4F8B-9DAB-53CB5348950E}">
          <x14:formula1>
            <xm:f>'Data validation criteria'!$J$21:$J$25</xm:f>
          </x14:formula1>
          <xm:sqref>S14</xm:sqref>
        </x14:dataValidation>
        <x14:dataValidation type="list" allowBlank="1" showInputMessage="1" showErrorMessage="1" xr:uid="{8AFA82EB-0EB0-4632-AAA0-8F2EF5BC8818}">
          <x14:formula1>
            <xm:f>'Data validation criteria'!$A$21:$A$27</xm:f>
          </x14:formula1>
          <xm:sqref>S13:U13 W13:Y13 AA13:AC13</xm:sqref>
        </x14:dataValidation>
        <x14:dataValidation type="list" allowBlank="1" showInputMessage="1" showErrorMessage="1" xr:uid="{B78FB82F-4021-42D0-90A8-F7D0A6C61EDC}">
          <x14:formula1>
            <xm:f>'Data validation criteria'!$I$21:$I$25</xm:f>
          </x14:formula1>
          <xm:sqref>S12 W12 AA12</xm:sqref>
        </x14:dataValidation>
        <x14:dataValidation type="list" allowBlank="1" showInputMessage="1" showErrorMessage="1" xr:uid="{2C46EB8F-2F29-4502-8BD6-1DD62032FF50}">
          <x14:formula1>
            <xm:f>'Data validation criteria'!$J$21:$J$24</xm:f>
          </x14:formula1>
          <xm:sqref>W10 W14:X14 AA14:AB14</xm:sqref>
        </x14:dataValidation>
        <x14:dataValidation type="list" allowBlank="1" showInputMessage="1" showErrorMessage="1" xr:uid="{F65952E9-89D3-440C-9694-ABBB899B1E4C}">
          <x14:formula1>
            <xm:f>'Data validation criteria'!$A$21:$A$28</xm:f>
          </x14:formula1>
          <xm:sqref>S10</xm:sqref>
        </x14:dataValidation>
        <x14:dataValidation type="list" allowBlank="1" showInputMessage="1" showErrorMessage="1" xr:uid="{7ADA494C-5A1F-4107-8EE5-C18EEE51B723}">
          <x14:formula1>
            <xm:f>'Data validation criteria'!$L$21:$L$23</xm:f>
          </x14:formula1>
          <xm:sqref>X8</xm:sqref>
        </x14:dataValidation>
        <x14:dataValidation type="list" allowBlank="1" showInputMessage="1" showErrorMessage="1" xr:uid="{0F5CB166-CB37-416C-8957-9232FB750A33}">
          <x14:formula1>
            <xm:f>'Data validation criteria'!$A$34:$A$39</xm:f>
          </x14:formula1>
          <xm:sqref>U8</xm:sqref>
        </x14:dataValidation>
        <x14:dataValidation type="list" allowBlank="1" showInputMessage="1" showErrorMessage="1" xr:uid="{9FA8FC3C-B308-4D44-8978-ED6EA531C2C4}">
          <x14:formula1>
            <xm:f>'Data validation criteria'!$F$21:$F$23</xm:f>
          </x14:formula1>
          <xm:sqref>R8</xm:sqref>
        </x14:dataValidation>
        <x14:dataValidation type="list" allowBlank="1" showInputMessage="1" showErrorMessage="1" xr:uid="{5341C238-825D-46D7-AB21-A301C9C237D8}">
          <x14:formula1>
            <xm:f>'Data validation criteria'!$D$21:$D$25</xm:f>
          </x14:formula1>
          <xm:sqref>G11</xm:sqref>
        </x14:dataValidation>
        <x14:dataValidation type="list" allowBlank="1" showInputMessage="1" showErrorMessage="1" xr:uid="{820627E9-D76C-4DC6-A273-CB510DA46904}">
          <x14:formula1>
            <xm:f>'Data validation criteria'!$N$21:$N$30</xm:f>
          </x14:formula1>
          <xm:sqref>D13</xm:sqref>
        </x14:dataValidation>
        <x14:dataValidation type="list" allowBlank="1" showInputMessage="1" showErrorMessage="1" xr:uid="{26C90454-01B9-41AF-99F9-8CB622E462DC}">
          <x14:formula1>
            <xm:f>'Data validation criteria'!$M$21:$M$30</xm:f>
          </x14:formula1>
          <xm:sqref>D12</xm:sqref>
        </x14:dataValidation>
        <x14:dataValidation type="list" allowBlank="1" showInputMessage="1" showErrorMessage="1" xr:uid="{18052439-5707-4351-8525-9E9C3A0CC117}">
          <x14:formula1>
            <xm:f>'Data validation criteria'!$C$21:$C$25</xm:f>
          </x14:formula1>
          <xm:sqref>D11</xm:sqref>
        </x14:dataValidation>
        <x14:dataValidation type="list" allowBlank="1" showInputMessage="1" showErrorMessage="1" xr:uid="{0B0C2642-9132-4726-B5A0-8C4F3A14BEFB}">
          <x14:formula1>
            <xm:f>'Data validation criteria'!$A$3:$A$9</xm:f>
          </x14:formula1>
          <xm:sqref>D4 C4:C5</xm:sqref>
        </x14:dataValidation>
        <x14:dataValidation type="list" showInputMessage="1" showErrorMessage="1" xr:uid="{5FB6B923-DC74-40D7-A735-CB201044BD0E}">
          <x14:formula1>
            <xm:f>'Data validation criteria'!$K$21:$K$26</xm:f>
          </x14:formula1>
          <xm:sqref>H13</xm:sqref>
        </x14:dataValidation>
        <x14:dataValidation type="list" allowBlank="1" showInputMessage="1" showErrorMessage="1" xr:uid="{AFCABBEF-4AF1-4B9A-BE46-C82D683B5213}">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AF04024C-DDD6-4628-B93C-CBB8DAEAA347}">
          <x14:formula1>
            <xm:f>'Data validation criteria'!$G$34:$G$39</xm:f>
          </x14:formula1>
          <xm:sqref>L13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F4D93-E825-4FCB-A733-7B3E80E3B0CB}">
  <sheetPr codeName="WSMetadataTemplate2"/>
  <dimension ref="A1:AI59"/>
  <sheetViews>
    <sheetView showGridLines="0" zoomScale="60" zoomScaleNormal="60" workbookViewId="0">
      <selection activeCell="I22" sqref="I2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37"/>
      <c r="P1" s="237"/>
      <c r="Q1" s="237"/>
      <c r="R1" s="237"/>
      <c r="S1" s="237"/>
      <c r="T1" s="237"/>
      <c r="U1" s="237"/>
      <c r="V1" s="237"/>
      <c r="W1" s="237"/>
      <c r="X1" s="237"/>
      <c r="Y1" s="237"/>
      <c r="Z1" s="237"/>
      <c r="AA1" s="237"/>
      <c r="AB1" s="237"/>
      <c r="AC1" s="237"/>
      <c r="AD1" s="41"/>
      <c r="AE1" s="41"/>
      <c r="AF1" s="41"/>
      <c r="AG1" s="41"/>
      <c r="AH1" s="41"/>
      <c r="AI1" s="41"/>
    </row>
    <row r="2" spans="1:35" ht="14.65" thickBot="1">
      <c r="A2" s="11" t="s">
        <v>0</v>
      </c>
      <c r="B2" s="9"/>
      <c r="C2" s="9"/>
      <c r="D2" s="9"/>
      <c r="E2" s="9"/>
      <c r="F2" s="9"/>
      <c r="G2" s="9"/>
      <c r="H2" s="9"/>
      <c r="I2" s="9"/>
      <c r="J2" s="9"/>
      <c r="K2" s="9"/>
      <c r="L2" s="9"/>
      <c r="O2" s="207"/>
      <c r="P2" s="238" t="s">
        <v>3</v>
      </c>
      <c r="Q2" s="204" t="s">
        <v>42</v>
      </c>
      <c r="R2" s="205"/>
      <c r="S2" s="206" t="s">
        <v>5</v>
      </c>
      <c r="T2" s="204" t="s">
        <v>6</v>
      </c>
      <c r="U2" s="14"/>
      <c r="V2" s="14"/>
      <c r="W2" s="14"/>
      <c r="X2" s="14"/>
      <c r="Y2" s="14"/>
      <c r="Z2" s="207"/>
      <c r="AA2" s="207"/>
      <c r="AB2" s="207"/>
      <c r="AC2" s="207"/>
    </row>
    <row r="3" spans="1:35" ht="14.65" thickBot="1">
      <c r="A3" s="9"/>
      <c r="B3" s="9"/>
      <c r="C3" s="9"/>
      <c r="D3" s="9"/>
      <c r="E3" s="9"/>
      <c r="F3" s="9"/>
      <c r="G3" s="9"/>
      <c r="H3" s="9"/>
      <c r="I3" s="9"/>
      <c r="J3" s="9"/>
      <c r="K3" s="9"/>
      <c r="L3" s="9"/>
      <c r="O3" s="207"/>
      <c r="P3" s="14"/>
      <c r="Q3" s="14"/>
      <c r="R3" s="14"/>
      <c r="S3" s="14"/>
      <c r="T3" s="14"/>
      <c r="U3" s="14"/>
      <c r="V3" s="14"/>
      <c r="W3" s="14"/>
      <c r="X3" s="14"/>
      <c r="Y3" s="14"/>
      <c r="Z3" s="207"/>
      <c r="AA3" s="207"/>
      <c r="AB3" s="207"/>
      <c r="AC3" s="207"/>
    </row>
    <row r="4" spans="1:35" ht="14.25">
      <c r="A4" s="254" t="s">
        <v>174</v>
      </c>
      <c r="B4" s="310" t="s">
        <v>165</v>
      </c>
      <c r="C4" s="310"/>
      <c r="D4" s="222" t="s">
        <v>1</v>
      </c>
      <c r="E4" s="310"/>
      <c r="F4" s="310"/>
      <c r="G4" s="310"/>
      <c r="H4" s="310"/>
      <c r="I4" s="294"/>
      <c r="J4" s="373"/>
      <c r="K4" s="373"/>
      <c r="L4" s="373"/>
      <c r="M4" s="406"/>
      <c r="O4" s="207"/>
      <c r="P4" s="239" t="s">
        <v>167</v>
      </c>
      <c r="Q4" s="208"/>
      <c r="R4" s="209" t="s">
        <v>220</v>
      </c>
      <c r="S4" s="210" t="s">
        <v>221</v>
      </c>
      <c r="T4" s="533" t="s">
        <v>168</v>
      </c>
      <c r="U4" s="533"/>
      <c r="V4" s="211"/>
      <c r="W4" s="14"/>
      <c r="X4" s="14"/>
      <c r="Y4" s="14"/>
      <c r="Z4" s="207"/>
      <c r="AA4" s="207"/>
      <c r="AB4" s="207"/>
      <c r="AC4" s="207"/>
    </row>
    <row r="5" spans="1:35" ht="14.25">
      <c r="A5" s="311"/>
      <c r="B5" s="312" t="s">
        <v>2</v>
      </c>
      <c r="C5" s="312"/>
      <c r="D5" s="255" t="s">
        <v>236</v>
      </c>
      <c r="E5" s="312"/>
      <c r="F5" s="312"/>
      <c r="G5" s="312"/>
      <c r="H5" s="312"/>
      <c r="I5" s="296"/>
      <c r="J5" s="374"/>
      <c r="K5" s="403"/>
      <c r="L5" s="403"/>
      <c r="M5" s="407"/>
      <c r="O5" s="207"/>
      <c r="P5" s="240" t="s">
        <v>7</v>
      </c>
      <c r="Q5" s="212"/>
      <c r="R5" s="209" t="s">
        <v>43</v>
      </c>
      <c r="S5" s="213" t="s">
        <v>11</v>
      </c>
      <c r="T5" s="204">
        <v>41</v>
      </c>
      <c r="U5" s="14"/>
      <c r="V5" s="214"/>
      <c r="W5" s="14"/>
      <c r="X5" s="14"/>
      <c r="Y5" s="14"/>
      <c r="Z5" s="207"/>
      <c r="AA5" s="207"/>
      <c r="AB5" s="207"/>
      <c r="AC5" s="207"/>
    </row>
    <row r="6" spans="1:35" ht="14.65" thickBot="1">
      <c r="A6" s="311"/>
      <c r="B6" s="312"/>
      <c r="C6" s="256"/>
      <c r="D6" s="257"/>
      <c r="E6" s="312"/>
      <c r="F6" s="312"/>
      <c r="G6" s="312"/>
      <c r="H6" s="312"/>
      <c r="I6" s="296"/>
      <c r="J6" s="374"/>
      <c r="K6" s="403"/>
      <c r="L6" s="403"/>
      <c r="M6" s="407"/>
      <c r="N6" s="42"/>
      <c r="O6" s="241"/>
      <c r="P6" s="242" t="s">
        <v>169</v>
      </c>
      <c r="Q6" s="209" t="s">
        <v>44</v>
      </c>
      <c r="R6" s="215" t="s">
        <v>170</v>
      </c>
      <c r="S6" s="209" t="s">
        <v>44</v>
      </c>
      <c r="T6" s="216" t="s">
        <v>12</v>
      </c>
      <c r="U6" s="217"/>
      <c r="V6" s="209"/>
      <c r="W6" s="14"/>
      <c r="X6" s="14"/>
      <c r="Y6" s="14"/>
      <c r="Z6" s="207"/>
      <c r="AA6" s="207"/>
      <c r="AB6" s="207"/>
      <c r="AC6" s="207"/>
    </row>
    <row r="7" spans="1:35" ht="14.65" thickBot="1">
      <c r="A7" s="311"/>
      <c r="B7" s="313" t="s">
        <v>8</v>
      </c>
      <c r="C7" s="314" t="s">
        <v>238</v>
      </c>
      <c r="D7" s="312" t="s">
        <v>9</v>
      </c>
      <c r="E7" s="315">
        <v>2</v>
      </c>
      <c r="F7" s="312"/>
      <c r="G7" s="313" t="s">
        <v>10</v>
      </c>
      <c r="H7" s="264">
        <f>T5+1+E7</f>
        <v>44</v>
      </c>
      <c r="I7" s="296"/>
      <c r="J7" s="374"/>
      <c r="K7" s="403"/>
      <c r="L7" s="403"/>
      <c r="M7" s="407"/>
      <c r="N7" s="42"/>
      <c r="O7" s="241"/>
      <c r="P7" s="14"/>
      <c r="Q7" s="14"/>
      <c r="R7" s="14"/>
      <c r="S7" s="14"/>
      <c r="T7" s="14"/>
      <c r="U7" s="14"/>
      <c r="V7" s="14"/>
      <c r="W7" s="14"/>
      <c r="X7" s="14"/>
      <c r="Y7" s="14"/>
      <c r="Z7" s="207"/>
      <c r="AA7" s="207"/>
      <c r="AB7" s="207"/>
      <c r="AC7" s="207"/>
    </row>
    <row r="8" spans="1:35" ht="14.65" thickBot="1">
      <c r="A8" s="311"/>
      <c r="B8" s="312" t="s">
        <v>173</v>
      </c>
      <c r="C8" s="312"/>
      <c r="D8" s="315">
        <v>20200213</v>
      </c>
      <c r="E8" s="312"/>
      <c r="F8" s="312"/>
      <c r="G8" s="312"/>
      <c r="H8" s="312"/>
      <c r="I8" s="296"/>
      <c r="J8" s="374"/>
      <c r="K8" s="403"/>
      <c r="L8" s="403"/>
      <c r="M8" s="407"/>
      <c r="N8" s="42"/>
      <c r="O8" s="241"/>
      <c r="P8" s="243" t="s">
        <v>171</v>
      </c>
      <c r="Q8" s="205"/>
      <c r="R8" s="204" t="s">
        <v>32</v>
      </c>
      <c r="S8" s="218" t="s">
        <v>33</v>
      </c>
      <c r="T8" s="205"/>
      <c r="U8" s="204" t="s">
        <v>34</v>
      </c>
      <c r="V8" s="219" t="s">
        <v>35</v>
      </c>
      <c r="W8" s="205"/>
      <c r="X8" s="204" t="s">
        <v>36</v>
      </c>
      <c r="Y8" s="14"/>
      <c r="Z8" s="207"/>
      <c r="AA8" s="207"/>
      <c r="AB8" s="207"/>
      <c r="AC8" s="207"/>
    </row>
    <row r="9" spans="1:35" ht="14.65" thickBot="1">
      <c r="A9" s="316"/>
      <c r="B9" s="16"/>
      <c r="C9" s="16"/>
      <c r="D9" s="16"/>
      <c r="E9" s="16"/>
      <c r="F9" s="16"/>
      <c r="G9" s="16"/>
      <c r="H9" s="16"/>
      <c r="I9" s="69"/>
      <c r="J9" s="8"/>
      <c r="K9" s="10"/>
      <c r="L9" s="404"/>
      <c r="M9" s="408"/>
      <c r="N9" s="42"/>
      <c r="O9" s="241"/>
      <c r="P9" s="14"/>
      <c r="Q9" s="14"/>
      <c r="R9" s="14"/>
      <c r="S9" s="14"/>
      <c r="T9" s="14"/>
      <c r="U9" s="14"/>
      <c r="V9" s="14"/>
      <c r="W9" s="14"/>
      <c r="X9" s="14"/>
      <c r="Y9" s="14"/>
      <c r="Z9" s="207"/>
      <c r="AA9" s="207"/>
      <c r="AB9" s="207"/>
      <c r="AC9" s="207"/>
    </row>
    <row r="10" spans="1:35" ht="14.25">
      <c r="A10" s="317"/>
      <c r="B10" s="16"/>
      <c r="C10" s="265"/>
      <c r="D10" s="266"/>
      <c r="E10" s="265"/>
      <c r="F10" s="16"/>
      <c r="G10" s="16"/>
      <c r="H10" s="16"/>
      <c r="I10" s="69"/>
      <c r="J10" s="375"/>
      <c r="K10" s="10"/>
      <c r="L10" s="10"/>
      <c r="M10" s="195"/>
      <c r="O10" s="207"/>
      <c r="P10" s="244" t="s">
        <v>13</v>
      </c>
      <c r="Q10" s="220"/>
      <c r="R10" s="220"/>
      <c r="S10" s="544" t="s">
        <v>14</v>
      </c>
      <c r="T10" s="544"/>
      <c r="U10" s="544"/>
      <c r="V10" s="221" t="s">
        <v>15</v>
      </c>
      <c r="W10" s="222" t="s">
        <v>16</v>
      </c>
      <c r="X10" s="208"/>
      <c r="Y10" s="208"/>
      <c r="Z10" s="223"/>
      <c r="AA10" s="223"/>
      <c r="AB10" s="223"/>
      <c r="AC10" s="224"/>
    </row>
    <row r="11" spans="1:35" ht="14.25">
      <c r="A11" s="318"/>
      <c r="B11" s="319" t="s">
        <v>22</v>
      </c>
      <c r="C11" s="320"/>
      <c r="D11" s="315" t="s">
        <v>23</v>
      </c>
      <c r="E11" s="320"/>
      <c r="F11" s="321" t="s">
        <v>24</v>
      </c>
      <c r="G11" s="315" t="s">
        <v>25</v>
      </c>
      <c r="H11" s="322" t="str">
        <f>IF(G11="m-Cherry","mCh",IF(G11="eGFP","GFP",""))</f>
        <v>mCh</v>
      </c>
      <c r="I11" s="306"/>
      <c r="J11" s="376"/>
      <c r="K11" s="405"/>
      <c r="L11" s="412" t="str">
        <f>IF(ISNUMBER(SEARCH(D11,S10)),"","CHECK PLASMID INFO")</f>
        <v/>
      </c>
      <c r="M11" s="409"/>
      <c r="O11" s="207"/>
      <c r="P11" s="245"/>
      <c r="Q11" s="225"/>
      <c r="R11" s="225"/>
      <c r="S11" s="226"/>
      <c r="T11" s="227"/>
      <c r="U11" s="227"/>
      <c r="V11" s="227"/>
      <c r="W11" s="227"/>
      <c r="X11" s="227"/>
      <c r="Y11" s="227"/>
      <c r="Z11" s="228"/>
      <c r="AA11" s="228"/>
      <c r="AB11" s="228"/>
      <c r="AC11" s="229"/>
    </row>
    <row r="12" spans="1:35" ht="14.25">
      <c r="A12" s="318"/>
      <c r="B12" s="320" t="s">
        <v>26</v>
      </c>
      <c r="C12" s="320"/>
      <c r="D12" s="315" t="s">
        <v>27</v>
      </c>
      <c r="E12" s="322"/>
      <c r="F12" s="322"/>
      <c r="G12" s="322"/>
      <c r="H12" s="322"/>
      <c r="I12" s="306"/>
      <c r="J12" s="376"/>
      <c r="K12" s="405"/>
      <c r="L12" s="413" t="str">
        <f>IF(ISNUMBER(SEARCH(G11,S12)),"","CHECK PLASMID INFO")</f>
        <v/>
      </c>
      <c r="M12" s="409"/>
      <c r="O12" s="207"/>
      <c r="P12" s="246"/>
      <c r="Q12" s="230" t="s">
        <v>17</v>
      </c>
      <c r="R12" s="231"/>
      <c r="S12" s="534" t="s">
        <v>25</v>
      </c>
      <c r="T12" s="534"/>
      <c r="U12" s="232"/>
      <c r="V12" s="233"/>
      <c r="W12" s="534" t="s">
        <v>240</v>
      </c>
      <c r="X12" s="534"/>
      <c r="Y12" s="232"/>
      <c r="Z12" s="233"/>
      <c r="AA12" s="534" t="s">
        <v>241</v>
      </c>
      <c r="AB12" s="534"/>
      <c r="AC12" s="323"/>
    </row>
    <row r="13" spans="1:35" ht="14.25">
      <c r="A13" s="318"/>
      <c r="B13" s="320" t="s">
        <v>29</v>
      </c>
      <c r="C13" s="320"/>
      <c r="D13" s="315" t="s">
        <v>30</v>
      </c>
      <c r="E13" s="322"/>
      <c r="F13" s="322"/>
      <c r="G13" s="321" t="s">
        <v>15</v>
      </c>
      <c r="H13" s="315" t="s">
        <v>28</v>
      </c>
      <c r="I13" s="306"/>
      <c r="J13" s="402"/>
      <c r="K13" s="321" t="s">
        <v>546</v>
      </c>
      <c r="L13" s="422" t="s">
        <v>550</v>
      </c>
      <c r="M13" s="410"/>
      <c r="O13" s="207"/>
      <c r="P13" s="247"/>
      <c r="Q13" s="235"/>
      <c r="R13" s="231" t="s">
        <v>239</v>
      </c>
      <c r="S13" s="534" t="s">
        <v>19</v>
      </c>
      <c r="T13" s="534"/>
      <c r="U13" s="534"/>
      <c r="V13" s="233"/>
      <c r="W13" s="534" t="s">
        <v>20</v>
      </c>
      <c r="X13" s="534"/>
      <c r="Y13" s="534"/>
      <c r="Z13" s="233"/>
      <c r="AA13" s="534" t="s">
        <v>14</v>
      </c>
      <c r="AB13" s="534"/>
      <c r="AC13" s="563"/>
    </row>
    <row r="14" spans="1:35" ht="14.65" thickBot="1">
      <c r="A14" s="307"/>
      <c r="B14" s="308"/>
      <c r="C14" s="308"/>
      <c r="D14" s="309"/>
      <c r="E14" s="309"/>
      <c r="F14" s="309"/>
      <c r="G14" s="309"/>
      <c r="H14" s="309"/>
      <c r="I14" s="309"/>
      <c r="J14" s="377"/>
      <c r="K14" s="377"/>
      <c r="L14" s="377"/>
      <c r="M14" s="411"/>
      <c r="N14" s="169"/>
      <c r="O14" s="207"/>
      <c r="P14" s="247"/>
      <c r="Q14" s="235"/>
      <c r="R14" s="231" t="s">
        <v>15</v>
      </c>
      <c r="S14" s="236" t="s">
        <v>16</v>
      </c>
      <c r="T14" s="232"/>
      <c r="U14" s="232"/>
      <c r="V14" s="233"/>
      <c r="W14" s="534" t="s">
        <v>21</v>
      </c>
      <c r="X14" s="534"/>
      <c r="Y14" s="232"/>
      <c r="Z14" s="233"/>
      <c r="AA14" s="534" t="s">
        <v>16</v>
      </c>
      <c r="AB14" s="534"/>
      <c r="AC14" s="323"/>
    </row>
    <row r="15" spans="1:35" ht="14.65" thickBot="1">
      <c r="A15" s="9"/>
      <c r="B15" s="9"/>
      <c r="C15" s="9"/>
      <c r="D15" s="9"/>
      <c r="E15" s="9"/>
      <c r="F15" s="9"/>
      <c r="G15" s="9"/>
      <c r="H15" s="9"/>
      <c r="I15" s="9"/>
      <c r="J15" s="9"/>
      <c r="K15" s="9"/>
      <c r="L15" s="9"/>
      <c r="O15" s="207"/>
      <c r="P15" s="248"/>
      <c r="Q15" s="249"/>
      <c r="R15" s="249"/>
      <c r="S15" s="250"/>
      <c r="T15" s="250"/>
      <c r="U15" s="250"/>
      <c r="V15" s="251"/>
      <c r="W15" s="250"/>
      <c r="X15" s="250"/>
      <c r="Y15" s="252"/>
      <c r="Z15" s="251"/>
      <c r="AA15" s="250"/>
      <c r="AB15" s="250"/>
      <c r="AC15" s="253"/>
    </row>
    <row r="16" spans="1:35" ht="12" thickBot="1">
      <c r="AA16" s="12" t="s">
        <v>242</v>
      </c>
    </row>
    <row r="17" spans="1:26" ht="14.65" thickBot="1">
      <c r="A17" s="254"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25">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51" t="s">
        <v>243</v>
      </c>
      <c r="Q21" s="552"/>
      <c r="R21" s="552"/>
      <c r="S21" s="552"/>
      <c r="T21" s="552"/>
      <c r="U21" s="552"/>
      <c r="V21" s="552"/>
      <c r="W21" s="553"/>
    </row>
    <row r="22" spans="1:26" ht="14.25">
      <c r="A22" s="79"/>
      <c r="B22" s="80" t="s">
        <v>229</v>
      </c>
      <c r="C22" s="80"/>
      <c r="D22" s="80"/>
      <c r="E22" s="80">
        <f>E50+E51</f>
        <v>11.2</v>
      </c>
      <c r="F22" s="80"/>
      <c r="G22" s="80" t="s">
        <v>181</v>
      </c>
      <c r="H22" s="81"/>
      <c r="P22" s="545"/>
      <c r="Q22" s="546"/>
      <c r="R22" s="546"/>
      <c r="S22" s="546"/>
      <c r="T22" s="546"/>
      <c r="U22" s="546"/>
      <c r="V22" s="546"/>
      <c r="W22" s="547"/>
    </row>
    <row r="23" spans="1:26" ht="14.65" thickBot="1">
      <c r="A23" s="79"/>
      <c r="B23" s="80"/>
      <c r="C23" s="80"/>
      <c r="D23" s="80"/>
      <c r="E23" s="83"/>
      <c r="F23" s="80"/>
      <c r="G23" s="80"/>
      <c r="H23" s="81"/>
      <c r="P23" s="545"/>
      <c r="Q23" s="546"/>
      <c r="R23" s="546"/>
      <c r="S23" s="546"/>
      <c r="T23" s="546"/>
      <c r="U23" s="546"/>
      <c r="V23" s="546"/>
      <c r="W23" s="547"/>
    </row>
    <row r="24" spans="1:26" ht="14.65" thickBot="1">
      <c r="A24" s="79"/>
      <c r="B24" s="149" t="s">
        <v>228</v>
      </c>
      <c r="C24" s="77"/>
      <c r="D24" s="74"/>
      <c r="E24" s="84">
        <f>SUM(E20:E22)</f>
        <v>17.7</v>
      </c>
      <c r="F24" s="85" t="s">
        <v>227</v>
      </c>
      <c r="G24" s="74"/>
      <c r="H24" s="81"/>
      <c r="P24" s="548"/>
      <c r="Q24" s="549"/>
      <c r="R24" s="549"/>
      <c r="S24" s="549"/>
      <c r="T24" s="549"/>
      <c r="U24" s="549"/>
      <c r="V24" s="549"/>
      <c r="W24" s="550"/>
    </row>
    <row r="25" spans="1:26" ht="14.65" thickBot="1">
      <c r="A25" s="86"/>
      <c r="B25" s="87"/>
      <c r="C25" s="87"/>
      <c r="D25" s="87"/>
      <c r="E25" s="88"/>
      <c r="F25" s="89"/>
      <c r="G25" s="87"/>
      <c r="H25" s="90"/>
    </row>
    <row r="27" spans="1:26" ht="14.65" thickBot="1">
      <c r="P27" s="11" t="s">
        <v>234</v>
      </c>
    </row>
    <row r="28" spans="1:26" ht="14.65" thickBot="1">
      <c r="A28" s="280" t="s">
        <v>174</v>
      </c>
      <c r="B28" s="281" t="s">
        <v>182</v>
      </c>
      <c r="C28" s="97"/>
      <c r="D28" s="97"/>
      <c r="E28" s="97"/>
      <c r="F28" s="97"/>
      <c r="G28" s="97"/>
      <c r="H28" s="97"/>
      <c r="I28" s="97" t="s">
        <v>183</v>
      </c>
      <c r="J28" s="97"/>
      <c r="K28" s="97"/>
      <c r="L28" s="97"/>
      <c r="M28" s="98"/>
      <c r="P28" s="178"/>
      <c r="Q28" s="179"/>
      <c r="R28" s="179"/>
      <c r="S28" s="179"/>
      <c r="T28" s="179"/>
      <c r="U28" s="179"/>
      <c r="V28" s="179"/>
      <c r="W28" s="179"/>
      <c r="X28" s="179"/>
      <c r="Y28" s="179"/>
      <c r="Z28" s="180"/>
    </row>
    <row r="29" spans="1:26" ht="15" thickBot="1">
      <c r="A29" s="93"/>
      <c r="B29" s="94"/>
      <c r="C29" s="95" t="str">
        <f>IF(VALUE(RIGHT(B30))= 0, "CHOOSE VALUES &lt; 10 and &gt; 0", " ")</f>
        <v xml:space="preserve"> </v>
      </c>
      <c r="D29" s="96"/>
      <c r="E29" s="97"/>
      <c r="F29" s="535" t="s">
        <v>184</v>
      </c>
      <c r="G29" s="536"/>
      <c r="H29" s="537"/>
      <c r="I29" s="155" t="s">
        <v>185</v>
      </c>
      <c r="J29" s="164" t="s">
        <v>186</v>
      </c>
      <c r="K29" s="165"/>
      <c r="L29" s="160" t="s">
        <v>187</v>
      </c>
      <c r="M29" s="98"/>
      <c r="P29" s="181"/>
      <c r="Q29" s="182"/>
      <c r="R29" s="182"/>
      <c r="S29" s="182"/>
      <c r="T29" s="182"/>
      <c r="U29" s="182"/>
      <c r="V29" s="182"/>
      <c r="W29" s="182"/>
      <c r="X29" s="182"/>
      <c r="Y29" s="182"/>
      <c r="Z29" s="183"/>
    </row>
    <row r="30" spans="1:26" ht="14.65">
      <c r="A30" s="99" t="s">
        <v>188</v>
      </c>
      <c r="B30" s="259" t="s">
        <v>189</v>
      </c>
      <c r="C30" s="282"/>
      <c r="D30" s="283" t="s">
        <v>190</v>
      </c>
      <c r="E30" s="260">
        <v>2</v>
      </c>
      <c r="F30" s="101" t="s">
        <v>191</v>
      </c>
      <c r="G30" s="156">
        <v>20</v>
      </c>
      <c r="H30" s="153" t="s">
        <v>192</v>
      </c>
      <c r="I30" s="158">
        <f>G30/J30</f>
        <v>10</v>
      </c>
      <c r="J30" s="261">
        <v>2</v>
      </c>
      <c r="K30" s="153" t="s">
        <v>192</v>
      </c>
      <c r="L30" s="161">
        <f>((E30*0.000000001)/(J30*0.000001))*1000</f>
        <v>1</v>
      </c>
      <c r="M30" s="102"/>
      <c r="P30" s="181"/>
      <c r="Q30" s="182"/>
      <c r="R30" s="182"/>
      <c r="S30" s="182"/>
      <c r="T30" s="182"/>
      <c r="U30" s="182"/>
      <c r="V30" s="182"/>
      <c r="W30" s="182"/>
      <c r="X30" s="182"/>
      <c r="Y30" s="182"/>
      <c r="Z30" s="183"/>
    </row>
    <row r="31" spans="1:26" ht="14.65">
      <c r="A31" s="103"/>
      <c r="B31" s="282"/>
      <c r="C31" s="282"/>
      <c r="D31" s="283" t="s">
        <v>193</v>
      </c>
      <c r="E31" s="151">
        <f>E30*RIGHT(B30)</f>
        <v>6</v>
      </c>
      <c r="F31" s="150" t="s">
        <v>194</v>
      </c>
      <c r="G31" s="152">
        <v>20</v>
      </c>
      <c r="H31" s="153" t="s">
        <v>192</v>
      </c>
      <c r="I31" s="157">
        <f>G31/J31</f>
        <v>10</v>
      </c>
      <c r="J31" s="262">
        <v>2</v>
      </c>
      <c r="K31" s="153" t="s">
        <v>192</v>
      </c>
      <c r="L31" s="162">
        <f>((E31*0.000000001)/(J31*0.000001))*1000</f>
        <v>3.0000000000000004</v>
      </c>
      <c r="M31" s="102"/>
      <c r="P31" s="181"/>
      <c r="Q31" s="182"/>
      <c r="R31" s="182"/>
      <c r="S31" s="182"/>
      <c r="T31" s="182"/>
      <c r="U31" s="182"/>
      <c r="V31" s="182"/>
      <c r="W31" s="182"/>
      <c r="X31" s="182"/>
      <c r="Y31" s="182"/>
      <c r="Z31" s="183"/>
    </row>
    <row r="32" spans="1:26" ht="15" thickBot="1">
      <c r="A32" s="103"/>
      <c r="B32" s="282"/>
      <c r="C32" s="282"/>
      <c r="D32" s="284" t="s">
        <v>195</v>
      </c>
      <c r="E32" s="172">
        <v>0.2</v>
      </c>
      <c r="F32" s="105" t="s">
        <v>196</v>
      </c>
      <c r="G32" s="173">
        <v>0.6</v>
      </c>
      <c r="H32" s="154" t="s">
        <v>197</v>
      </c>
      <c r="I32" s="159">
        <f>G32/J32</f>
        <v>2.9999999999999996</v>
      </c>
      <c r="J32" s="263">
        <v>0.2</v>
      </c>
      <c r="K32" s="154" t="s">
        <v>197</v>
      </c>
      <c r="L32" s="163">
        <f>E32/J32</f>
        <v>1</v>
      </c>
      <c r="M32" s="102"/>
      <c r="P32" s="181"/>
      <c r="Q32" s="182"/>
      <c r="R32" s="182"/>
      <c r="S32" s="182"/>
      <c r="T32" s="182"/>
      <c r="U32" s="182"/>
      <c r="V32" s="182"/>
      <c r="W32" s="182"/>
      <c r="X32" s="182"/>
      <c r="Y32" s="182"/>
      <c r="Z32" s="183"/>
    </row>
    <row r="33" spans="1:26" ht="14.65" thickBot="1">
      <c r="A33" s="103"/>
      <c r="B33" s="282"/>
      <c r="C33" s="282"/>
      <c r="D33" s="282"/>
      <c r="E33" s="282"/>
      <c r="F33" s="282"/>
      <c r="G33" s="282"/>
      <c r="H33" s="282"/>
      <c r="I33" s="97"/>
      <c r="J33" s="282"/>
      <c r="K33" s="282"/>
      <c r="L33" s="282"/>
      <c r="M33" s="102"/>
      <c r="P33" s="181"/>
      <c r="Q33" s="182"/>
      <c r="R33" s="182"/>
      <c r="S33" s="182"/>
      <c r="T33" s="182"/>
      <c r="U33" s="182"/>
      <c r="V33" s="182"/>
      <c r="W33" s="182"/>
      <c r="X33" s="182"/>
      <c r="Y33" s="182"/>
      <c r="Z33" s="183"/>
    </row>
    <row r="34" spans="1:26" ht="14.65" thickBot="1">
      <c r="A34" s="103"/>
      <c r="B34" s="282"/>
      <c r="C34" s="282"/>
      <c r="D34" s="282"/>
      <c r="E34" s="282"/>
      <c r="F34" s="282"/>
      <c r="G34" s="282"/>
      <c r="H34" s="282"/>
      <c r="I34" s="282"/>
      <c r="J34" s="282"/>
      <c r="K34" s="285" t="s">
        <v>198</v>
      </c>
      <c r="L34" s="286">
        <f>SUM(L30:L33)</f>
        <v>5</v>
      </c>
      <c r="M34" s="108" t="str">
        <f>IF(SUM(L30:L33)&gt;5,"STOP, RECALCULATE", " ")</f>
        <v xml:space="preserve"> </v>
      </c>
      <c r="P34" s="181"/>
      <c r="Q34" s="182"/>
      <c r="R34" s="182"/>
      <c r="S34" s="182"/>
      <c r="T34" s="182"/>
      <c r="U34" s="182"/>
      <c r="V34" s="182"/>
      <c r="W34" s="182"/>
      <c r="X34" s="182"/>
      <c r="Y34" s="182"/>
      <c r="Z34" s="183"/>
    </row>
    <row r="35" spans="1:26" ht="14.65" thickBot="1">
      <c r="A35" s="109"/>
      <c r="B35" s="110"/>
      <c r="C35" s="110"/>
      <c r="D35" s="110"/>
      <c r="E35" s="110"/>
      <c r="F35" s="110"/>
      <c r="G35" s="110"/>
      <c r="H35" s="111"/>
      <c r="I35" s="110"/>
      <c r="J35" s="110"/>
      <c r="K35" s="110"/>
      <c r="L35" s="110"/>
      <c r="M35" s="287"/>
      <c r="P35" s="181"/>
      <c r="Q35" s="182"/>
      <c r="R35" s="182"/>
      <c r="S35" s="182"/>
      <c r="T35" s="182"/>
      <c r="U35" s="182"/>
      <c r="V35" s="182"/>
      <c r="W35" s="182"/>
      <c r="X35" s="182"/>
      <c r="Y35" s="182"/>
      <c r="Z35" s="183"/>
    </row>
    <row r="36" spans="1:26" ht="14.25">
      <c r="A36" s="93" t="s">
        <v>199</v>
      </c>
      <c r="B36" s="97"/>
      <c r="C36" s="97">
        <v>20</v>
      </c>
      <c r="D36" s="97" t="s">
        <v>200</v>
      </c>
      <c r="E36" s="97"/>
      <c r="F36" s="97"/>
      <c r="G36" s="97"/>
      <c r="H36" s="97"/>
      <c r="I36" s="97"/>
      <c r="J36" s="97"/>
      <c r="K36" s="113"/>
      <c r="L36" s="97"/>
      <c r="M36" s="98"/>
      <c r="P36" s="181"/>
      <c r="Q36" s="182"/>
      <c r="R36" s="182"/>
      <c r="S36" s="182"/>
      <c r="T36" s="182"/>
      <c r="U36" s="182"/>
      <c r="V36" s="182"/>
      <c r="W36" s="182"/>
      <c r="X36" s="182"/>
      <c r="Y36" s="182"/>
      <c r="Z36" s="183"/>
    </row>
    <row r="37" spans="1:26" ht="14.65" thickBot="1">
      <c r="A37" s="103" t="s">
        <v>201</v>
      </c>
      <c r="B37" s="282"/>
      <c r="C37" s="288">
        <f>L34</f>
        <v>5</v>
      </c>
      <c r="D37" s="282" t="s">
        <v>200</v>
      </c>
      <c r="E37" s="282"/>
      <c r="F37" s="282"/>
      <c r="G37" s="282"/>
      <c r="H37" s="282"/>
      <c r="I37" s="282"/>
      <c r="J37" s="282"/>
      <c r="K37" s="282"/>
      <c r="L37" s="282"/>
      <c r="M37" s="102"/>
      <c r="P37" s="181"/>
      <c r="Q37" s="182"/>
      <c r="R37" s="182"/>
      <c r="S37" s="182"/>
      <c r="T37" s="182"/>
      <c r="U37" s="182"/>
      <c r="V37" s="182"/>
      <c r="W37" s="182"/>
      <c r="X37" s="182"/>
      <c r="Y37" s="182"/>
      <c r="Z37" s="183"/>
    </row>
    <row r="38" spans="1:26" ht="14.65" thickBot="1">
      <c r="A38" s="103" t="s">
        <v>202</v>
      </c>
      <c r="B38" s="282"/>
      <c r="C38" s="282">
        <f>SUM(C36:C37)</f>
        <v>25</v>
      </c>
      <c r="D38" s="282" t="s">
        <v>200</v>
      </c>
      <c r="E38" s="117" t="str">
        <f>IF(C38&gt;25,"TOTAL VOL CANT Be&gt; 25uL"," ")</f>
        <v xml:space="preserve"> </v>
      </c>
      <c r="F38" s="282"/>
      <c r="G38" s="289"/>
      <c r="H38" s="282"/>
      <c r="I38" s="289"/>
      <c r="J38" s="282"/>
      <c r="K38" s="282"/>
      <c r="L38" s="282"/>
      <c r="M38" s="102"/>
      <c r="P38" s="181"/>
      <c r="Q38" s="182"/>
      <c r="R38" s="182"/>
      <c r="S38" s="182"/>
      <c r="T38" s="182"/>
      <c r="U38" s="182"/>
      <c r="V38" s="182"/>
      <c r="W38" s="182"/>
      <c r="X38" s="182"/>
      <c r="Y38" s="182"/>
      <c r="Z38" s="183"/>
    </row>
    <row r="39" spans="1:26" ht="14.65" thickBot="1">
      <c r="A39" s="109"/>
      <c r="B39" s="110"/>
      <c r="C39" s="110"/>
      <c r="D39" s="110"/>
      <c r="E39" s="110"/>
      <c r="F39" s="110"/>
      <c r="G39" s="110"/>
      <c r="H39" s="110"/>
      <c r="I39" s="110"/>
      <c r="J39" s="110"/>
      <c r="K39" s="110"/>
      <c r="L39" s="110"/>
      <c r="M39" s="290"/>
      <c r="P39" s="181"/>
      <c r="Q39" s="182"/>
      <c r="R39" s="182"/>
      <c r="S39" s="182"/>
      <c r="T39" s="182"/>
      <c r="U39" s="182"/>
      <c r="V39" s="182"/>
      <c r="W39" s="182"/>
      <c r="X39" s="182"/>
      <c r="Y39" s="182"/>
      <c r="Z39" s="183"/>
    </row>
    <row r="40" spans="1:26" ht="14.25">
      <c r="A40" s="103"/>
      <c r="B40" s="282"/>
      <c r="C40" s="282"/>
      <c r="D40" s="282"/>
      <c r="E40" s="282"/>
      <c r="F40" s="282"/>
      <c r="G40" s="282"/>
      <c r="H40" s="282"/>
      <c r="I40" s="282"/>
      <c r="J40" s="282"/>
      <c r="K40" s="282"/>
      <c r="L40" s="282"/>
      <c r="M40" s="102"/>
      <c r="P40" s="181"/>
      <c r="Q40" s="182"/>
      <c r="R40" s="182"/>
      <c r="S40" s="182"/>
      <c r="T40" s="182"/>
      <c r="U40" s="182"/>
      <c r="V40" s="182"/>
      <c r="W40" s="182"/>
      <c r="X40" s="182"/>
      <c r="Y40" s="182"/>
      <c r="Z40" s="183"/>
    </row>
    <row r="41" spans="1:26" ht="14.25">
      <c r="A41" s="103" t="s">
        <v>203</v>
      </c>
      <c r="B41" s="282"/>
      <c r="C41" s="120">
        <f>E30</f>
        <v>2</v>
      </c>
      <c r="D41" s="282"/>
      <c r="E41" s="291" t="s">
        <v>190</v>
      </c>
      <c r="F41" s="168">
        <f>E30</f>
        <v>2</v>
      </c>
      <c r="G41" s="282"/>
      <c r="H41" s="282"/>
      <c r="I41" s="282"/>
      <c r="J41" s="282"/>
      <c r="K41" s="282"/>
      <c r="L41" s="282"/>
      <c r="M41" s="102"/>
      <c r="P41" s="181"/>
      <c r="Q41" s="182"/>
      <c r="R41" s="182"/>
      <c r="S41" s="182"/>
      <c r="T41" s="182"/>
      <c r="U41" s="182"/>
      <c r="V41" s="182"/>
      <c r="W41" s="182"/>
      <c r="X41" s="182"/>
      <c r="Y41" s="182"/>
      <c r="Z41" s="183"/>
    </row>
    <row r="42" spans="1:26" ht="14.65">
      <c r="A42" s="103" t="s">
        <v>235</v>
      </c>
      <c r="B42" s="282"/>
      <c r="C42" s="292">
        <v>400000</v>
      </c>
      <c r="D42" s="282"/>
      <c r="E42" s="293" t="s">
        <v>230</v>
      </c>
      <c r="F42" s="168">
        <f>E32</f>
        <v>0.2</v>
      </c>
      <c r="G42" s="282"/>
      <c r="H42" s="282"/>
      <c r="I42" s="282"/>
      <c r="J42" s="282"/>
      <c r="K42" s="282"/>
      <c r="L42" s="282"/>
      <c r="M42" s="102"/>
      <c r="P42" s="181"/>
      <c r="Q42" s="182"/>
      <c r="R42" s="182"/>
      <c r="S42" s="182"/>
      <c r="T42" s="182"/>
      <c r="U42" s="182"/>
      <c r="V42" s="182"/>
      <c r="W42" s="182"/>
      <c r="X42" s="182"/>
      <c r="Y42" s="182"/>
      <c r="Z42" s="183"/>
    </row>
    <row r="43" spans="1:26" ht="14.65" thickBot="1">
      <c r="A43" s="109"/>
      <c r="B43" s="110"/>
      <c r="C43" s="110"/>
      <c r="D43" s="110"/>
      <c r="E43" s="110"/>
      <c r="F43" s="110"/>
      <c r="G43" s="110"/>
      <c r="H43" s="110"/>
      <c r="I43" s="110"/>
      <c r="J43" s="110"/>
      <c r="K43" s="110"/>
      <c r="L43" s="110"/>
      <c r="M43" s="290"/>
      <c r="P43" s="181"/>
      <c r="Q43" s="182"/>
      <c r="R43" s="182"/>
      <c r="S43" s="182"/>
      <c r="T43" s="182"/>
      <c r="U43" s="182"/>
      <c r="V43" s="182"/>
      <c r="W43" s="182"/>
      <c r="X43" s="182"/>
      <c r="Y43" s="182"/>
      <c r="Z43" s="183"/>
    </row>
    <row r="44" spans="1:26" ht="14.25">
      <c r="A44" s="11" t="s">
        <v>218</v>
      </c>
      <c r="D44" s="11" t="str">
        <f>CONCATENATE(D5,H11,D12)</f>
        <v>20200220mChOCT4sg2</v>
      </c>
      <c r="P44" s="181"/>
      <c r="Q44" s="182"/>
      <c r="R44" s="182"/>
      <c r="S44" s="182"/>
      <c r="T44" s="182"/>
      <c r="U44" s="182"/>
      <c r="V44" s="182"/>
      <c r="W44" s="182"/>
      <c r="X44" s="182"/>
      <c r="Y44" s="182"/>
      <c r="Z44" s="183"/>
    </row>
    <row r="45" spans="1:26" ht="14.65" customHeight="1">
      <c r="P45" s="181"/>
      <c r="Q45" s="182"/>
      <c r="R45" s="182"/>
      <c r="S45" s="182"/>
      <c r="T45" s="182"/>
      <c r="U45" s="182"/>
      <c r="V45" s="182"/>
      <c r="W45" s="182"/>
      <c r="X45" s="182"/>
      <c r="Y45" s="182"/>
      <c r="Z45" s="183"/>
    </row>
    <row r="46" spans="1:26" ht="15" customHeight="1" thickBot="1">
      <c r="P46" s="181"/>
      <c r="Q46" s="182"/>
      <c r="R46" s="182"/>
      <c r="S46" s="182"/>
      <c r="T46" s="182"/>
      <c r="U46" s="182"/>
      <c r="V46" s="182"/>
      <c r="W46" s="182"/>
      <c r="X46" s="182"/>
      <c r="Y46" s="182"/>
      <c r="Z46" s="183"/>
    </row>
    <row r="47" spans="1:26" ht="14.65" thickBot="1">
      <c r="A47" s="122" t="s">
        <v>174</v>
      </c>
      <c r="B47" s="73" t="s">
        <v>204</v>
      </c>
      <c r="C47" s="77"/>
      <c r="D47" s="77"/>
      <c r="E47" s="76" t="s">
        <v>205</v>
      </c>
      <c r="F47" s="77"/>
      <c r="G47" s="74"/>
      <c r="H47" s="123" t="s">
        <v>206</v>
      </c>
      <c r="I47" s="74" t="s">
        <v>207</v>
      </c>
      <c r="J47" s="75"/>
      <c r="K47" s="77"/>
      <c r="L47" s="77"/>
      <c r="M47" s="77"/>
      <c r="N47" s="77"/>
      <c r="O47" s="75"/>
      <c r="P47" s="181"/>
      <c r="Q47" s="182"/>
      <c r="R47" s="182"/>
      <c r="S47" s="182"/>
      <c r="T47" s="182"/>
      <c r="U47" s="182"/>
      <c r="V47" s="182"/>
      <c r="W47" s="182"/>
      <c r="X47" s="182"/>
      <c r="Y47" s="182"/>
      <c r="Z47" s="183"/>
    </row>
    <row r="48" spans="1:26" ht="14.65" thickBot="1">
      <c r="A48" s="124"/>
      <c r="B48" s="125"/>
      <c r="C48" s="80"/>
      <c r="D48" s="80"/>
      <c r="E48" s="80"/>
      <c r="F48" s="82"/>
      <c r="G48" s="126"/>
      <c r="H48" s="80"/>
      <c r="I48" s="80"/>
      <c r="J48" s="126"/>
      <c r="K48" s="127"/>
      <c r="L48" s="75"/>
      <c r="M48" s="75"/>
      <c r="N48" s="78"/>
      <c r="O48" s="167"/>
      <c r="P48" s="181"/>
      <c r="Q48" s="182"/>
      <c r="R48" s="182"/>
      <c r="S48" s="182"/>
      <c r="T48" s="182"/>
      <c r="U48" s="182"/>
      <c r="V48" s="182"/>
      <c r="W48" s="182"/>
      <c r="X48" s="182"/>
      <c r="Y48" s="182"/>
      <c r="Z48" s="183"/>
    </row>
    <row r="49" spans="1:26" ht="14.65" thickBot="1">
      <c r="A49" s="79"/>
      <c r="B49" s="80"/>
      <c r="C49" s="128" t="s">
        <v>208</v>
      </c>
      <c r="D49" s="80"/>
      <c r="E49" s="129" t="s">
        <v>209</v>
      </c>
      <c r="F49" s="130"/>
      <c r="G49" s="128" t="s">
        <v>210</v>
      </c>
      <c r="H49" s="80"/>
      <c r="I49" s="128" t="s">
        <v>211</v>
      </c>
      <c r="J49" s="80"/>
      <c r="K49" s="131" t="s">
        <v>144</v>
      </c>
      <c r="L49" s="80"/>
      <c r="M49" s="80"/>
      <c r="N49" s="81"/>
      <c r="O49" s="167"/>
      <c r="P49" s="181"/>
      <c r="Q49" s="182"/>
      <c r="R49" s="182"/>
      <c r="S49" s="182"/>
      <c r="T49" s="182"/>
      <c r="U49" s="182"/>
      <c r="V49" s="182"/>
      <c r="W49" s="182"/>
      <c r="X49" s="182"/>
      <c r="Y49" s="182"/>
      <c r="Z49" s="183"/>
    </row>
    <row r="50" spans="1:26" ht="28.9" thickBot="1">
      <c r="A50" s="131" t="s">
        <v>212</v>
      </c>
      <c r="B50" s="80"/>
      <c r="C50" s="177">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324" t="s">
        <v>250</v>
      </c>
      <c r="N50" s="277" t="s">
        <v>249</v>
      </c>
      <c r="O50" s="167"/>
      <c r="P50" s="181"/>
      <c r="Q50" s="182"/>
      <c r="R50" s="182"/>
      <c r="S50" s="182"/>
      <c r="T50" s="182"/>
      <c r="U50" s="182"/>
      <c r="V50" s="182"/>
      <c r="W50" s="182"/>
      <c r="X50" s="182"/>
      <c r="Y50" s="182"/>
      <c r="Z50" s="183"/>
    </row>
    <row r="51" spans="1:26" ht="14.65" thickBot="1">
      <c r="A51" s="131" t="s">
        <v>214</v>
      </c>
      <c r="B51" s="80"/>
      <c r="C51" s="177">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76">
        <v>532000</v>
      </c>
      <c r="M51" s="276">
        <f>I50/L51</f>
        <v>0.84210526315789469</v>
      </c>
      <c r="N51" s="268">
        <f>E50-M51</f>
        <v>4.757894736842105</v>
      </c>
      <c r="O51" s="79"/>
      <c r="P51" s="181"/>
      <c r="Q51" s="182"/>
      <c r="R51" s="182"/>
      <c r="S51" s="182"/>
      <c r="T51" s="182"/>
      <c r="U51" s="182"/>
      <c r="V51" s="182"/>
      <c r="W51" s="182"/>
      <c r="X51" s="182"/>
      <c r="Y51" s="182"/>
      <c r="Z51" s="183"/>
    </row>
    <row r="52" spans="1:26" ht="14.65" thickBot="1">
      <c r="A52" s="86"/>
      <c r="B52" s="87"/>
      <c r="C52" s="87"/>
      <c r="D52" s="87"/>
      <c r="E52" s="136"/>
      <c r="F52" s="80"/>
      <c r="G52" s="136"/>
      <c r="H52" s="136"/>
      <c r="I52" s="80"/>
      <c r="J52" s="80"/>
      <c r="K52" s="86" t="s">
        <v>216</v>
      </c>
      <c r="L52" s="176">
        <v>532000</v>
      </c>
      <c r="M52" s="272">
        <f>I51/L52</f>
        <v>0.84210526315789469</v>
      </c>
      <c r="N52" s="274">
        <f>E51-0.1</f>
        <v>5.5</v>
      </c>
      <c r="O52" s="167"/>
      <c r="P52" s="181"/>
      <c r="Q52" s="182"/>
      <c r="R52" s="182"/>
      <c r="S52" s="182"/>
      <c r="T52" s="182"/>
      <c r="U52" s="182"/>
      <c r="V52" s="182"/>
      <c r="W52" s="182"/>
      <c r="X52" s="182"/>
      <c r="Y52" s="182"/>
      <c r="Z52" s="183"/>
    </row>
    <row r="53" spans="1:26" ht="14.65" thickBot="1">
      <c r="A53" s="137" t="s">
        <v>217</v>
      </c>
      <c r="B53" s="77"/>
      <c r="C53" s="77"/>
      <c r="D53" s="175">
        <v>0.58333333333333337</v>
      </c>
      <c r="E53" s="87"/>
      <c r="F53" s="87"/>
      <c r="G53" s="87"/>
      <c r="H53" s="87"/>
      <c r="I53" s="87"/>
      <c r="J53" s="87"/>
      <c r="K53" s="87"/>
      <c r="L53" s="87"/>
      <c r="M53" s="87"/>
      <c r="N53" s="87"/>
      <c r="O53" s="87"/>
      <c r="P53" s="181"/>
      <c r="Q53" s="182"/>
      <c r="R53" s="182"/>
      <c r="S53" s="182"/>
      <c r="T53" s="182"/>
      <c r="U53" s="182"/>
      <c r="V53" s="182"/>
      <c r="W53" s="182"/>
      <c r="X53" s="182"/>
      <c r="Y53" s="182"/>
      <c r="Z53" s="183"/>
    </row>
    <row r="54" spans="1:26" ht="14.65" customHeight="1">
      <c r="P54" s="181"/>
      <c r="Q54" s="182"/>
      <c r="R54" s="182"/>
      <c r="S54" s="182"/>
      <c r="T54" s="182"/>
      <c r="U54" s="182"/>
      <c r="V54" s="182"/>
      <c r="W54" s="182"/>
      <c r="X54" s="182"/>
      <c r="Y54" s="182"/>
      <c r="Z54" s="183"/>
    </row>
    <row r="55" spans="1:26" ht="14.65" customHeight="1">
      <c r="A55" s="11" t="s">
        <v>219</v>
      </c>
      <c r="B55" s="11"/>
      <c r="C55" s="11" t="str">
        <f>CONCATENATE((R8),U8)</f>
        <v>AmaxaCB-150</v>
      </c>
      <c r="P55" s="181"/>
      <c r="Q55" s="182"/>
      <c r="R55" s="182"/>
      <c r="S55" s="182"/>
      <c r="T55" s="182"/>
      <c r="U55" s="182"/>
      <c r="V55" s="182"/>
      <c r="W55" s="182"/>
      <c r="X55" s="182"/>
      <c r="Y55" s="182"/>
      <c r="Z55" s="183"/>
    </row>
    <row r="56" spans="1:26" ht="14.65" customHeight="1" thickBot="1">
      <c r="P56" s="184"/>
      <c r="Q56" s="185"/>
      <c r="R56" s="185"/>
      <c r="S56" s="185"/>
      <c r="T56" s="185"/>
      <c r="U56" s="185"/>
      <c r="V56" s="185"/>
      <c r="W56" s="185"/>
      <c r="X56" s="185"/>
      <c r="Y56" s="185"/>
      <c r="Z56" s="186"/>
    </row>
    <row r="58" spans="1:26" ht="14.25">
      <c r="B58" s="11"/>
      <c r="D58" s="11"/>
    </row>
    <row r="59" spans="1:26" ht="14.25">
      <c r="D59" s="11"/>
    </row>
  </sheetData>
  <sheetProtection algorithmName="SHA-512" hashValue="0q05sYtNLG9jKRJSLKIaLHQPStVKktiStNDp3blBa1ZChVEu3CIvBzZRbZX+r9an6nSTN0TAjuOAVJrptB6SOw==" saltValue="pWbife+YRASi/wOJX8NFYw==" spinCount="100000" sheet="1" scenarios="1" selectLockedCells="1"/>
  <mergeCells count="15">
    <mergeCell ref="T4:U4"/>
    <mergeCell ref="F29:H29"/>
    <mergeCell ref="S10:U10"/>
    <mergeCell ref="S12:T12"/>
    <mergeCell ref="W12:X12"/>
    <mergeCell ref="P21:W21"/>
    <mergeCell ref="P22:W22"/>
    <mergeCell ref="P23:W23"/>
    <mergeCell ref="P24:W24"/>
    <mergeCell ref="AA12:AB12"/>
    <mergeCell ref="S13:U13"/>
    <mergeCell ref="W13:Y13"/>
    <mergeCell ref="AA13:AC13"/>
    <mergeCell ref="AA14:AB14"/>
    <mergeCell ref="W14:X14"/>
  </mergeCells>
  <conditionalFormatting sqref="H6:I6 A9:I9 N6:O9">
    <cfRule type="expression" priority="23">
      <formula>"row if val(a..) EVEN"</formula>
    </cfRule>
    <cfRule type="expression" dxfId="91" priority="24">
      <formula>"row is even"</formula>
    </cfRule>
  </conditionalFormatting>
  <conditionalFormatting sqref="B10 A6:F6">
    <cfRule type="expression" priority="31">
      <formula>"row if val(a..) EVEN"</formula>
    </cfRule>
    <cfRule type="expression" dxfId="90" priority="32">
      <formula>"row is even"</formula>
    </cfRule>
  </conditionalFormatting>
  <conditionalFormatting sqref="D5">
    <cfRule type="expression" priority="29">
      <formula>"row if val(a..) EVEN"</formula>
    </cfRule>
    <cfRule type="expression" dxfId="89" priority="30">
      <formula>"row is even"</formula>
    </cfRule>
  </conditionalFormatting>
  <conditionalFormatting sqref="E10">
    <cfRule type="expression" priority="27">
      <formula>"row if val(a..) EVEN"</formula>
    </cfRule>
    <cfRule type="expression" dxfId="88" priority="28">
      <formula>"row is even"</formula>
    </cfRule>
  </conditionalFormatting>
  <conditionalFormatting sqref="C10">
    <cfRule type="expression" priority="25">
      <formula>"row if val(a..) EVEN"</formula>
    </cfRule>
    <cfRule type="expression" dxfId="87" priority="26">
      <formula>"row is even"</formula>
    </cfRule>
  </conditionalFormatting>
  <conditionalFormatting sqref="Q6 P4 S6 P2:Q2 S2:U2 P5:T5">
    <cfRule type="expression" priority="19">
      <formula>"row if val(a..) EVEN"</formula>
    </cfRule>
    <cfRule type="expression" dxfId="86" priority="20">
      <formula>"row is even"</formula>
    </cfRule>
  </conditionalFormatting>
  <conditionalFormatting sqref="Q4 T6">
    <cfRule type="expression" priority="21">
      <formula>"row if val(a..) EVEN"</formula>
    </cfRule>
    <cfRule type="expression" dxfId="85" priority="22">
      <formula>"row is even"</formula>
    </cfRule>
  </conditionalFormatting>
  <conditionalFormatting sqref="H8:I8 A7 C7">
    <cfRule type="expression" priority="15">
      <formula>"row if val(a..) EVEN"</formula>
    </cfRule>
    <cfRule type="expression" dxfId="84" priority="16">
      <formula>"row is even"</formula>
    </cfRule>
  </conditionalFormatting>
  <conditionalFormatting sqref="E8:F8 A8 G7">
    <cfRule type="expression" priority="17">
      <formula>"row if val(a..) EVEN"</formula>
    </cfRule>
    <cfRule type="expression" dxfId="83" priority="18">
      <formula>"row is even"</formula>
    </cfRule>
  </conditionalFormatting>
  <conditionalFormatting sqref="A11:I11">
    <cfRule type="expression" priority="13">
      <formula>"row if val(a..) EVEN"</formula>
    </cfRule>
    <cfRule type="expression" dxfId="82" priority="14">
      <formula>"row is even"</formula>
    </cfRule>
  </conditionalFormatting>
  <conditionalFormatting sqref="R4">
    <cfRule type="expression" priority="11">
      <formula>"row if val(a..) EVEN"</formula>
    </cfRule>
    <cfRule type="expression" dxfId="81" priority="12">
      <formula>"row is even"</formula>
    </cfRule>
  </conditionalFormatting>
  <conditionalFormatting sqref="V6">
    <cfRule type="expression" priority="9">
      <formula>"row if val(a..) EVEN"</formula>
    </cfRule>
    <cfRule type="expression" dxfId="80" priority="10">
      <formula>"row is even"</formula>
    </cfRule>
  </conditionalFormatting>
  <conditionalFormatting sqref="J6:M6 L7:M8 J9:M9">
    <cfRule type="expression" priority="5">
      <formula>"row if val(a..) EVEN"</formula>
    </cfRule>
    <cfRule type="expression" dxfId="79" priority="6">
      <formula>"row is even"</formula>
    </cfRule>
  </conditionalFormatting>
  <conditionalFormatting sqref="J10">
    <cfRule type="expression" priority="7">
      <formula>"row if val(a..) EVEN"</formula>
    </cfRule>
    <cfRule type="expression" dxfId="78" priority="8">
      <formula>"row is even"</formula>
    </cfRule>
  </conditionalFormatting>
  <conditionalFormatting sqref="J8:K8">
    <cfRule type="expression" priority="3">
      <formula>"row if val(a..) EVEN"</formula>
    </cfRule>
    <cfRule type="expression" dxfId="77" priority="4">
      <formula>"row is even"</formula>
    </cfRule>
  </conditionalFormatting>
  <conditionalFormatting sqref="J11:K11">
    <cfRule type="expression" priority="1">
      <formula>"row if val(a..) EVEN"</formula>
    </cfRule>
    <cfRule type="expression" dxfId="76" priority="2">
      <formula>"row is even"</formula>
    </cfRule>
  </conditionalFormatting>
  <dataValidations xWindow="1069" yWindow="568" count="10">
    <dataValidation operator="equal" allowBlank="1" showInputMessage="1" showErrorMessage="1" prompt="ex: 20190417" sqref="C10 R5" xr:uid="{B118C2B7-5D2A-48B2-8207-9B5FE3701B12}"/>
    <dataValidation type="whole" allowBlank="1" showInputMessage="1" prompt="number" sqref="T5" xr:uid="{9E5FEE14-D13C-4EBF-957E-5CB0BC10D70E}">
      <formula1>10</formula1>
      <formula2>50</formula2>
    </dataValidation>
    <dataValidation type="whole" allowBlank="1" showInputMessage="1" showErrorMessage="1" prompt="Enter a number" sqref="H7 K10" xr:uid="{1FEEEBC9-ABD8-4DEE-BE3B-379775E7AD4F}">
      <formula1>1</formula1>
      <formula2>50</formula2>
    </dataValidation>
    <dataValidation type="whole" allowBlank="1" showInputMessage="1" showErrorMessage="1" prompt="enter a number" sqref="H10 E7" xr:uid="{DDAF817C-9A29-46B9-B2D9-62B67A8AFE0A}">
      <formula1>0</formula1>
      <formula2>10</formula2>
    </dataValidation>
    <dataValidation type="textLength" operator="equal" allowBlank="1" showInputMessage="1" showErrorMessage="1" prompt="ex: 20190417" sqref="G9 E10 S6 C7 Q6 V6 R4" xr:uid="{7CAE8E9A-5B5F-461F-B34B-47D3E1E1CE03}">
      <formula1>8</formula1>
    </dataValidation>
    <dataValidation allowBlank="1" showInputMessage="1" showErrorMessage="1" prompt="Enter a number (e.g. 1e6)" sqref="C42" xr:uid="{02FCC3BB-E655-4413-A2F0-FBABDD9211E5}"/>
    <dataValidation allowBlank="1" showInputMessage="1" showErrorMessage="1" prompt="ex: 534e3" sqref="L51:L52" xr:uid="{309E7B21-F25D-4A1C-8CC0-1248562587B0}"/>
    <dataValidation type="textLength" operator="equal" allowBlank="1" showInputMessage="1" showErrorMessage="1" prompt="ex. 20200110" sqref="D8" xr:uid="{556A945D-CB16-4197-A0CD-F5EDE519C0A2}">
      <formula1>8</formula1>
    </dataValidation>
    <dataValidation type="time" allowBlank="1" showInputMessage="1" showErrorMessage="1" sqref="D53" xr:uid="{0A6BCD0B-6883-4380-A9D1-76B3ECAB87C6}">
      <formula1>0</formula1>
      <formula2>0.999305555555556</formula2>
    </dataValidation>
    <dataValidation type="textLength" operator="equal" allowBlank="1" showErrorMessage="1" sqref="D5" xr:uid="{5C3E4CA4-EA68-4116-86CD-85F2D6C5DC29}">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xWindow="1069" yWindow="568" count="19">
        <x14:dataValidation type="list" showInputMessage="1" showErrorMessage="1" xr:uid="{4D4E70CF-AA15-482F-84FA-94BF698116FB}">
          <x14:formula1>
            <xm:f>'Data validation criteria'!$K$21:$K$26</xm:f>
          </x14:formula1>
          <xm:sqref>H13</xm:sqref>
        </x14:dataValidation>
        <x14:dataValidation type="list" allowBlank="1" showInputMessage="1" showErrorMessage="1" xr:uid="{BAC5EE25-D4BA-4BE6-8C17-0DF66B629C1A}">
          <x14:formula1>
            <xm:f>'Data validation criteria'!$A$3:$A$9</xm:f>
          </x14:formula1>
          <xm:sqref>D4 C4:C5</xm:sqref>
        </x14:dataValidation>
        <x14:dataValidation type="list" allowBlank="1" showInputMessage="1" showErrorMessage="1" xr:uid="{778A5116-97AE-44FE-BEFF-2B866DA7AEA1}">
          <x14:formula1>
            <xm:f>'Data validation criteria'!$C$21:$C$25</xm:f>
          </x14:formula1>
          <xm:sqref>D11</xm:sqref>
        </x14:dataValidation>
        <x14:dataValidation type="list" allowBlank="1" showInputMessage="1" showErrorMessage="1" xr:uid="{5F999656-F080-499D-902A-49C031E463E3}">
          <x14:formula1>
            <xm:f>'Data validation criteria'!$M$21:$M$30</xm:f>
          </x14:formula1>
          <xm:sqref>D12</xm:sqref>
        </x14:dataValidation>
        <x14:dataValidation type="list" allowBlank="1" showInputMessage="1" showErrorMessage="1" xr:uid="{CA1A3D7E-B1D5-4A23-A42C-408D80C3149E}">
          <x14:formula1>
            <xm:f>'Data validation criteria'!$N$21:$N$30</xm:f>
          </x14:formula1>
          <xm:sqref>D13</xm:sqref>
        </x14:dataValidation>
        <x14:dataValidation type="list" allowBlank="1" showInputMessage="1" showErrorMessage="1" xr:uid="{5B530003-7DC4-46B5-AE50-17E60E386CA7}">
          <x14:formula1>
            <xm:f>'Data validation criteria'!$D$21:$D$25</xm:f>
          </x14:formula1>
          <xm:sqref>G11</xm:sqref>
        </x14:dataValidation>
        <x14:dataValidation type="list" allowBlank="1" showInputMessage="1" showErrorMessage="1" xr:uid="{BDFD8137-482D-4946-AEA9-8C7B72D75791}">
          <x14:formula1>
            <xm:f>'Data validation criteria'!$F$21:$F$23</xm:f>
          </x14:formula1>
          <xm:sqref>R8</xm:sqref>
        </x14:dataValidation>
        <x14:dataValidation type="list" allowBlank="1" showInputMessage="1" showErrorMessage="1" xr:uid="{DF279B46-3498-48C8-A13B-D38A37AA9F6E}">
          <x14:formula1>
            <xm:f>'Data validation criteria'!$A$34:$A$39</xm:f>
          </x14:formula1>
          <xm:sqref>U8</xm:sqref>
        </x14:dataValidation>
        <x14:dataValidation type="list" allowBlank="1" showInputMessage="1" showErrorMessage="1" xr:uid="{0A1A9F35-C5B0-4550-95C4-84379909D496}">
          <x14:formula1>
            <xm:f>'Data validation criteria'!$L$21:$L$23</xm:f>
          </x14:formula1>
          <xm:sqref>X8</xm:sqref>
        </x14:dataValidation>
        <x14:dataValidation type="list" allowBlank="1" showInputMessage="1" showErrorMessage="1" xr:uid="{83CDA4B6-E339-4757-A355-355562F8D457}">
          <x14:formula1>
            <xm:f>'Data validation criteria'!$E$21:$E$25</xm:f>
          </x14:formula1>
          <xm:sqref>Q2</xm:sqref>
        </x14:dataValidation>
        <x14:dataValidation type="list" allowBlank="1" showInputMessage="1" showErrorMessage="1" xr:uid="{811D9A05-1411-4A8C-AEA4-58BF33E67B0E}">
          <x14:formula1>
            <xm:f>'Data validation criteria'!$F$2:$F$7</xm:f>
          </x14:formula1>
          <xm:sqref>T2</xm:sqref>
        </x14:dataValidation>
        <x14:dataValidation type="list" allowBlank="1" showInputMessage="1" showErrorMessage="1" xr:uid="{88C4EA58-5C5A-4E9E-8389-2A2C828E589A}">
          <x14:formula1>
            <xm:f>'Data validation criteria'!$D$34:$D$38</xm:f>
          </x14:formula1>
          <xm:sqref>T4:U4</xm:sqref>
        </x14:dataValidation>
        <x14:dataValidation type="list" allowBlank="1" showInputMessage="1" showErrorMessage="1" xr:uid="{A230E7B5-791F-4BDE-96AA-966BD9C2C692}">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0200BCCA-ED56-461E-81D7-C671BCA5A3B6}">
          <x14:formula1>
            <xm:f>'Data validation criteria'!$A$21:$A$28</xm:f>
          </x14:formula1>
          <xm:sqref>S10:U10</xm:sqref>
        </x14:dataValidation>
        <x14:dataValidation type="list" allowBlank="1" showInputMessage="1" showErrorMessage="1" xr:uid="{51134137-FB4F-4199-A783-F928A2941B60}">
          <x14:formula1>
            <xm:f>'Data validation criteria'!$J$21:$J$24</xm:f>
          </x14:formula1>
          <xm:sqref>W10 W14:X14 AA14:AB14</xm:sqref>
        </x14:dataValidation>
        <x14:dataValidation type="list" allowBlank="1" showInputMessage="1" showErrorMessage="1" xr:uid="{7A94D2C9-5C3A-44FA-A271-48D95A397687}">
          <x14:formula1>
            <xm:f>'Data validation criteria'!$I$21:$I$25</xm:f>
          </x14:formula1>
          <xm:sqref>S12 W12 AA12</xm:sqref>
        </x14:dataValidation>
        <x14:dataValidation type="list" allowBlank="1" showInputMessage="1" showErrorMessage="1" xr:uid="{EA40DD7B-3A66-46F9-BA3C-9C67050FE4FA}">
          <x14:formula1>
            <xm:f>'Data validation criteria'!$A$21:$A$27</xm:f>
          </x14:formula1>
          <xm:sqref>S13:U13 W13:Y13 AA13:AC13</xm:sqref>
        </x14:dataValidation>
        <x14:dataValidation type="list" allowBlank="1" showInputMessage="1" showErrorMessage="1" xr:uid="{A6546D0F-1C18-4ABC-9685-88D6D587BDF0}">
          <x14:formula1>
            <xm:f>'Data validation criteria'!$J$21:$J$25</xm:f>
          </x14:formula1>
          <xm:sqref>S14</xm:sqref>
        </x14:dataValidation>
        <x14:dataValidation type="list" allowBlank="1" showInputMessage="1" showErrorMessage="1" xr:uid="{5C055157-E53F-4E59-8BD1-FF32FEE524F6}">
          <x14:formula1>
            <xm:f>'Data validation criteria'!$G$34:$G$39</xm:f>
          </x14:formula1>
          <xm:sqref>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M938"/>
  <sheetViews>
    <sheetView showGridLines="0" workbookViewId="0">
      <pane ySplit="1" topLeftCell="A2" activePane="bottomLeft" state="frozen"/>
      <selection activeCell="I22" sqref="I22"/>
      <selection pane="bottomLeft" activeCell="A2" sqref="A2"/>
    </sheetView>
  </sheetViews>
  <sheetFormatPr defaultColWidth="9.19921875" defaultRowHeight="11.65"/>
  <cols>
    <col min="1" max="1" width="12.796875" style="334" customWidth="1"/>
    <col min="2" max="2" width="12.796875" style="335" customWidth="1"/>
    <col min="3" max="3" width="33.796875" style="335" customWidth="1"/>
    <col min="4" max="4" width="24.265625" style="335" customWidth="1"/>
    <col min="5" max="6" width="10.796875" style="335" customWidth="1"/>
    <col min="7" max="7" width="25.53125" style="336" customWidth="1"/>
    <col min="8" max="9" width="10.796875" style="335" customWidth="1"/>
    <col min="10" max="10" width="13.6640625" style="335" customWidth="1"/>
    <col min="11" max="16384" width="9.19921875" style="335"/>
  </cols>
  <sheetData>
    <row r="1" spans="1:10" s="333" customFormat="1">
      <c r="A1" s="505" t="s">
        <v>161</v>
      </c>
      <c r="B1" s="506" t="s">
        <v>162</v>
      </c>
      <c r="C1" s="506" t="s">
        <v>160</v>
      </c>
      <c r="D1" s="506" t="s">
        <v>151</v>
      </c>
      <c r="E1" s="506" t="s">
        <v>150</v>
      </c>
      <c r="F1" s="506" t="s">
        <v>158</v>
      </c>
      <c r="G1" s="507" t="s">
        <v>156</v>
      </c>
      <c r="H1" s="506" t="s">
        <v>163</v>
      </c>
      <c r="I1" s="506" t="s">
        <v>464</v>
      </c>
      <c r="J1" s="506" t="s">
        <v>465</v>
      </c>
    </row>
    <row r="2" spans="1:10">
      <c r="A2" s="503">
        <v>43843</v>
      </c>
      <c r="B2" s="496">
        <v>7</v>
      </c>
      <c r="C2" s="496" t="s">
        <v>252</v>
      </c>
      <c r="D2" s="496" t="s">
        <v>149</v>
      </c>
      <c r="E2" s="496"/>
      <c r="F2" s="496"/>
      <c r="G2" s="497"/>
      <c r="H2" s="496" t="s">
        <v>149</v>
      </c>
      <c r="I2" s="496"/>
      <c r="J2" s="496"/>
    </row>
    <row r="3" spans="1:10">
      <c r="A3" s="504">
        <v>43844</v>
      </c>
      <c r="B3" s="500">
        <v>7</v>
      </c>
      <c r="C3" s="500" t="s">
        <v>252</v>
      </c>
      <c r="D3" s="500" t="s">
        <v>153</v>
      </c>
      <c r="E3" s="500"/>
      <c r="F3" s="500"/>
      <c r="G3" s="501"/>
      <c r="H3" s="500"/>
      <c r="I3" s="500"/>
      <c r="J3" s="500"/>
    </row>
    <row r="4" spans="1:10">
      <c r="A4" s="503">
        <v>43846</v>
      </c>
      <c r="B4" s="496">
        <v>7</v>
      </c>
      <c r="C4" s="496" t="s">
        <v>252</v>
      </c>
      <c r="D4" s="496" t="s">
        <v>147</v>
      </c>
      <c r="E4" s="496">
        <v>96</v>
      </c>
      <c r="F4" s="496">
        <v>96</v>
      </c>
      <c r="G4" s="497"/>
      <c r="H4" s="496"/>
      <c r="I4" s="496"/>
      <c r="J4" s="496"/>
    </row>
    <row r="5" spans="1:10">
      <c r="A5" s="504">
        <v>43849</v>
      </c>
      <c r="B5" s="500">
        <v>7</v>
      </c>
      <c r="C5" s="500" t="s">
        <v>252</v>
      </c>
      <c r="D5" s="500" t="s">
        <v>147</v>
      </c>
      <c r="E5" s="500">
        <v>96</v>
      </c>
      <c r="F5" s="500">
        <v>96</v>
      </c>
      <c r="G5" s="501"/>
      <c r="H5" s="500"/>
      <c r="I5" s="500"/>
      <c r="J5" s="500"/>
    </row>
    <row r="6" spans="1:10">
      <c r="A6" s="503">
        <v>43853</v>
      </c>
      <c r="B6" s="496">
        <v>7</v>
      </c>
      <c r="C6" s="496" t="s">
        <v>252</v>
      </c>
      <c r="D6" s="496" t="s">
        <v>147</v>
      </c>
      <c r="E6" s="496">
        <v>96</v>
      </c>
      <c r="F6" s="496">
        <v>96</v>
      </c>
      <c r="G6" s="497"/>
      <c r="H6" s="496"/>
      <c r="I6" s="496"/>
      <c r="J6" s="496"/>
    </row>
    <row r="7" spans="1:10">
      <c r="A7" s="504">
        <v>43852</v>
      </c>
      <c r="B7" s="500">
        <v>8</v>
      </c>
      <c r="C7" s="500" t="s">
        <v>255</v>
      </c>
      <c r="D7" s="500" t="s">
        <v>148</v>
      </c>
      <c r="E7" s="500">
        <v>1</v>
      </c>
      <c r="F7" s="500">
        <v>24</v>
      </c>
      <c r="G7" s="501"/>
      <c r="H7" s="500"/>
      <c r="I7" s="500"/>
      <c r="J7" s="500"/>
    </row>
    <row r="8" spans="1:10">
      <c r="A8" s="503">
        <v>43853</v>
      </c>
      <c r="B8" s="496">
        <v>8</v>
      </c>
      <c r="C8" s="496" t="s">
        <v>255</v>
      </c>
      <c r="D8" s="496" t="s">
        <v>153</v>
      </c>
      <c r="E8" s="496">
        <v>1</v>
      </c>
      <c r="F8" s="496">
        <v>24</v>
      </c>
      <c r="G8" s="497"/>
      <c r="H8" s="496"/>
      <c r="I8" s="496"/>
      <c r="J8" s="496"/>
    </row>
    <row r="9" spans="1:10">
      <c r="A9" s="504">
        <v>43860</v>
      </c>
      <c r="B9" s="500">
        <v>8</v>
      </c>
      <c r="C9" s="500" t="s">
        <v>255</v>
      </c>
      <c r="D9" s="500" t="s">
        <v>148</v>
      </c>
      <c r="E9" s="500">
        <v>1</v>
      </c>
      <c r="F9" s="500">
        <v>6</v>
      </c>
      <c r="G9" s="501"/>
      <c r="H9" s="500"/>
      <c r="I9" s="500"/>
      <c r="J9" s="500"/>
    </row>
    <row r="10" spans="1:10">
      <c r="A10" s="503">
        <v>43861</v>
      </c>
      <c r="B10" s="496">
        <v>7</v>
      </c>
      <c r="C10" s="496" t="s">
        <v>255</v>
      </c>
      <c r="D10" s="496" t="s">
        <v>153</v>
      </c>
      <c r="E10" s="496">
        <v>1</v>
      </c>
      <c r="F10" s="496">
        <v>6</v>
      </c>
      <c r="G10" s="497"/>
      <c r="H10" s="496"/>
      <c r="I10" s="496"/>
      <c r="J10" s="496"/>
    </row>
    <row r="11" spans="1:10">
      <c r="A11" s="504">
        <v>43864</v>
      </c>
      <c r="B11" s="500">
        <v>8</v>
      </c>
      <c r="C11" s="500" t="s">
        <v>255</v>
      </c>
      <c r="D11" s="500" t="s">
        <v>148</v>
      </c>
      <c r="E11" s="500">
        <v>5</v>
      </c>
      <c r="F11" s="500">
        <v>6</v>
      </c>
      <c r="G11" s="501"/>
      <c r="H11" s="500"/>
      <c r="I11" s="500"/>
      <c r="J11" s="500"/>
    </row>
    <row r="12" spans="1:10">
      <c r="A12" s="503">
        <v>43865</v>
      </c>
      <c r="B12" s="496">
        <v>9</v>
      </c>
      <c r="C12" s="496" t="s">
        <v>255</v>
      </c>
      <c r="D12" s="496" t="s">
        <v>153</v>
      </c>
      <c r="E12" s="496">
        <v>5</v>
      </c>
      <c r="F12" s="496">
        <v>6</v>
      </c>
      <c r="G12" s="497"/>
      <c r="H12" s="496"/>
      <c r="I12" s="496"/>
      <c r="J12" s="496"/>
    </row>
    <row r="13" spans="1:10">
      <c r="A13" s="504">
        <v>43867</v>
      </c>
      <c r="B13" s="500">
        <v>7</v>
      </c>
      <c r="C13" s="500" t="s">
        <v>255</v>
      </c>
      <c r="D13" s="500" t="s">
        <v>154</v>
      </c>
      <c r="E13" s="500">
        <v>1</v>
      </c>
      <c r="F13" s="500">
        <v>96</v>
      </c>
      <c r="G13" s="501"/>
      <c r="H13" s="500" t="s">
        <v>260</v>
      </c>
      <c r="I13" s="500"/>
      <c r="J13" s="500"/>
    </row>
    <row r="14" spans="1:10">
      <c r="A14" s="503">
        <v>43868</v>
      </c>
      <c r="B14" s="496">
        <v>8</v>
      </c>
      <c r="C14" s="496" t="s">
        <v>266</v>
      </c>
      <c r="D14" s="496" t="s">
        <v>153</v>
      </c>
      <c r="E14" s="496">
        <v>1</v>
      </c>
      <c r="F14" s="496">
        <v>96</v>
      </c>
      <c r="G14" s="497"/>
      <c r="H14" s="496"/>
      <c r="I14" s="496"/>
      <c r="J14" s="496"/>
    </row>
    <row r="15" spans="1:10">
      <c r="A15" s="504">
        <v>43873</v>
      </c>
      <c r="B15" s="500">
        <v>8</v>
      </c>
      <c r="C15" s="500" t="s">
        <v>266</v>
      </c>
      <c r="D15" s="500" t="s">
        <v>148</v>
      </c>
      <c r="E15" s="500">
        <v>1</v>
      </c>
      <c r="F15" s="500">
        <v>24</v>
      </c>
      <c r="G15" s="501"/>
      <c r="H15" s="500"/>
      <c r="I15" s="500"/>
      <c r="J15" s="500"/>
    </row>
    <row r="16" spans="1:10">
      <c r="A16" s="503">
        <v>43874</v>
      </c>
      <c r="B16" s="496">
        <v>7</v>
      </c>
      <c r="C16" s="496" t="s">
        <v>266</v>
      </c>
      <c r="D16" s="496" t="s">
        <v>153</v>
      </c>
      <c r="E16" s="496">
        <v>1</v>
      </c>
      <c r="F16" s="496">
        <v>24</v>
      </c>
      <c r="G16" s="497"/>
      <c r="H16" s="496"/>
      <c r="I16" s="496"/>
      <c r="J16" s="496"/>
    </row>
    <row r="17" spans="1:10">
      <c r="A17" s="504">
        <v>43875</v>
      </c>
      <c r="B17" s="500">
        <v>9</v>
      </c>
      <c r="C17" s="500" t="s">
        <v>266</v>
      </c>
      <c r="D17" s="500" t="s">
        <v>148</v>
      </c>
      <c r="E17" s="500">
        <v>1</v>
      </c>
      <c r="F17" s="500">
        <v>6</v>
      </c>
      <c r="G17" s="501"/>
      <c r="H17" s="500"/>
      <c r="I17" s="500"/>
      <c r="J17" s="500"/>
    </row>
    <row r="18" spans="1:10">
      <c r="A18" s="503">
        <v>43876</v>
      </c>
      <c r="B18" s="496">
        <v>8</v>
      </c>
      <c r="C18" s="496" t="s">
        <v>266</v>
      </c>
      <c r="D18" s="496" t="s">
        <v>153</v>
      </c>
      <c r="E18" s="496">
        <v>1</v>
      </c>
      <c r="F18" s="496">
        <v>6</v>
      </c>
      <c r="G18" s="497"/>
      <c r="H18" s="496"/>
      <c r="I18" s="496"/>
      <c r="J18" s="496"/>
    </row>
    <row r="19" spans="1:10">
      <c r="A19" s="504">
        <v>43879</v>
      </c>
      <c r="B19" s="500">
        <v>8</v>
      </c>
      <c r="C19" s="500" t="s">
        <v>266</v>
      </c>
      <c r="D19" s="500" t="s">
        <v>148</v>
      </c>
      <c r="E19" s="500">
        <v>5</v>
      </c>
      <c r="F19" s="500">
        <v>6</v>
      </c>
      <c r="G19" s="501"/>
      <c r="H19" s="500"/>
      <c r="I19" s="500"/>
      <c r="J19" s="500"/>
    </row>
    <row r="20" spans="1:10">
      <c r="A20" s="503">
        <v>43880</v>
      </c>
      <c r="B20" s="496">
        <v>7</v>
      </c>
      <c r="C20" s="496" t="s">
        <v>266</v>
      </c>
      <c r="D20" s="496" t="s">
        <v>153</v>
      </c>
      <c r="E20" s="496">
        <v>5</v>
      </c>
      <c r="F20" s="496">
        <v>6</v>
      </c>
      <c r="G20" s="497"/>
      <c r="H20" s="496"/>
      <c r="I20" s="496"/>
      <c r="J20" s="496"/>
    </row>
    <row r="21" spans="1:10">
      <c r="A21" s="504">
        <v>43882</v>
      </c>
      <c r="B21" s="500">
        <v>9</v>
      </c>
      <c r="C21" s="500" t="s">
        <v>266</v>
      </c>
      <c r="D21" s="500" t="s">
        <v>154</v>
      </c>
      <c r="E21" s="500">
        <v>1</v>
      </c>
      <c r="F21" s="500">
        <v>96</v>
      </c>
      <c r="G21" s="501"/>
      <c r="H21" s="500" t="s">
        <v>263</v>
      </c>
      <c r="I21" s="500"/>
      <c r="J21" s="500"/>
    </row>
    <row r="22" spans="1:10">
      <c r="A22" s="503">
        <v>43882</v>
      </c>
      <c r="B22" s="496">
        <v>10</v>
      </c>
      <c r="C22" s="496" t="s">
        <v>266</v>
      </c>
      <c r="D22" s="496" t="s">
        <v>152</v>
      </c>
      <c r="E22" s="496"/>
      <c r="F22" s="496"/>
      <c r="G22" s="497" t="s">
        <v>272</v>
      </c>
      <c r="H22" s="496"/>
      <c r="I22" s="496"/>
      <c r="J22" s="496"/>
    </row>
    <row r="23" spans="1:10">
      <c r="A23" s="504">
        <v>43884</v>
      </c>
      <c r="B23" s="500">
        <v>7</v>
      </c>
      <c r="C23" s="500" t="s">
        <v>275</v>
      </c>
      <c r="D23" s="500" t="s">
        <v>147</v>
      </c>
      <c r="E23" s="500">
        <v>1</v>
      </c>
      <c r="F23" s="500">
        <v>96</v>
      </c>
      <c r="G23" s="501" t="s">
        <v>277</v>
      </c>
      <c r="H23" s="500"/>
      <c r="I23" s="500"/>
      <c r="J23" s="500"/>
    </row>
    <row r="24" spans="1:10">
      <c r="A24" s="503">
        <v>43884</v>
      </c>
      <c r="B24" s="496">
        <v>16</v>
      </c>
      <c r="C24" s="496" t="s">
        <v>275</v>
      </c>
      <c r="D24" s="496" t="s">
        <v>417</v>
      </c>
      <c r="E24" s="496"/>
      <c r="F24" s="496"/>
      <c r="G24" s="497" t="s">
        <v>435</v>
      </c>
      <c r="H24" s="496"/>
      <c r="I24" s="496"/>
      <c r="J24" s="496"/>
    </row>
    <row r="25" spans="1:10">
      <c r="A25" s="504">
        <v>43852</v>
      </c>
      <c r="B25" s="500">
        <v>9</v>
      </c>
      <c r="C25" s="500" t="s">
        <v>256</v>
      </c>
      <c r="D25" s="500" t="s">
        <v>148</v>
      </c>
      <c r="E25" s="500">
        <v>1</v>
      </c>
      <c r="F25" s="500">
        <v>24</v>
      </c>
      <c r="G25" s="501"/>
      <c r="H25" s="500"/>
      <c r="I25" s="500"/>
      <c r="J25" s="500"/>
    </row>
    <row r="26" spans="1:10">
      <c r="A26" s="503">
        <v>43853</v>
      </c>
      <c r="B26" s="496">
        <v>9</v>
      </c>
      <c r="C26" s="496" t="s">
        <v>256</v>
      </c>
      <c r="D26" s="496" t="s">
        <v>153</v>
      </c>
      <c r="E26" s="496">
        <v>1</v>
      </c>
      <c r="F26" s="496">
        <v>24</v>
      </c>
      <c r="G26" s="497"/>
      <c r="H26" s="496"/>
      <c r="I26" s="496"/>
      <c r="J26" s="496"/>
    </row>
    <row r="27" spans="1:10">
      <c r="A27" s="504">
        <v>43860</v>
      </c>
      <c r="B27" s="500">
        <v>9</v>
      </c>
      <c r="C27" s="500" t="s">
        <v>256</v>
      </c>
      <c r="D27" s="500" t="s">
        <v>148</v>
      </c>
      <c r="E27" s="500">
        <v>1</v>
      </c>
      <c r="F27" s="500">
        <v>6</v>
      </c>
      <c r="G27" s="501"/>
      <c r="H27" s="500"/>
      <c r="I27" s="500"/>
      <c r="J27" s="500"/>
    </row>
    <row r="28" spans="1:10">
      <c r="A28" s="503">
        <v>43861</v>
      </c>
      <c r="B28" s="496">
        <v>8</v>
      </c>
      <c r="C28" s="496" t="s">
        <v>256</v>
      </c>
      <c r="D28" s="496" t="s">
        <v>153</v>
      </c>
      <c r="E28" s="496">
        <v>1</v>
      </c>
      <c r="F28" s="496">
        <v>6</v>
      </c>
      <c r="G28" s="497"/>
      <c r="H28" s="496"/>
      <c r="I28" s="496"/>
      <c r="J28" s="496"/>
    </row>
    <row r="29" spans="1:10">
      <c r="A29" s="504">
        <v>43864</v>
      </c>
      <c r="B29" s="500">
        <v>9</v>
      </c>
      <c r="C29" s="500" t="s">
        <v>256</v>
      </c>
      <c r="D29" s="500" t="s">
        <v>148</v>
      </c>
      <c r="E29" s="500">
        <v>5</v>
      </c>
      <c r="F29" s="500">
        <v>6</v>
      </c>
      <c r="G29" s="501"/>
      <c r="H29" s="500"/>
      <c r="I29" s="500"/>
      <c r="J29" s="500"/>
    </row>
    <row r="30" spans="1:10">
      <c r="A30" s="503">
        <v>43865</v>
      </c>
      <c r="B30" s="496">
        <v>10</v>
      </c>
      <c r="C30" s="496" t="s">
        <v>256</v>
      </c>
      <c r="D30" s="496" t="s">
        <v>153</v>
      </c>
      <c r="E30" s="496">
        <v>5</v>
      </c>
      <c r="F30" s="496">
        <v>6</v>
      </c>
      <c r="G30" s="497"/>
      <c r="H30" s="496"/>
      <c r="I30" s="496"/>
      <c r="J30" s="496"/>
    </row>
    <row r="31" spans="1:10">
      <c r="A31" s="504">
        <v>43867</v>
      </c>
      <c r="B31" s="500">
        <v>8</v>
      </c>
      <c r="C31" s="500" t="s">
        <v>256</v>
      </c>
      <c r="D31" s="500" t="s">
        <v>154</v>
      </c>
      <c r="E31" s="500">
        <v>1</v>
      </c>
      <c r="F31" s="500">
        <v>96</v>
      </c>
      <c r="G31" s="501"/>
      <c r="H31" s="500" t="s">
        <v>260</v>
      </c>
      <c r="I31" s="500"/>
      <c r="J31" s="500"/>
    </row>
    <row r="32" spans="1:10">
      <c r="A32" s="503">
        <v>43868</v>
      </c>
      <c r="B32" s="496">
        <v>9</v>
      </c>
      <c r="C32" s="496" t="s">
        <v>267</v>
      </c>
      <c r="D32" s="496" t="s">
        <v>153</v>
      </c>
      <c r="E32" s="496">
        <v>1</v>
      </c>
      <c r="F32" s="496">
        <v>96</v>
      </c>
      <c r="G32" s="497"/>
      <c r="H32" s="496"/>
      <c r="I32" s="496"/>
      <c r="J32" s="496"/>
    </row>
    <row r="33" spans="1:10">
      <c r="A33" s="504">
        <v>43871</v>
      </c>
      <c r="B33" s="500">
        <v>7</v>
      </c>
      <c r="C33" s="500" t="s">
        <v>267</v>
      </c>
      <c r="D33" s="500" t="s">
        <v>147</v>
      </c>
      <c r="E33" s="500">
        <v>1</v>
      </c>
      <c r="F33" s="500">
        <v>96</v>
      </c>
      <c r="G33" s="501"/>
      <c r="H33" s="500"/>
      <c r="I33" s="500"/>
      <c r="J33" s="500"/>
    </row>
    <row r="34" spans="1:10">
      <c r="A34" s="503">
        <v>43871</v>
      </c>
      <c r="B34" s="496">
        <v>8</v>
      </c>
      <c r="C34" s="496" t="s">
        <v>267</v>
      </c>
      <c r="D34" s="496" t="s">
        <v>147</v>
      </c>
      <c r="E34" s="496">
        <v>1</v>
      </c>
      <c r="F34" s="496">
        <v>96</v>
      </c>
      <c r="G34" s="497"/>
      <c r="H34" s="496"/>
      <c r="I34" s="496"/>
      <c r="J34" s="496"/>
    </row>
    <row r="35" spans="1:10">
      <c r="A35" s="504">
        <v>43871</v>
      </c>
      <c r="B35" s="500">
        <v>10</v>
      </c>
      <c r="C35" s="500" t="s">
        <v>267</v>
      </c>
      <c r="D35" s="500" t="s">
        <v>148</v>
      </c>
      <c r="E35" s="500">
        <v>1</v>
      </c>
      <c r="F35" s="500">
        <v>24</v>
      </c>
      <c r="G35" s="501"/>
      <c r="H35" s="500"/>
      <c r="I35" s="500"/>
      <c r="J35" s="500"/>
    </row>
    <row r="36" spans="1:10">
      <c r="A36" s="503">
        <v>43872</v>
      </c>
      <c r="B36" s="496">
        <v>7</v>
      </c>
      <c r="C36" s="496" t="s">
        <v>267</v>
      </c>
      <c r="D36" s="496" t="s">
        <v>153</v>
      </c>
      <c r="E36" s="496">
        <v>1</v>
      </c>
      <c r="F36" s="496">
        <v>24</v>
      </c>
      <c r="G36" s="497"/>
      <c r="H36" s="496"/>
      <c r="I36" s="496"/>
      <c r="J36" s="496"/>
    </row>
    <row r="37" spans="1:10">
      <c r="A37" s="504">
        <v>43875</v>
      </c>
      <c r="B37" s="500">
        <v>10</v>
      </c>
      <c r="C37" s="500" t="s">
        <v>267</v>
      </c>
      <c r="D37" s="500" t="s">
        <v>148</v>
      </c>
      <c r="E37" s="500">
        <v>1</v>
      </c>
      <c r="F37" s="500">
        <v>6</v>
      </c>
      <c r="G37" s="501"/>
      <c r="H37" s="500"/>
      <c r="I37" s="500"/>
      <c r="J37" s="500"/>
    </row>
    <row r="38" spans="1:10">
      <c r="A38" s="503">
        <v>43876</v>
      </c>
      <c r="B38" s="496">
        <v>9</v>
      </c>
      <c r="C38" s="496" t="s">
        <v>267</v>
      </c>
      <c r="D38" s="496" t="s">
        <v>153</v>
      </c>
      <c r="E38" s="496">
        <v>1</v>
      </c>
      <c r="F38" s="496">
        <v>6</v>
      </c>
      <c r="G38" s="497"/>
      <c r="H38" s="496"/>
      <c r="I38" s="496"/>
      <c r="J38" s="496"/>
    </row>
    <row r="39" spans="1:10">
      <c r="A39" s="504">
        <v>43877</v>
      </c>
      <c r="B39" s="500">
        <v>7</v>
      </c>
      <c r="C39" s="500" t="s">
        <v>267</v>
      </c>
      <c r="D39" s="500" t="s">
        <v>148</v>
      </c>
      <c r="E39" s="500">
        <v>5</v>
      </c>
      <c r="F39" s="500">
        <v>6</v>
      </c>
      <c r="G39" s="501"/>
      <c r="H39" s="500"/>
      <c r="I39" s="500"/>
      <c r="J39" s="500"/>
    </row>
    <row r="40" spans="1:10">
      <c r="A40" s="503">
        <v>43878</v>
      </c>
      <c r="B40" s="496">
        <v>7</v>
      </c>
      <c r="C40" s="496" t="s">
        <v>267</v>
      </c>
      <c r="D40" s="496" t="s">
        <v>153</v>
      </c>
      <c r="E40" s="496">
        <v>5</v>
      </c>
      <c r="F40" s="496">
        <v>6</v>
      </c>
      <c r="G40" s="497"/>
      <c r="H40" s="496"/>
      <c r="I40" s="496"/>
      <c r="J40" s="496"/>
    </row>
    <row r="41" spans="1:10">
      <c r="A41" s="504">
        <v>43880</v>
      </c>
      <c r="B41" s="500">
        <v>8</v>
      </c>
      <c r="C41" s="500" t="s">
        <v>267</v>
      </c>
      <c r="D41" s="500" t="s">
        <v>154</v>
      </c>
      <c r="E41" s="500">
        <v>1</v>
      </c>
      <c r="F41" s="500">
        <v>96</v>
      </c>
      <c r="G41" s="501"/>
      <c r="H41" s="500" t="s">
        <v>263</v>
      </c>
      <c r="I41" s="500"/>
      <c r="J41" s="500"/>
    </row>
    <row r="42" spans="1:10">
      <c r="A42" s="503">
        <v>43880</v>
      </c>
      <c r="B42" s="496">
        <v>10</v>
      </c>
      <c r="C42" s="496" t="s">
        <v>267</v>
      </c>
      <c r="D42" s="496" t="s">
        <v>152</v>
      </c>
      <c r="E42" s="496"/>
      <c r="F42" s="496"/>
      <c r="G42" s="497" t="s">
        <v>272</v>
      </c>
      <c r="H42" s="496"/>
      <c r="I42" s="496"/>
      <c r="J42" s="496"/>
    </row>
    <row r="43" spans="1:10">
      <c r="A43" s="504">
        <v>43881</v>
      </c>
      <c r="B43" s="500">
        <v>9</v>
      </c>
      <c r="C43" s="500" t="s">
        <v>273</v>
      </c>
      <c r="D43" s="500" t="s">
        <v>153</v>
      </c>
      <c r="E43" s="500">
        <v>1</v>
      </c>
      <c r="F43" s="500">
        <v>96</v>
      </c>
      <c r="G43" s="501"/>
      <c r="H43" s="500"/>
      <c r="I43" s="500"/>
      <c r="J43" s="500"/>
    </row>
    <row r="44" spans="1:10">
      <c r="A44" s="503">
        <v>43882</v>
      </c>
      <c r="B44" s="496">
        <v>11</v>
      </c>
      <c r="C44" s="496" t="s">
        <v>273</v>
      </c>
      <c r="D44" s="496" t="s">
        <v>147</v>
      </c>
      <c r="E44" s="496">
        <v>1</v>
      </c>
      <c r="F44" s="496">
        <v>96</v>
      </c>
      <c r="G44" s="497"/>
      <c r="H44" s="496"/>
      <c r="I44" s="496"/>
      <c r="J44" s="496"/>
    </row>
    <row r="45" spans="1:10">
      <c r="A45" s="504">
        <v>43884</v>
      </c>
      <c r="B45" s="500">
        <v>8</v>
      </c>
      <c r="C45" s="500" t="s">
        <v>273</v>
      </c>
      <c r="D45" s="500" t="s">
        <v>147</v>
      </c>
      <c r="E45" s="500">
        <v>1</v>
      </c>
      <c r="F45" s="500">
        <v>96</v>
      </c>
      <c r="G45" s="501" t="s">
        <v>277</v>
      </c>
      <c r="H45" s="500"/>
      <c r="I45" s="500"/>
      <c r="J45" s="500"/>
    </row>
    <row r="46" spans="1:10">
      <c r="A46" s="503">
        <v>43884</v>
      </c>
      <c r="B46" s="496">
        <v>17</v>
      </c>
      <c r="C46" s="496" t="s">
        <v>273</v>
      </c>
      <c r="D46" s="496" t="s">
        <v>417</v>
      </c>
      <c r="E46" s="496"/>
      <c r="F46" s="496"/>
      <c r="G46" s="497" t="s">
        <v>435</v>
      </c>
      <c r="H46" s="496"/>
      <c r="I46" s="496"/>
      <c r="J46" s="496"/>
    </row>
    <row r="47" spans="1:10">
      <c r="A47" s="504">
        <v>43852</v>
      </c>
      <c r="B47" s="500">
        <v>12</v>
      </c>
      <c r="C47" s="500" t="s">
        <v>269</v>
      </c>
      <c r="D47" s="500" t="s">
        <v>148</v>
      </c>
      <c r="E47" s="500">
        <v>1</v>
      </c>
      <c r="F47" s="500">
        <v>24</v>
      </c>
      <c r="G47" s="501"/>
      <c r="H47" s="500"/>
      <c r="I47" s="500"/>
      <c r="J47" s="500"/>
    </row>
    <row r="48" spans="1:10">
      <c r="A48" s="503">
        <v>43860</v>
      </c>
      <c r="B48" s="496">
        <v>10</v>
      </c>
      <c r="C48" s="496" t="s">
        <v>269</v>
      </c>
      <c r="D48" s="496" t="s">
        <v>148</v>
      </c>
      <c r="E48" s="496">
        <v>1</v>
      </c>
      <c r="F48" s="496">
        <v>6</v>
      </c>
      <c r="G48" s="497"/>
      <c r="H48" s="496"/>
      <c r="I48" s="496"/>
      <c r="J48" s="496"/>
    </row>
    <row r="49" spans="1:10">
      <c r="A49" s="504">
        <v>43861</v>
      </c>
      <c r="B49" s="500">
        <v>9</v>
      </c>
      <c r="C49" s="500" t="s">
        <v>269</v>
      </c>
      <c r="D49" s="500" t="s">
        <v>153</v>
      </c>
      <c r="E49" s="500">
        <v>1</v>
      </c>
      <c r="F49" s="500">
        <v>6</v>
      </c>
      <c r="G49" s="501"/>
      <c r="H49" s="500"/>
      <c r="I49" s="500"/>
      <c r="J49" s="500"/>
    </row>
    <row r="50" spans="1:10">
      <c r="A50" s="503">
        <v>43865</v>
      </c>
      <c r="B50" s="496">
        <v>8</v>
      </c>
      <c r="C50" s="496" t="s">
        <v>269</v>
      </c>
      <c r="D50" s="496" t="s">
        <v>148</v>
      </c>
      <c r="E50" s="496">
        <v>5</v>
      </c>
      <c r="F50" s="496">
        <v>6</v>
      </c>
      <c r="G50" s="497"/>
      <c r="H50" s="496"/>
      <c r="I50" s="496"/>
      <c r="J50" s="496"/>
    </row>
    <row r="51" spans="1:10">
      <c r="A51" s="504">
        <v>43866</v>
      </c>
      <c r="B51" s="500">
        <v>8</v>
      </c>
      <c r="C51" s="500" t="s">
        <v>269</v>
      </c>
      <c r="D51" s="500" t="s">
        <v>153</v>
      </c>
      <c r="E51" s="500">
        <v>5</v>
      </c>
      <c r="F51" s="500">
        <v>6</v>
      </c>
      <c r="G51" s="501"/>
      <c r="H51" s="500"/>
      <c r="I51" s="500"/>
      <c r="J51" s="500"/>
    </row>
    <row r="52" spans="1:10">
      <c r="A52" s="503">
        <v>43868</v>
      </c>
      <c r="B52" s="496">
        <v>12</v>
      </c>
      <c r="C52" s="496" t="s">
        <v>269</v>
      </c>
      <c r="D52" s="496" t="s">
        <v>154</v>
      </c>
      <c r="E52" s="496">
        <v>1</v>
      </c>
      <c r="F52" s="496">
        <v>96</v>
      </c>
      <c r="G52" s="497"/>
      <c r="H52" s="496" t="s">
        <v>260</v>
      </c>
      <c r="I52" s="496"/>
      <c r="J52" s="496"/>
    </row>
    <row r="53" spans="1:10">
      <c r="A53" s="504">
        <v>43869</v>
      </c>
      <c r="B53" s="500">
        <v>7</v>
      </c>
      <c r="C53" s="500" t="s">
        <v>270</v>
      </c>
      <c r="D53" s="500" t="s">
        <v>153</v>
      </c>
      <c r="E53" s="500">
        <v>1</v>
      </c>
      <c r="F53" s="500">
        <v>96</v>
      </c>
      <c r="G53" s="501"/>
      <c r="H53" s="500"/>
      <c r="I53" s="500"/>
      <c r="J53" s="500"/>
    </row>
    <row r="54" spans="1:10">
      <c r="A54" s="503">
        <v>43871</v>
      </c>
      <c r="B54" s="496">
        <v>12</v>
      </c>
      <c r="C54" s="496" t="s">
        <v>270</v>
      </c>
      <c r="D54" s="496" t="s">
        <v>147</v>
      </c>
      <c r="E54" s="496">
        <v>1</v>
      </c>
      <c r="F54" s="496">
        <v>96</v>
      </c>
      <c r="G54" s="497"/>
      <c r="H54" s="496"/>
      <c r="I54" s="496"/>
      <c r="J54" s="496"/>
    </row>
    <row r="55" spans="1:10">
      <c r="A55" s="504">
        <v>43871</v>
      </c>
      <c r="B55" s="500">
        <v>13</v>
      </c>
      <c r="C55" s="500" t="s">
        <v>270</v>
      </c>
      <c r="D55" s="500" t="s">
        <v>148</v>
      </c>
      <c r="E55" s="500">
        <v>1</v>
      </c>
      <c r="F55" s="500">
        <v>24</v>
      </c>
      <c r="G55" s="501"/>
      <c r="H55" s="500"/>
      <c r="I55" s="500"/>
      <c r="J55" s="500"/>
    </row>
    <row r="56" spans="1:10">
      <c r="A56" s="503">
        <v>43872</v>
      </c>
      <c r="B56" s="496">
        <v>9</v>
      </c>
      <c r="C56" s="496" t="s">
        <v>270</v>
      </c>
      <c r="D56" s="496" t="s">
        <v>153</v>
      </c>
      <c r="E56" s="496">
        <v>1</v>
      </c>
      <c r="F56" s="496">
        <v>24</v>
      </c>
      <c r="G56" s="497"/>
      <c r="H56" s="496"/>
      <c r="I56" s="496"/>
      <c r="J56" s="496"/>
    </row>
    <row r="57" spans="1:10">
      <c r="A57" s="504">
        <v>43876</v>
      </c>
      <c r="B57" s="500">
        <v>7</v>
      </c>
      <c r="C57" s="500" t="s">
        <v>270</v>
      </c>
      <c r="D57" s="500"/>
      <c r="E57" s="500"/>
      <c r="F57" s="500"/>
      <c r="G57" s="501" t="s">
        <v>271</v>
      </c>
      <c r="H57" s="500"/>
      <c r="I57" s="500"/>
      <c r="J57" s="500"/>
    </row>
    <row r="58" spans="1:10">
      <c r="A58" s="503">
        <v>43884</v>
      </c>
      <c r="B58" s="496">
        <v>18</v>
      </c>
      <c r="C58" s="496" t="s">
        <v>270</v>
      </c>
      <c r="D58" s="496" t="s">
        <v>417</v>
      </c>
      <c r="E58" s="496"/>
      <c r="F58" s="496"/>
      <c r="G58" s="497" t="s">
        <v>436</v>
      </c>
      <c r="H58" s="496"/>
      <c r="I58" s="496"/>
      <c r="J58" s="496"/>
    </row>
    <row r="59" spans="1:10">
      <c r="A59" s="504">
        <v>43852</v>
      </c>
      <c r="B59" s="500">
        <v>10</v>
      </c>
      <c r="C59" s="500" t="s">
        <v>257</v>
      </c>
      <c r="D59" s="500" t="s">
        <v>148</v>
      </c>
      <c r="E59" s="500">
        <v>1</v>
      </c>
      <c r="F59" s="500">
        <v>24</v>
      </c>
      <c r="G59" s="501"/>
      <c r="H59" s="500"/>
      <c r="I59" s="500"/>
      <c r="J59" s="500"/>
    </row>
    <row r="60" spans="1:10">
      <c r="A60" s="503">
        <v>43853</v>
      </c>
      <c r="B60" s="496">
        <v>10</v>
      </c>
      <c r="C60" s="496" t="s">
        <v>257</v>
      </c>
      <c r="D60" s="496" t="s">
        <v>153</v>
      </c>
      <c r="E60" s="496">
        <v>1</v>
      </c>
      <c r="F60" s="496">
        <v>24</v>
      </c>
      <c r="G60" s="497"/>
      <c r="H60" s="496"/>
      <c r="I60" s="496"/>
      <c r="J60" s="496"/>
    </row>
    <row r="61" spans="1:10">
      <c r="A61" s="504">
        <v>43859</v>
      </c>
      <c r="B61" s="500">
        <v>8</v>
      </c>
      <c r="C61" s="500" t="s">
        <v>257</v>
      </c>
      <c r="D61" s="500" t="s">
        <v>148</v>
      </c>
      <c r="E61" s="500">
        <v>1</v>
      </c>
      <c r="F61" s="500">
        <v>6</v>
      </c>
      <c r="G61" s="501"/>
      <c r="H61" s="500"/>
      <c r="I61" s="500"/>
      <c r="J61" s="500"/>
    </row>
    <row r="62" spans="1:10">
      <c r="A62" s="503">
        <v>43860</v>
      </c>
      <c r="B62" s="496">
        <v>7</v>
      </c>
      <c r="C62" s="496" t="s">
        <v>257</v>
      </c>
      <c r="D62" s="496" t="s">
        <v>153</v>
      </c>
      <c r="E62" s="496">
        <v>1</v>
      </c>
      <c r="F62" s="496">
        <v>6</v>
      </c>
      <c r="G62" s="497"/>
      <c r="H62" s="496"/>
      <c r="I62" s="496"/>
      <c r="J62" s="496"/>
    </row>
    <row r="63" spans="1:10">
      <c r="A63" s="504">
        <v>43864</v>
      </c>
      <c r="B63" s="500">
        <v>10</v>
      </c>
      <c r="C63" s="500" t="s">
        <v>257</v>
      </c>
      <c r="D63" s="500" t="s">
        <v>148</v>
      </c>
      <c r="E63" s="500">
        <v>5</v>
      </c>
      <c r="F63" s="500">
        <v>6</v>
      </c>
      <c r="G63" s="501"/>
      <c r="H63" s="500"/>
      <c r="I63" s="500"/>
      <c r="J63" s="500"/>
    </row>
    <row r="64" spans="1:10">
      <c r="A64" s="503">
        <v>43865</v>
      </c>
      <c r="B64" s="496">
        <v>11</v>
      </c>
      <c r="C64" s="496" t="s">
        <v>257</v>
      </c>
      <c r="D64" s="496" t="s">
        <v>153</v>
      </c>
      <c r="E64" s="496">
        <v>5</v>
      </c>
      <c r="F64" s="496">
        <v>6</v>
      </c>
      <c r="G64" s="497"/>
      <c r="H64" s="496"/>
      <c r="I64" s="496"/>
      <c r="J64" s="496"/>
    </row>
    <row r="65" spans="1:10">
      <c r="A65" s="504">
        <v>43867</v>
      </c>
      <c r="B65" s="500">
        <v>9</v>
      </c>
      <c r="C65" s="500" t="s">
        <v>257</v>
      </c>
      <c r="D65" s="500" t="s">
        <v>154</v>
      </c>
      <c r="E65" s="500">
        <v>1</v>
      </c>
      <c r="F65" s="500">
        <v>96</v>
      </c>
      <c r="G65" s="501"/>
      <c r="H65" s="500" t="s">
        <v>260</v>
      </c>
      <c r="I65" s="500"/>
      <c r="J65" s="500"/>
    </row>
    <row r="66" spans="1:10">
      <c r="A66" s="503">
        <v>43868</v>
      </c>
      <c r="B66" s="496">
        <v>10</v>
      </c>
      <c r="C66" s="496" t="s">
        <v>268</v>
      </c>
      <c r="D66" s="496" t="s">
        <v>153</v>
      </c>
      <c r="E66" s="496">
        <v>1</v>
      </c>
      <c r="F66" s="496">
        <v>96</v>
      </c>
      <c r="G66" s="497"/>
      <c r="H66" s="496"/>
      <c r="I66" s="496"/>
      <c r="J66" s="496"/>
    </row>
    <row r="67" spans="1:10">
      <c r="A67" s="504">
        <v>43871</v>
      </c>
      <c r="B67" s="500">
        <v>9</v>
      </c>
      <c r="C67" s="500" t="s">
        <v>268</v>
      </c>
      <c r="D67" s="500" t="s">
        <v>147</v>
      </c>
      <c r="E67" s="500">
        <v>1</v>
      </c>
      <c r="F67" s="500">
        <v>96</v>
      </c>
      <c r="G67" s="501"/>
      <c r="H67" s="500"/>
      <c r="I67" s="500"/>
      <c r="J67" s="500"/>
    </row>
    <row r="68" spans="1:10">
      <c r="A68" s="503">
        <v>43871</v>
      </c>
      <c r="B68" s="496">
        <v>11</v>
      </c>
      <c r="C68" s="496" t="s">
        <v>268</v>
      </c>
      <c r="D68" s="496" t="s">
        <v>148</v>
      </c>
      <c r="E68" s="496">
        <v>1</v>
      </c>
      <c r="F68" s="496">
        <v>24</v>
      </c>
      <c r="G68" s="497"/>
      <c r="H68" s="496"/>
      <c r="I68" s="496"/>
      <c r="J68" s="496"/>
    </row>
    <row r="69" spans="1:10">
      <c r="A69" s="504">
        <v>43872</v>
      </c>
      <c r="B69" s="500">
        <v>8</v>
      </c>
      <c r="C69" s="500" t="s">
        <v>268</v>
      </c>
      <c r="D69" s="500" t="s">
        <v>153</v>
      </c>
      <c r="E69" s="500">
        <v>1</v>
      </c>
      <c r="F69" s="500">
        <v>24</v>
      </c>
      <c r="G69" s="501"/>
      <c r="H69" s="500"/>
      <c r="I69" s="500"/>
      <c r="J69" s="500"/>
    </row>
    <row r="70" spans="1:10">
      <c r="A70" s="503">
        <v>43874</v>
      </c>
      <c r="B70" s="496">
        <v>8</v>
      </c>
      <c r="C70" s="496" t="s">
        <v>268</v>
      </c>
      <c r="D70" s="496" t="s">
        <v>148</v>
      </c>
      <c r="E70" s="496">
        <v>1</v>
      </c>
      <c r="F70" s="496">
        <v>6</v>
      </c>
      <c r="G70" s="497"/>
      <c r="H70" s="496"/>
      <c r="I70" s="496"/>
      <c r="J70" s="496"/>
    </row>
    <row r="71" spans="1:10">
      <c r="A71" s="504">
        <v>43875</v>
      </c>
      <c r="B71" s="500">
        <v>8</v>
      </c>
      <c r="C71" s="500" t="s">
        <v>268</v>
      </c>
      <c r="D71" s="500" t="s">
        <v>153</v>
      </c>
      <c r="E71" s="500">
        <v>1</v>
      </c>
      <c r="F71" s="500">
        <v>6</v>
      </c>
      <c r="G71" s="501"/>
      <c r="H71" s="500"/>
      <c r="I71" s="500"/>
      <c r="J71" s="500"/>
    </row>
    <row r="72" spans="1:10">
      <c r="A72" s="503">
        <v>43877</v>
      </c>
      <c r="B72" s="496">
        <v>8</v>
      </c>
      <c r="C72" s="496" t="s">
        <v>268</v>
      </c>
      <c r="D72" s="496" t="s">
        <v>148</v>
      </c>
      <c r="E72" s="496">
        <v>5</v>
      </c>
      <c r="F72" s="496">
        <v>6</v>
      </c>
      <c r="G72" s="497"/>
      <c r="H72" s="496"/>
      <c r="I72" s="496"/>
      <c r="J72" s="496"/>
    </row>
    <row r="73" spans="1:10">
      <c r="A73" s="504">
        <v>43878</v>
      </c>
      <c r="B73" s="500">
        <v>8</v>
      </c>
      <c r="C73" s="500" t="s">
        <v>268</v>
      </c>
      <c r="D73" s="500" t="s">
        <v>153</v>
      </c>
      <c r="E73" s="500">
        <v>5</v>
      </c>
      <c r="F73" s="500">
        <v>6</v>
      </c>
      <c r="G73" s="501"/>
      <c r="H73" s="500"/>
      <c r="I73" s="500"/>
      <c r="J73" s="500"/>
    </row>
    <row r="74" spans="1:10">
      <c r="A74" s="503">
        <v>43880</v>
      </c>
      <c r="B74" s="496">
        <v>9</v>
      </c>
      <c r="C74" s="496" t="s">
        <v>268</v>
      </c>
      <c r="D74" s="496" t="s">
        <v>154</v>
      </c>
      <c r="E74" s="496">
        <v>1</v>
      </c>
      <c r="F74" s="496">
        <v>96</v>
      </c>
      <c r="G74" s="497"/>
      <c r="H74" s="496" t="s">
        <v>263</v>
      </c>
      <c r="I74" s="496"/>
      <c r="J74" s="496"/>
    </row>
    <row r="75" spans="1:10">
      <c r="A75" s="504">
        <v>43880</v>
      </c>
      <c r="B75" s="500">
        <v>11</v>
      </c>
      <c r="C75" s="500" t="s">
        <v>268</v>
      </c>
      <c r="D75" s="500" t="s">
        <v>152</v>
      </c>
      <c r="E75" s="500"/>
      <c r="F75" s="500"/>
      <c r="G75" s="501" t="s">
        <v>272</v>
      </c>
      <c r="H75" s="500"/>
      <c r="I75" s="500"/>
      <c r="J75" s="500"/>
    </row>
    <row r="76" spans="1:10">
      <c r="A76" s="503">
        <v>43881</v>
      </c>
      <c r="B76" s="496">
        <v>8</v>
      </c>
      <c r="C76" s="496" t="s">
        <v>274</v>
      </c>
      <c r="D76" s="496" t="s">
        <v>153</v>
      </c>
      <c r="E76" s="496">
        <v>1</v>
      </c>
      <c r="F76" s="496">
        <v>96</v>
      </c>
      <c r="G76" s="497"/>
      <c r="H76" s="496"/>
      <c r="I76" s="496"/>
      <c r="J76" s="496"/>
    </row>
    <row r="77" spans="1:10">
      <c r="A77" s="504">
        <v>43884</v>
      </c>
      <c r="B77" s="500">
        <v>9</v>
      </c>
      <c r="C77" s="500" t="s">
        <v>274</v>
      </c>
      <c r="D77" s="500" t="s">
        <v>147</v>
      </c>
      <c r="E77" s="500">
        <v>1</v>
      </c>
      <c r="F77" s="500">
        <v>96</v>
      </c>
      <c r="G77" s="501"/>
      <c r="H77" s="500"/>
      <c r="I77" s="500"/>
      <c r="J77" s="500"/>
    </row>
    <row r="78" spans="1:10">
      <c r="A78" s="503">
        <v>43885</v>
      </c>
      <c r="B78" s="496">
        <v>9</v>
      </c>
      <c r="C78" s="496" t="s">
        <v>274</v>
      </c>
      <c r="D78" s="496" t="s">
        <v>148</v>
      </c>
      <c r="E78" s="496">
        <v>1</v>
      </c>
      <c r="F78" s="496">
        <v>12</v>
      </c>
      <c r="G78" s="497"/>
      <c r="H78" s="496"/>
      <c r="I78" s="496"/>
      <c r="J78" s="496"/>
    </row>
    <row r="79" spans="1:10">
      <c r="A79" s="504">
        <v>43886</v>
      </c>
      <c r="B79" s="500">
        <v>7</v>
      </c>
      <c r="C79" s="500" t="s">
        <v>274</v>
      </c>
      <c r="D79" s="500" t="s">
        <v>153</v>
      </c>
      <c r="E79" s="500">
        <v>1</v>
      </c>
      <c r="F79" s="500">
        <v>12</v>
      </c>
      <c r="G79" s="501"/>
      <c r="H79" s="500"/>
      <c r="I79" s="500"/>
      <c r="J79" s="500"/>
    </row>
    <row r="80" spans="1:10">
      <c r="A80" s="503">
        <v>43889</v>
      </c>
      <c r="B80" s="496">
        <v>9</v>
      </c>
      <c r="C80" s="496" t="s">
        <v>274</v>
      </c>
      <c r="D80" s="496" t="s">
        <v>148</v>
      </c>
      <c r="E80" s="496">
        <v>1</v>
      </c>
      <c r="F80" s="496">
        <v>6</v>
      </c>
      <c r="G80" s="497"/>
      <c r="H80" s="496"/>
      <c r="I80" s="496"/>
      <c r="J80" s="496"/>
    </row>
    <row r="81" spans="1:10">
      <c r="A81" s="504">
        <v>43890</v>
      </c>
      <c r="B81" s="500">
        <v>9</v>
      </c>
      <c r="C81" s="500" t="s">
        <v>274</v>
      </c>
      <c r="D81" s="500" t="s">
        <v>153</v>
      </c>
      <c r="E81" s="500">
        <v>1</v>
      </c>
      <c r="F81" s="500">
        <v>6</v>
      </c>
      <c r="G81" s="501"/>
      <c r="H81" s="500"/>
      <c r="I81" s="500"/>
      <c r="J81" s="500"/>
    </row>
    <row r="82" spans="1:10">
      <c r="A82" s="503">
        <v>43892</v>
      </c>
      <c r="B82" s="496">
        <v>7</v>
      </c>
      <c r="C82" s="496" t="s">
        <v>274</v>
      </c>
      <c r="D82" s="496" t="s">
        <v>153</v>
      </c>
      <c r="E82" s="496">
        <v>5</v>
      </c>
      <c r="F82" s="496">
        <v>6</v>
      </c>
      <c r="G82" s="497"/>
      <c r="H82" s="496"/>
      <c r="I82" s="496"/>
      <c r="J82" s="496"/>
    </row>
    <row r="83" spans="1:10">
      <c r="A83" s="504">
        <v>43899</v>
      </c>
      <c r="B83" s="500">
        <v>7</v>
      </c>
      <c r="C83" s="500" t="s">
        <v>274</v>
      </c>
      <c r="D83" s="500" t="s">
        <v>152</v>
      </c>
      <c r="E83" s="500"/>
      <c r="F83" s="500"/>
      <c r="G83" s="501" t="s">
        <v>262</v>
      </c>
      <c r="H83" s="500"/>
      <c r="I83" s="500"/>
      <c r="J83" s="500"/>
    </row>
    <row r="84" spans="1:10">
      <c r="A84" s="503">
        <v>44061</v>
      </c>
      <c r="B84" s="496">
        <v>7</v>
      </c>
      <c r="C84" s="496" t="s">
        <v>274</v>
      </c>
      <c r="D84" s="496" t="s">
        <v>146</v>
      </c>
      <c r="E84" s="496">
        <v>1</v>
      </c>
      <c r="F84" s="496">
        <v>6</v>
      </c>
      <c r="G84" s="497" t="s">
        <v>313</v>
      </c>
      <c r="H84" s="496"/>
      <c r="I84" s="496"/>
      <c r="J84" s="496"/>
    </row>
    <row r="85" spans="1:10">
      <c r="A85" s="504">
        <v>44062</v>
      </c>
      <c r="B85" s="500">
        <v>7</v>
      </c>
      <c r="C85" s="500" t="s">
        <v>274</v>
      </c>
      <c r="D85" s="500" t="s">
        <v>338</v>
      </c>
      <c r="E85" s="500">
        <v>1</v>
      </c>
      <c r="F85" s="500">
        <v>6</v>
      </c>
      <c r="G85" s="501"/>
      <c r="H85" s="500"/>
      <c r="I85" s="500"/>
      <c r="J85" s="500"/>
    </row>
    <row r="86" spans="1:10">
      <c r="A86" s="503">
        <v>44064</v>
      </c>
      <c r="B86" s="496">
        <v>7</v>
      </c>
      <c r="C86" s="496" t="s">
        <v>274</v>
      </c>
      <c r="D86" s="496" t="s">
        <v>147</v>
      </c>
      <c r="E86" s="496">
        <v>1</v>
      </c>
      <c r="F86" s="496">
        <v>6</v>
      </c>
      <c r="G86" s="497" t="s">
        <v>314</v>
      </c>
      <c r="H86" s="496"/>
      <c r="I86" s="496"/>
      <c r="J86" s="496"/>
    </row>
    <row r="87" spans="1:10">
      <c r="A87" s="504">
        <v>44064</v>
      </c>
      <c r="B87" s="500">
        <v>9</v>
      </c>
      <c r="C87" s="500" t="s">
        <v>274</v>
      </c>
      <c r="D87" s="500" t="s">
        <v>348</v>
      </c>
      <c r="E87" s="500"/>
      <c r="F87" s="500"/>
      <c r="G87" s="501"/>
      <c r="H87" s="500"/>
      <c r="I87" s="500"/>
      <c r="J87" s="500"/>
    </row>
    <row r="88" spans="1:10">
      <c r="A88" s="503">
        <v>44065</v>
      </c>
      <c r="B88" s="496">
        <v>7</v>
      </c>
      <c r="C88" s="496" t="s">
        <v>274</v>
      </c>
      <c r="D88" s="496" t="s">
        <v>148</v>
      </c>
      <c r="E88" s="496">
        <v>1</v>
      </c>
      <c r="F88" s="496">
        <v>6</v>
      </c>
      <c r="G88" s="497" t="s">
        <v>315</v>
      </c>
      <c r="H88" s="496"/>
      <c r="I88" s="496"/>
      <c r="J88" s="496"/>
    </row>
    <row r="89" spans="1:10">
      <c r="A89" s="504">
        <v>44066</v>
      </c>
      <c r="B89" s="500">
        <v>7</v>
      </c>
      <c r="C89" s="500" t="s">
        <v>274</v>
      </c>
      <c r="D89" s="500" t="s">
        <v>338</v>
      </c>
      <c r="E89" s="500">
        <v>1</v>
      </c>
      <c r="F89" s="500">
        <v>6</v>
      </c>
      <c r="G89" s="501"/>
      <c r="H89" s="500"/>
      <c r="I89" s="500"/>
      <c r="J89" s="500"/>
    </row>
    <row r="90" spans="1:10">
      <c r="A90" s="503">
        <v>44067</v>
      </c>
      <c r="B90" s="496">
        <v>7</v>
      </c>
      <c r="C90" s="496" t="s">
        <v>274</v>
      </c>
      <c r="D90" s="496" t="s">
        <v>348</v>
      </c>
      <c r="E90" s="496"/>
      <c r="F90" s="496"/>
      <c r="G90" s="497"/>
      <c r="H90" s="496"/>
      <c r="I90" s="496"/>
      <c r="J90" s="496"/>
    </row>
    <row r="91" spans="1:10">
      <c r="A91" s="504">
        <v>44068</v>
      </c>
      <c r="B91" s="500">
        <v>7</v>
      </c>
      <c r="C91" s="500" t="s">
        <v>274</v>
      </c>
      <c r="D91" s="500" t="s">
        <v>148</v>
      </c>
      <c r="E91" s="500">
        <v>1</v>
      </c>
      <c r="F91" s="500">
        <v>6</v>
      </c>
      <c r="G91" s="501" t="s">
        <v>319</v>
      </c>
      <c r="H91" s="500"/>
      <c r="I91" s="500"/>
      <c r="J91" s="500"/>
    </row>
    <row r="92" spans="1:10" ht="58.15">
      <c r="A92" s="503">
        <v>44068</v>
      </c>
      <c r="B92" s="496">
        <v>9</v>
      </c>
      <c r="C92" s="496" t="s">
        <v>274</v>
      </c>
      <c r="D92" s="496" t="s">
        <v>154</v>
      </c>
      <c r="E92" s="496">
        <v>1</v>
      </c>
      <c r="F92" s="496">
        <v>96</v>
      </c>
      <c r="G92" s="497" t="s">
        <v>358</v>
      </c>
      <c r="H92" s="496" t="s">
        <v>317</v>
      </c>
      <c r="I92" s="496"/>
      <c r="J92" s="496"/>
    </row>
    <row r="93" spans="1:10">
      <c r="A93" s="504">
        <v>44069</v>
      </c>
      <c r="B93" s="500">
        <v>8</v>
      </c>
      <c r="C93" s="500" t="s">
        <v>274</v>
      </c>
      <c r="D93" s="500" t="s">
        <v>338</v>
      </c>
      <c r="E93" s="500">
        <v>1</v>
      </c>
      <c r="F93" s="500">
        <v>6</v>
      </c>
      <c r="G93" s="501"/>
      <c r="H93" s="500"/>
      <c r="I93" s="500"/>
      <c r="J93" s="500"/>
    </row>
    <row r="94" spans="1:10">
      <c r="A94" s="503">
        <v>44070</v>
      </c>
      <c r="B94" s="496">
        <v>7</v>
      </c>
      <c r="C94" s="496" t="s">
        <v>274</v>
      </c>
      <c r="D94" s="496" t="s">
        <v>348</v>
      </c>
      <c r="E94" s="496">
        <v>1</v>
      </c>
      <c r="F94" s="496">
        <v>6</v>
      </c>
      <c r="G94" s="497"/>
      <c r="H94" s="496"/>
      <c r="I94" s="496"/>
      <c r="J94" s="496"/>
    </row>
    <row r="95" spans="1:10">
      <c r="A95" s="504">
        <v>44071</v>
      </c>
      <c r="B95" s="500">
        <v>9</v>
      </c>
      <c r="C95" s="500" t="s">
        <v>274</v>
      </c>
      <c r="D95" s="500" t="s">
        <v>348</v>
      </c>
      <c r="E95" s="500">
        <v>1</v>
      </c>
      <c r="F95" s="500">
        <v>6</v>
      </c>
      <c r="G95" s="501"/>
      <c r="H95" s="500"/>
      <c r="I95" s="500"/>
      <c r="J95" s="500"/>
    </row>
    <row r="96" spans="1:10">
      <c r="A96" s="503">
        <v>44072</v>
      </c>
      <c r="B96" s="496">
        <v>10</v>
      </c>
      <c r="C96" s="496" t="s">
        <v>274</v>
      </c>
      <c r="D96" s="496" t="s">
        <v>348</v>
      </c>
      <c r="E96" s="496">
        <v>1</v>
      </c>
      <c r="F96" s="496">
        <v>6</v>
      </c>
      <c r="G96" s="497"/>
      <c r="H96" s="496"/>
      <c r="I96" s="496"/>
      <c r="J96" s="496"/>
    </row>
    <row r="97" spans="1:10">
      <c r="A97" s="504">
        <v>44074</v>
      </c>
      <c r="B97" s="500">
        <v>9</v>
      </c>
      <c r="C97" s="500" t="s">
        <v>274</v>
      </c>
      <c r="D97" s="500" t="s">
        <v>148</v>
      </c>
      <c r="E97" s="500">
        <v>1</v>
      </c>
      <c r="F97" s="500">
        <v>6</v>
      </c>
      <c r="G97" s="501" t="s">
        <v>315</v>
      </c>
      <c r="H97" s="500"/>
      <c r="I97" s="500"/>
      <c r="J97" s="500"/>
    </row>
    <row r="98" spans="1:10">
      <c r="A98" s="503">
        <v>44075</v>
      </c>
      <c r="B98" s="496">
        <v>9</v>
      </c>
      <c r="C98" s="496" t="s">
        <v>274</v>
      </c>
      <c r="D98" s="496"/>
      <c r="E98" s="496">
        <v>1</v>
      </c>
      <c r="F98" s="496">
        <v>6</v>
      </c>
      <c r="G98" s="497"/>
      <c r="H98" s="496"/>
      <c r="I98" s="496"/>
      <c r="J98" s="496"/>
    </row>
    <row r="99" spans="1:10">
      <c r="A99" s="504">
        <v>44076</v>
      </c>
      <c r="B99" s="500">
        <v>9</v>
      </c>
      <c r="C99" s="500" t="s">
        <v>274</v>
      </c>
      <c r="D99" s="500" t="s">
        <v>348</v>
      </c>
      <c r="E99" s="500">
        <v>1</v>
      </c>
      <c r="F99" s="500">
        <v>6</v>
      </c>
      <c r="G99" s="501"/>
      <c r="H99" s="500"/>
      <c r="I99" s="500"/>
      <c r="J99" s="500"/>
    </row>
    <row r="100" spans="1:10">
      <c r="A100" s="503">
        <v>44077</v>
      </c>
      <c r="B100" s="496">
        <v>9</v>
      </c>
      <c r="C100" s="496" t="s">
        <v>274</v>
      </c>
      <c r="D100" s="496" t="s">
        <v>348</v>
      </c>
      <c r="E100" s="496">
        <v>1</v>
      </c>
      <c r="F100" s="496">
        <v>6</v>
      </c>
      <c r="G100" s="497"/>
      <c r="H100" s="496"/>
      <c r="I100" s="496"/>
      <c r="J100" s="496"/>
    </row>
    <row r="101" spans="1:10">
      <c r="A101" s="504">
        <v>44078</v>
      </c>
      <c r="B101" s="500">
        <v>9</v>
      </c>
      <c r="C101" s="500" t="s">
        <v>274</v>
      </c>
      <c r="D101" s="500" t="s">
        <v>348</v>
      </c>
      <c r="E101" s="500">
        <v>1</v>
      </c>
      <c r="F101" s="500">
        <v>6</v>
      </c>
      <c r="G101" s="501"/>
      <c r="H101" s="500"/>
      <c r="I101" s="500"/>
      <c r="J101" s="500"/>
    </row>
    <row r="102" spans="1:10">
      <c r="A102" s="503">
        <v>44079</v>
      </c>
      <c r="B102" s="496">
        <v>11</v>
      </c>
      <c r="C102" s="496" t="s">
        <v>274</v>
      </c>
      <c r="D102" s="496"/>
      <c r="E102" s="496"/>
      <c r="F102" s="496"/>
      <c r="G102" s="497" t="s">
        <v>331</v>
      </c>
      <c r="H102" s="496"/>
      <c r="I102" s="496"/>
      <c r="J102" s="496"/>
    </row>
    <row r="103" spans="1:10">
      <c r="A103" s="504">
        <v>44069</v>
      </c>
      <c r="B103" s="500">
        <v>7</v>
      </c>
      <c r="C103" s="500" t="s">
        <v>318</v>
      </c>
      <c r="D103" s="500" t="s">
        <v>338</v>
      </c>
      <c r="E103" s="500">
        <v>1</v>
      </c>
      <c r="F103" s="500">
        <v>96</v>
      </c>
      <c r="G103" s="501" t="s">
        <v>359</v>
      </c>
      <c r="H103" s="500"/>
      <c r="I103" s="500"/>
      <c r="J103" s="500"/>
    </row>
    <row r="104" spans="1:10">
      <c r="A104" s="503">
        <v>44070</v>
      </c>
      <c r="B104" s="496">
        <v>10</v>
      </c>
      <c r="C104" s="496" t="s">
        <v>318</v>
      </c>
      <c r="D104" s="496" t="s">
        <v>338</v>
      </c>
      <c r="E104" s="496">
        <v>1</v>
      </c>
      <c r="F104" s="496">
        <v>96</v>
      </c>
      <c r="G104" s="497"/>
      <c r="H104" s="496"/>
      <c r="I104" s="496"/>
      <c r="J104" s="496"/>
    </row>
    <row r="105" spans="1:10">
      <c r="A105" s="504">
        <v>44070</v>
      </c>
      <c r="B105" s="500">
        <v>12</v>
      </c>
      <c r="C105" s="500" t="s">
        <v>318</v>
      </c>
      <c r="D105" s="500" t="s">
        <v>147</v>
      </c>
      <c r="E105" s="500">
        <v>1</v>
      </c>
      <c r="F105" s="500">
        <v>96</v>
      </c>
      <c r="G105" s="501"/>
      <c r="H105" s="500"/>
      <c r="I105" s="500"/>
      <c r="J105" s="500"/>
    </row>
    <row r="106" spans="1:10">
      <c r="A106" s="503">
        <v>44071</v>
      </c>
      <c r="B106" s="496">
        <v>8</v>
      </c>
      <c r="C106" s="496" t="s">
        <v>318</v>
      </c>
      <c r="D106" s="496" t="s">
        <v>348</v>
      </c>
      <c r="E106" s="496">
        <v>1</v>
      </c>
      <c r="F106" s="496">
        <v>96</v>
      </c>
      <c r="G106" s="497"/>
      <c r="H106" s="496"/>
      <c r="I106" s="496"/>
      <c r="J106" s="496"/>
    </row>
    <row r="107" spans="1:10">
      <c r="A107" s="504">
        <v>44072</v>
      </c>
      <c r="B107" s="500">
        <v>9</v>
      </c>
      <c r="C107" s="500" t="s">
        <v>318</v>
      </c>
      <c r="D107" s="500" t="s">
        <v>348</v>
      </c>
      <c r="E107" s="500">
        <v>1</v>
      </c>
      <c r="F107" s="500">
        <v>96</v>
      </c>
      <c r="G107" s="501"/>
      <c r="H107" s="500"/>
      <c r="I107" s="500"/>
      <c r="J107" s="500"/>
    </row>
    <row r="108" spans="1:10">
      <c r="A108" s="503">
        <v>44074</v>
      </c>
      <c r="B108" s="496">
        <v>8</v>
      </c>
      <c r="C108" s="496" t="s">
        <v>318</v>
      </c>
      <c r="D108" s="496" t="s">
        <v>147</v>
      </c>
      <c r="E108" s="496">
        <v>1</v>
      </c>
      <c r="F108" s="496">
        <v>96</v>
      </c>
      <c r="G108" s="497"/>
      <c r="H108" s="496"/>
      <c r="I108" s="496"/>
      <c r="J108" s="496"/>
    </row>
    <row r="109" spans="1:10">
      <c r="A109" s="504">
        <v>44075</v>
      </c>
      <c r="B109" s="500">
        <v>7</v>
      </c>
      <c r="C109" s="500" t="s">
        <v>318</v>
      </c>
      <c r="D109" s="500" t="s">
        <v>147</v>
      </c>
      <c r="E109" s="500">
        <v>1</v>
      </c>
      <c r="F109" s="500">
        <v>96</v>
      </c>
      <c r="G109" s="501" t="s">
        <v>324</v>
      </c>
      <c r="H109" s="500"/>
      <c r="I109" s="500"/>
      <c r="J109" s="500"/>
    </row>
    <row r="110" spans="1:10">
      <c r="A110" s="503">
        <v>44075</v>
      </c>
      <c r="B110" s="496">
        <v>8</v>
      </c>
      <c r="C110" s="496" t="s">
        <v>318</v>
      </c>
      <c r="D110" s="496" t="s">
        <v>148</v>
      </c>
      <c r="E110" s="496">
        <v>1</v>
      </c>
      <c r="F110" s="496">
        <v>12</v>
      </c>
      <c r="G110" s="497" t="s">
        <v>325</v>
      </c>
      <c r="H110" s="496"/>
      <c r="I110" s="496"/>
      <c r="J110" s="496"/>
    </row>
    <row r="111" spans="1:10">
      <c r="A111" s="504">
        <v>44076</v>
      </c>
      <c r="B111" s="500">
        <v>8</v>
      </c>
      <c r="C111" s="500" t="s">
        <v>318</v>
      </c>
      <c r="D111" s="500" t="s">
        <v>338</v>
      </c>
      <c r="E111" s="500">
        <v>1</v>
      </c>
      <c r="F111" s="500">
        <v>12</v>
      </c>
      <c r="G111" s="501"/>
      <c r="H111" s="500"/>
      <c r="I111" s="500"/>
      <c r="J111" s="500"/>
    </row>
    <row r="112" spans="1:10">
      <c r="A112" s="503">
        <v>44077</v>
      </c>
      <c r="B112" s="496">
        <v>8</v>
      </c>
      <c r="C112" s="496" t="s">
        <v>318</v>
      </c>
      <c r="D112" s="496" t="s">
        <v>148</v>
      </c>
      <c r="E112" s="496">
        <v>1</v>
      </c>
      <c r="F112" s="496">
        <v>6</v>
      </c>
      <c r="G112" s="497"/>
      <c r="H112" s="496"/>
      <c r="I112" s="496"/>
      <c r="J112" s="496"/>
    </row>
    <row r="113" spans="1:10">
      <c r="A113" s="504">
        <v>44078</v>
      </c>
      <c r="B113" s="500">
        <v>8</v>
      </c>
      <c r="C113" s="500" t="s">
        <v>318</v>
      </c>
      <c r="D113" s="500" t="s">
        <v>338</v>
      </c>
      <c r="E113" s="500">
        <v>1</v>
      </c>
      <c r="F113" s="500">
        <v>6</v>
      </c>
      <c r="G113" s="501"/>
      <c r="H113" s="500"/>
      <c r="I113" s="500"/>
      <c r="J113" s="500"/>
    </row>
    <row r="114" spans="1:10">
      <c r="A114" s="503">
        <v>44079</v>
      </c>
      <c r="B114" s="496">
        <v>10</v>
      </c>
      <c r="C114" s="496" t="s">
        <v>318</v>
      </c>
      <c r="D114" s="496" t="s">
        <v>148</v>
      </c>
      <c r="E114" s="496">
        <v>5</v>
      </c>
      <c r="F114" s="496">
        <v>6</v>
      </c>
      <c r="G114" s="497"/>
      <c r="H114" s="496"/>
      <c r="I114" s="496"/>
      <c r="J114" s="496"/>
    </row>
    <row r="115" spans="1:10">
      <c r="A115" s="504">
        <v>44080</v>
      </c>
      <c r="B115" s="500">
        <v>10</v>
      </c>
      <c r="C115" s="500" t="s">
        <v>318</v>
      </c>
      <c r="D115" s="500" t="s">
        <v>338</v>
      </c>
      <c r="E115" s="500">
        <v>5</v>
      </c>
      <c r="F115" s="500">
        <v>6</v>
      </c>
      <c r="G115" s="501"/>
      <c r="H115" s="500"/>
      <c r="I115" s="500"/>
      <c r="J115" s="500"/>
    </row>
    <row r="116" spans="1:10" ht="81.400000000000006">
      <c r="A116" s="503">
        <v>44082</v>
      </c>
      <c r="B116" s="496">
        <v>8</v>
      </c>
      <c r="C116" s="496" t="s">
        <v>318</v>
      </c>
      <c r="D116" s="496" t="s">
        <v>154</v>
      </c>
      <c r="E116" s="496">
        <v>1</v>
      </c>
      <c r="F116" s="496">
        <v>96</v>
      </c>
      <c r="G116" s="497" t="s">
        <v>336</v>
      </c>
      <c r="H116" s="496" t="s">
        <v>334</v>
      </c>
      <c r="I116" s="496"/>
      <c r="J116" s="496"/>
    </row>
    <row r="117" spans="1:10">
      <c r="A117" s="504">
        <v>44082</v>
      </c>
      <c r="B117" s="500">
        <v>9</v>
      </c>
      <c r="C117" s="500" t="s">
        <v>318</v>
      </c>
      <c r="D117" s="500" t="s">
        <v>152</v>
      </c>
      <c r="E117" s="500">
        <v>5</v>
      </c>
      <c r="F117" s="500">
        <v>6</v>
      </c>
      <c r="G117" s="501" t="s">
        <v>272</v>
      </c>
      <c r="H117" s="500"/>
      <c r="I117" s="500"/>
      <c r="J117" s="500"/>
    </row>
    <row r="118" spans="1:10">
      <c r="A118" s="503">
        <v>44083</v>
      </c>
      <c r="B118" s="496">
        <v>10</v>
      </c>
      <c r="C118" s="496" t="s">
        <v>335</v>
      </c>
      <c r="D118" s="496" t="s">
        <v>338</v>
      </c>
      <c r="E118" s="496">
        <v>1</v>
      </c>
      <c r="F118" s="496">
        <v>96</v>
      </c>
      <c r="G118" s="497"/>
      <c r="H118" s="496"/>
      <c r="I118" s="496"/>
      <c r="J118" s="496"/>
    </row>
    <row r="119" spans="1:10">
      <c r="A119" s="504">
        <v>44086</v>
      </c>
      <c r="B119" s="500">
        <v>10</v>
      </c>
      <c r="C119" s="500" t="s">
        <v>335</v>
      </c>
      <c r="D119" s="500" t="s">
        <v>348</v>
      </c>
      <c r="E119" s="500">
        <v>1</v>
      </c>
      <c r="F119" s="500">
        <v>96</v>
      </c>
      <c r="G119" s="501"/>
      <c r="H119" s="500"/>
      <c r="I119" s="500"/>
      <c r="J119" s="500"/>
    </row>
    <row r="120" spans="1:10">
      <c r="A120" s="503">
        <v>44088</v>
      </c>
      <c r="B120" s="496">
        <v>8</v>
      </c>
      <c r="C120" s="496" t="s">
        <v>335</v>
      </c>
      <c r="D120" s="496" t="s">
        <v>147</v>
      </c>
      <c r="E120" s="496">
        <v>1</v>
      </c>
      <c r="F120" s="496">
        <v>96</v>
      </c>
      <c r="G120" s="497" t="s">
        <v>341</v>
      </c>
      <c r="H120" s="496"/>
      <c r="I120" s="496"/>
      <c r="J120" s="496"/>
    </row>
    <row r="121" spans="1:10">
      <c r="A121" s="504">
        <v>44089</v>
      </c>
      <c r="B121" s="500">
        <v>7</v>
      </c>
      <c r="C121" s="500" t="s">
        <v>335</v>
      </c>
      <c r="D121" s="500" t="s">
        <v>348</v>
      </c>
      <c r="E121" s="500">
        <v>1</v>
      </c>
      <c r="F121" s="500">
        <v>96</v>
      </c>
      <c r="G121" s="501"/>
      <c r="H121" s="500"/>
      <c r="I121" s="500"/>
      <c r="J121" s="500"/>
    </row>
    <row r="122" spans="1:10" ht="23.25">
      <c r="A122" s="503">
        <v>44090</v>
      </c>
      <c r="B122" s="496">
        <v>7</v>
      </c>
      <c r="C122" s="496" t="s">
        <v>335</v>
      </c>
      <c r="D122" s="496" t="s">
        <v>147</v>
      </c>
      <c r="E122" s="496">
        <v>1</v>
      </c>
      <c r="F122" s="496">
        <v>96</v>
      </c>
      <c r="G122" s="497" t="s">
        <v>342</v>
      </c>
      <c r="H122" s="496"/>
      <c r="I122" s="496"/>
      <c r="J122" s="496"/>
    </row>
    <row r="123" spans="1:10">
      <c r="A123" s="504">
        <v>44092</v>
      </c>
      <c r="B123" s="500">
        <v>7</v>
      </c>
      <c r="C123" s="500" t="s">
        <v>335</v>
      </c>
      <c r="D123" s="500" t="s">
        <v>148</v>
      </c>
      <c r="E123" s="500">
        <v>1</v>
      </c>
      <c r="F123" s="500">
        <v>12</v>
      </c>
      <c r="G123" s="501" t="s">
        <v>347</v>
      </c>
      <c r="H123" s="500"/>
      <c r="I123" s="500"/>
      <c r="J123" s="500"/>
    </row>
    <row r="124" spans="1:10">
      <c r="A124" s="503">
        <v>44094</v>
      </c>
      <c r="B124" s="496">
        <v>8</v>
      </c>
      <c r="C124" s="496" t="s">
        <v>335</v>
      </c>
      <c r="D124" s="496" t="s">
        <v>348</v>
      </c>
      <c r="E124" s="496">
        <v>1</v>
      </c>
      <c r="F124" s="496">
        <v>12</v>
      </c>
      <c r="G124" s="497"/>
      <c r="H124" s="496"/>
      <c r="I124" s="496"/>
      <c r="J124" s="496"/>
    </row>
    <row r="125" spans="1:10">
      <c r="A125" s="504">
        <v>44095</v>
      </c>
      <c r="B125" s="500">
        <v>8</v>
      </c>
      <c r="C125" s="500" t="s">
        <v>335</v>
      </c>
      <c r="D125" s="500" t="s">
        <v>348</v>
      </c>
      <c r="E125" s="500">
        <v>1</v>
      </c>
      <c r="F125" s="500">
        <v>12</v>
      </c>
      <c r="G125" s="501"/>
      <c r="H125" s="500"/>
      <c r="I125" s="500"/>
      <c r="J125" s="500"/>
    </row>
    <row r="126" spans="1:10">
      <c r="A126" s="503">
        <v>44097</v>
      </c>
      <c r="B126" s="496">
        <v>7</v>
      </c>
      <c r="C126" s="496" t="s">
        <v>335</v>
      </c>
      <c r="D126" s="496" t="s">
        <v>148</v>
      </c>
      <c r="E126" s="496">
        <v>1</v>
      </c>
      <c r="F126" s="496">
        <v>6</v>
      </c>
      <c r="G126" s="497" t="s">
        <v>350</v>
      </c>
      <c r="H126" s="496"/>
      <c r="I126" s="496"/>
      <c r="J126" s="496"/>
    </row>
    <row r="127" spans="1:10">
      <c r="A127" s="504">
        <v>44098</v>
      </c>
      <c r="B127" s="500">
        <v>8</v>
      </c>
      <c r="C127" s="500" t="s">
        <v>335</v>
      </c>
      <c r="D127" s="500" t="s">
        <v>338</v>
      </c>
      <c r="E127" s="500">
        <v>5</v>
      </c>
      <c r="F127" s="500">
        <v>6</v>
      </c>
      <c r="G127" s="501"/>
      <c r="H127" s="500"/>
      <c r="I127" s="500"/>
      <c r="J127" s="500"/>
    </row>
    <row r="128" spans="1:10">
      <c r="A128" s="503">
        <v>44099</v>
      </c>
      <c r="B128" s="496">
        <v>8</v>
      </c>
      <c r="C128" s="496" t="s">
        <v>335</v>
      </c>
      <c r="D128" s="496" t="s">
        <v>348</v>
      </c>
      <c r="E128" s="496">
        <v>5</v>
      </c>
      <c r="F128" s="496">
        <v>6</v>
      </c>
      <c r="G128" s="497"/>
      <c r="H128" s="496"/>
      <c r="I128" s="496"/>
      <c r="J128" s="496"/>
    </row>
    <row r="129" spans="1:10">
      <c r="A129" s="504">
        <v>44101</v>
      </c>
      <c r="B129" s="500">
        <v>8</v>
      </c>
      <c r="C129" s="500" t="s">
        <v>335</v>
      </c>
      <c r="D129" s="500" t="s">
        <v>348</v>
      </c>
      <c r="E129" s="500">
        <v>5</v>
      </c>
      <c r="F129" s="500">
        <v>6</v>
      </c>
      <c r="G129" s="501"/>
      <c r="H129" s="500"/>
      <c r="I129" s="500"/>
      <c r="J129" s="500"/>
    </row>
    <row r="130" spans="1:10" ht="93">
      <c r="A130" s="503">
        <v>44102</v>
      </c>
      <c r="B130" s="496">
        <v>7</v>
      </c>
      <c r="C130" s="496" t="s">
        <v>335</v>
      </c>
      <c r="D130" s="496" t="s">
        <v>154</v>
      </c>
      <c r="E130" s="496">
        <v>1</v>
      </c>
      <c r="F130" s="496">
        <v>96</v>
      </c>
      <c r="G130" s="497" t="s">
        <v>357</v>
      </c>
      <c r="H130" s="496" t="s">
        <v>354</v>
      </c>
      <c r="I130" s="496"/>
      <c r="J130" s="496"/>
    </row>
    <row r="131" spans="1:10">
      <c r="A131" s="504">
        <v>44102</v>
      </c>
      <c r="B131" s="500">
        <v>8</v>
      </c>
      <c r="C131" s="500" t="s">
        <v>335</v>
      </c>
      <c r="D131" s="500" t="s">
        <v>348</v>
      </c>
      <c r="E131" s="500">
        <v>4</v>
      </c>
      <c r="F131" s="500">
        <v>6</v>
      </c>
      <c r="G131" s="501"/>
      <c r="H131" s="500"/>
      <c r="I131" s="500"/>
      <c r="J131" s="500"/>
    </row>
    <row r="132" spans="1:10">
      <c r="A132" s="503">
        <v>44103</v>
      </c>
      <c r="B132" s="496">
        <v>8</v>
      </c>
      <c r="C132" s="496" t="s">
        <v>335</v>
      </c>
      <c r="D132" s="496" t="s">
        <v>152</v>
      </c>
      <c r="E132" s="496">
        <v>5</v>
      </c>
      <c r="F132" s="496" t="s">
        <v>411</v>
      </c>
      <c r="G132" s="497" t="s">
        <v>262</v>
      </c>
      <c r="H132" s="496"/>
      <c r="I132" s="496"/>
      <c r="J132" s="496"/>
    </row>
    <row r="133" spans="1:10">
      <c r="A133" s="504">
        <v>44103</v>
      </c>
      <c r="B133" s="500">
        <v>7</v>
      </c>
      <c r="C133" s="500" t="s">
        <v>355</v>
      </c>
      <c r="D133" s="500" t="s">
        <v>338</v>
      </c>
      <c r="E133" s="500">
        <v>1</v>
      </c>
      <c r="F133" s="500">
        <v>96</v>
      </c>
      <c r="G133" s="501"/>
      <c r="H133" s="500"/>
      <c r="I133" s="500"/>
      <c r="J133" s="500"/>
    </row>
    <row r="134" spans="1:10">
      <c r="A134" s="503">
        <v>44104</v>
      </c>
      <c r="B134" s="496">
        <v>7</v>
      </c>
      <c r="C134" s="496" t="s">
        <v>355</v>
      </c>
      <c r="D134" s="496" t="s">
        <v>148</v>
      </c>
      <c r="E134" s="496">
        <v>1</v>
      </c>
      <c r="F134" s="496">
        <v>12</v>
      </c>
      <c r="G134" s="497"/>
      <c r="H134" s="496"/>
      <c r="I134" s="496"/>
      <c r="J134" s="496"/>
    </row>
    <row r="135" spans="1:10">
      <c r="A135" s="504">
        <v>44105</v>
      </c>
      <c r="B135" s="500">
        <v>13</v>
      </c>
      <c r="C135" s="500" t="s">
        <v>355</v>
      </c>
      <c r="D135" s="500" t="s">
        <v>348</v>
      </c>
      <c r="E135" s="500">
        <v>1</v>
      </c>
      <c r="F135" s="500">
        <v>12</v>
      </c>
      <c r="G135" s="501"/>
      <c r="H135" s="500"/>
      <c r="I135" s="500"/>
      <c r="J135" s="500"/>
    </row>
    <row r="136" spans="1:10">
      <c r="A136" s="503">
        <v>44106</v>
      </c>
      <c r="B136" s="496">
        <v>12</v>
      </c>
      <c r="C136" s="496" t="s">
        <v>355</v>
      </c>
      <c r="D136" s="496" t="s">
        <v>348</v>
      </c>
      <c r="E136" s="496">
        <v>1</v>
      </c>
      <c r="F136" s="496">
        <v>12</v>
      </c>
      <c r="G136" s="497"/>
      <c r="H136" s="496"/>
      <c r="I136" s="496"/>
      <c r="J136" s="496"/>
    </row>
    <row r="137" spans="1:10">
      <c r="A137" s="504">
        <v>44107</v>
      </c>
      <c r="B137" s="500">
        <v>12</v>
      </c>
      <c r="C137" s="500" t="s">
        <v>355</v>
      </c>
      <c r="D137" s="500" t="s">
        <v>148</v>
      </c>
      <c r="E137" s="500">
        <v>1</v>
      </c>
      <c r="F137" s="500">
        <v>6</v>
      </c>
      <c r="G137" s="501"/>
      <c r="H137" s="500"/>
      <c r="I137" s="500"/>
      <c r="J137" s="500"/>
    </row>
    <row r="138" spans="1:10">
      <c r="A138" s="503">
        <v>44109</v>
      </c>
      <c r="B138" s="496">
        <v>12</v>
      </c>
      <c r="C138" s="496" t="s">
        <v>355</v>
      </c>
      <c r="D138" s="496" t="s">
        <v>148</v>
      </c>
      <c r="E138" s="496">
        <v>5</v>
      </c>
      <c r="F138" s="496">
        <v>6</v>
      </c>
      <c r="G138" s="497"/>
      <c r="H138" s="496"/>
      <c r="I138" s="496"/>
      <c r="J138" s="496"/>
    </row>
    <row r="139" spans="1:10">
      <c r="A139" s="504">
        <v>44110</v>
      </c>
      <c r="B139" s="500">
        <v>14</v>
      </c>
      <c r="C139" s="500" t="s">
        <v>355</v>
      </c>
      <c r="D139" s="500" t="s">
        <v>338</v>
      </c>
      <c r="E139" s="500">
        <v>5</v>
      </c>
      <c r="F139" s="500">
        <v>6</v>
      </c>
      <c r="G139" s="501"/>
      <c r="H139" s="500"/>
      <c r="I139" s="500"/>
      <c r="J139" s="500"/>
    </row>
    <row r="140" spans="1:10">
      <c r="A140" s="503">
        <v>44111</v>
      </c>
      <c r="B140" s="496">
        <v>13</v>
      </c>
      <c r="C140" s="496" t="s">
        <v>355</v>
      </c>
      <c r="D140" s="496" t="s">
        <v>348</v>
      </c>
      <c r="E140" s="496">
        <v>5</v>
      </c>
      <c r="F140" s="496">
        <v>6</v>
      </c>
      <c r="G140" s="497"/>
      <c r="H140" s="496"/>
      <c r="I140" s="496"/>
      <c r="J140" s="496"/>
    </row>
    <row r="141" spans="1:10">
      <c r="A141" s="504">
        <v>44112</v>
      </c>
      <c r="B141" s="500">
        <v>10</v>
      </c>
      <c r="C141" s="500" t="s">
        <v>355</v>
      </c>
      <c r="D141" s="500" t="s">
        <v>348</v>
      </c>
      <c r="E141" s="500">
        <v>5</v>
      </c>
      <c r="F141" s="500">
        <v>6</v>
      </c>
      <c r="G141" s="501"/>
      <c r="H141" s="500"/>
      <c r="I141" s="500"/>
      <c r="J141" s="500"/>
    </row>
    <row r="142" spans="1:10" ht="93">
      <c r="A142" s="503">
        <v>44113</v>
      </c>
      <c r="B142" s="496">
        <v>11</v>
      </c>
      <c r="C142" s="496" t="s">
        <v>355</v>
      </c>
      <c r="D142" s="496" t="s">
        <v>154</v>
      </c>
      <c r="E142" s="496">
        <v>1</v>
      </c>
      <c r="F142" s="496">
        <v>12</v>
      </c>
      <c r="G142" s="497" t="s">
        <v>410</v>
      </c>
      <c r="H142" s="496" t="s">
        <v>373</v>
      </c>
      <c r="I142" s="496"/>
      <c r="J142" s="496"/>
    </row>
    <row r="143" spans="1:10">
      <c r="A143" s="504">
        <v>44113</v>
      </c>
      <c r="B143" s="500">
        <v>12</v>
      </c>
      <c r="C143" s="500" t="s">
        <v>355</v>
      </c>
      <c r="D143" s="500" t="s">
        <v>152</v>
      </c>
      <c r="E143" s="500"/>
      <c r="F143" s="500"/>
      <c r="G143" s="501" t="s">
        <v>292</v>
      </c>
      <c r="H143" s="500"/>
      <c r="I143" s="500"/>
      <c r="J143" s="500"/>
    </row>
    <row r="144" spans="1:10">
      <c r="A144" s="503">
        <v>44131</v>
      </c>
      <c r="B144" s="496">
        <v>7</v>
      </c>
      <c r="C144" s="496" t="s">
        <v>355</v>
      </c>
      <c r="D144" s="496" t="s">
        <v>276</v>
      </c>
      <c r="E144" s="496"/>
      <c r="F144" s="496"/>
      <c r="G144" s="497" t="s">
        <v>396</v>
      </c>
      <c r="H144" s="496"/>
      <c r="I144" s="496"/>
      <c r="J144" s="496"/>
    </row>
    <row r="145" spans="1:10">
      <c r="A145" s="504">
        <v>44152</v>
      </c>
      <c r="B145" s="500">
        <v>11</v>
      </c>
      <c r="C145" s="500" t="s">
        <v>355</v>
      </c>
      <c r="D145" s="500" t="s">
        <v>146</v>
      </c>
      <c r="E145" s="500">
        <v>1</v>
      </c>
      <c r="F145" s="500">
        <v>6</v>
      </c>
      <c r="G145" s="501" t="s">
        <v>434</v>
      </c>
      <c r="H145" s="500"/>
      <c r="I145" s="500"/>
      <c r="J145" s="500"/>
    </row>
    <row r="146" spans="1:10">
      <c r="A146" s="503">
        <v>44153</v>
      </c>
      <c r="B146" s="496">
        <v>8</v>
      </c>
      <c r="C146" s="496" t="s">
        <v>355</v>
      </c>
      <c r="D146" s="496" t="s">
        <v>348</v>
      </c>
      <c r="E146" s="496">
        <v>1</v>
      </c>
      <c r="F146" s="496">
        <v>6</v>
      </c>
      <c r="G146" s="497"/>
      <c r="H146" s="496"/>
      <c r="I146" s="496"/>
      <c r="J146" s="496"/>
    </row>
    <row r="147" spans="1:10">
      <c r="A147" s="504">
        <v>44155</v>
      </c>
      <c r="B147" s="500">
        <v>8</v>
      </c>
      <c r="C147" s="500" t="s">
        <v>355</v>
      </c>
      <c r="D147" s="500" t="s">
        <v>148</v>
      </c>
      <c r="E147" s="500">
        <v>5</v>
      </c>
      <c r="F147" s="500">
        <v>6</v>
      </c>
      <c r="G147" s="501"/>
      <c r="H147" s="500"/>
      <c r="I147" s="500"/>
      <c r="J147" s="500"/>
    </row>
    <row r="148" spans="1:10" ht="81.400000000000006">
      <c r="A148" s="503">
        <v>44157</v>
      </c>
      <c r="B148" s="496">
        <v>8</v>
      </c>
      <c r="C148" s="496" t="s">
        <v>355</v>
      </c>
      <c r="D148" s="496" t="s">
        <v>154</v>
      </c>
      <c r="E148" s="496">
        <v>1</v>
      </c>
      <c r="F148" s="496">
        <v>6</v>
      </c>
      <c r="G148" s="497" t="s">
        <v>444</v>
      </c>
      <c r="H148" s="496" t="s">
        <v>373</v>
      </c>
      <c r="I148" s="496"/>
      <c r="J148" s="496"/>
    </row>
    <row r="149" spans="1:10" ht="46.5">
      <c r="A149" s="504">
        <v>44158</v>
      </c>
      <c r="B149" s="500">
        <v>11</v>
      </c>
      <c r="C149" s="500" t="s">
        <v>355</v>
      </c>
      <c r="D149" s="500" t="s">
        <v>148</v>
      </c>
      <c r="E149" s="500"/>
      <c r="F149" s="500"/>
      <c r="G149" s="501" t="s">
        <v>451</v>
      </c>
      <c r="H149" s="500"/>
      <c r="I149" s="500"/>
      <c r="J149" s="500"/>
    </row>
    <row r="150" spans="1:10">
      <c r="A150" s="503">
        <v>44164</v>
      </c>
      <c r="B150" s="496">
        <v>15</v>
      </c>
      <c r="C150" s="496" t="s">
        <v>355</v>
      </c>
      <c r="D150" s="496" t="s">
        <v>276</v>
      </c>
      <c r="E150" s="496">
        <v>1</v>
      </c>
      <c r="F150" s="496"/>
      <c r="G150" s="497"/>
      <c r="H150" s="496"/>
      <c r="I150" s="496"/>
      <c r="J150" s="496"/>
    </row>
    <row r="151" spans="1:10">
      <c r="A151" s="504">
        <v>44165</v>
      </c>
      <c r="B151" s="500">
        <v>8</v>
      </c>
      <c r="C151" s="500" t="s">
        <v>355</v>
      </c>
      <c r="D151" s="500" t="s">
        <v>348</v>
      </c>
      <c r="E151" s="500">
        <v>1</v>
      </c>
      <c r="F151" s="500">
        <v>6</v>
      </c>
      <c r="G151" s="501"/>
      <c r="H151" s="500"/>
      <c r="I151" s="500"/>
      <c r="J151" s="500"/>
    </row>
    <row r="152" spans="1:10">
      <c r="A152" s="503">
        <v>44166</v>
      </c>
      <c r="B152" s="496">
        <v>8</v>
      </c>
      <c r="C152" s="496" t="s">
        <v>355</v>
      </c>
      <c r="D152" s="496" t="s">
        <v>348</v>
      </c>
      <c r="E152" s="496">
        <v>1</v>
      </c>
      <c r="F152" s="496">
        <v>6</v>
      </c>
      <c r="G152" s="497"/>
      <c r="H152" s="496"/>
      <c r="I152" s="496"/>
      <c r="J152" s="496"/>
    </row>
    <row r="153" spans="1:10">
      <c r="A153" s="504">
        <v>44168</v>
      </c>
      <c r="B153" s="500">
        <v>8</v>
      </c>
      <c r="C153" s="500" t="s">
        <v>355</v>
      </c>
      <c r="D153" s="500" t="s">
        <v>348</v>
      </c>
      <c r="E153" s="500">
        <v>1</v>
      </c>
      <c r="F153" s="500">
        <v>6</v>
      </c>
      <c r="G153" s="501"/>
      <c r="H153" s="500"/>
      <c r="I153" s="500"/>
      <c r="J153" s="500"/>
    </row>
    <row r="154" spans="1:10">
      <c r="A154" s="503">
        <v>44168</v>
      </c>
      <c r="B154" s="496">
        <v>12</v>
      </c>
      <c r="C154" s="496" t="s">
        <v>355</v>
      </c>
      <c r="D154" s="496" t="s">
        <v>440</v>
      </c>
      <c r="E154" s="496"/>
      <c r="F154" s="496"/>
      <c r="G154" s="497" t="s">
        <v>457</v>
      </c>
      <c r="H154" s="496"/>
      <c r="I154" s="496"/>
      <c r="J154" s="496"/>
    </row>
    <row r="155" spans="1:10" ht="34.9">
      <c r="A155" s="504">
        <v>44218</v>
      </c>
      <c r="B155" s="500">
        <v>12</v>
      </c>
      <c r="C155" s="500" t="s">
        <v>355</v>
      </c>
      <c r="D155" s="500"/>
      <c r="E155" s="500">
        <v>1</v>
      </c>
      <c r="F155" s="500">
        <v>6</v>
      </c>
      <c r="G155" s="501" t="s">
        <v>510</v>
      </c>
      <c r="H155" s="500"/>
      <c r="I155" s="500" t="s">
        <v>469</v>
      </c>
      <c r="J155" s="500" t="s">
        <v>470</v>
      </c>
    </row>
    <row r="156" spans="1:10">
      <c r="A156" s="503">
        <v>44219</v>
      </c>
      <c r="B156" s="496">
        <v>8</v>
      </c>
      <c r="C156" s="496" t="s">
        <v>355</v>
      </c>
      <c r="D156" s="496" t="s">
        <v>146</v>
      </c>
      <c r="E156" s="496">
        <v>1</v>
      </c>
      <c r="F156" s="496">
        <v>6</v>
      </c>
      <c r="G156" s="497" t="s">
        <v>515</v>
      </c>
      <c r="H156" s="496"/>
      <c r="I156" s="496" t="s">
        <v>469</v>
      </c>
      <c r="J156" s="496" t="s">
        <v>470</v>
      </c>
    </row>
    <row r="157" spans="1:10">
      <c r="A157" s="504">
        <v>44116</v>
      </c>
      <c r="B157" s="500">
        <v>11</v>
      </c>
      <c r="C157" s="500" t="s">
        <v>374</v>
      </c>
      <c r="D157" s="500" t="s">
        <v>148</v>
      </c>
      <c r="E157" s="500">
        <v>1</v>
      </c>
      <c r="F157" s="500">
        <v>6</v>
      </c>
      <c r="G157" s="501" t="s">
        <v>377</v>
      </c>
      <c r="H157" s="500"/>
      <c r="I157" s="500"/>
      <c r="J157" s="500"/>
    </row>
    <row r="158" spans="1:10">
      <c r="A158" s="503">
        <v>44117</v>
      </c>
      <c r="B158" s="496">
        <v>12</v>
      </c>
      <c r="C158" s="496" t="s">
        <v>374</v>
      </c>
      <c r="D158" s="496" t="s">
        <v>338</v>
      </c>
      <c r="E158" s="496">
        <v>1</v>
      </c>
      <c r="F158" s="496">
        <v>6</v>
      </c>
      <c r="G158" s="497"/>
      <c r="H158" s="496"/>
      <c r="I158" s="496"/>
      <c r="J158" s="496"/>
    </row>
    <row r="159" spans="1:10">
      <c r="A159" s="504">
        <v>44118</v>
      </c>
      <c r="B159" s="500">
        <v>12</v>
      </c>
      <c r="C159" s="500" t="s">
        <v>374</v>
      </c>
      <c r="D159" s="500" t="s">
        <v>338</v>
      </c>
      <c r="E159" s="500">
        <v>1</v>
      </c>
      <c r="F159" s="500">
        <v>6</v>
      </c>
      <c r="G159" s="501"/>
      <c r="H159" s="500"/>
      <c r="I159" s="500"/>
      <c r="J159" s="500"/>
    </row>
    <row r="160" spans="1:10">
      <c r="A160" s="503">
        <v>44118</v>
      </c>
      <c r="B160" s="496">
        <v>16</v>
      </c>
      <c r="C160" s="496" t="s">
        <v>374</v>
      </c>
      <c r="D160" s="496" t="s">
        <v>348</v>
      </c>
      <c r="E160" s="496"/>
      <c r="F160" s="496"/>
      <c r="G160" s="497"/>
      <c r="H160" s="496"/>
      <c r="I160" s="496"/>
      <c r="J160" s="496"/>
    </row>
    <row r="161" spans="1:10">
      <c r="A161" s="504">
        <v>44119</v>
      </c>
      <c r="B161" s="500">
        <v>8</v>
      </c>
      <c r="C161" s="500" t="s">
        <v>374</v>
      </c>
      <c r="D161" s="500" t="s">
        <v>348</v>
      </c>
      <c r="E161" s="500">
        <v>1</v>
      </c>
      <c r="F161" s="500">
        <v>6</v>
      </c>
      <c r="G161" s="501" t="s">
        <v>380</v>
      </c>
      <c r="H161" s="500"/>
      <c r="I161" s="500"/>
      <c r="J161" s="500"/>
    </row>
    <row r="162" spans="1:10">
      <c r="A162" s="503">
        <v>44120</v>
      </c>
      <c r="B162" s="496">
        <v>8</v>
      </c>
      <c r="C162" s="496" t="s">
        <v>374</v>
      </c>
      <c r="D162" s="496" t="s">
        <v>338</v>
      </c>
      <c r="E162" s="496">
        <v>1</v>
      </c>
      <c r="F162" s="496">
        <v>6</v>
      </c>
      <c r="G162" s="497"/>
      <c r="H162" s="496"/>
      <c r="I162" s="496"/>
      <c r="J162" s="496"/>
    </row>
    <row r="163" spans="1:10">
      <c r="A163" s="504">
        <v>44121</v>
      </c>
      <c r="B163" s="500">
        <v>8</v>
      </c>
      <c r="C163" s="500" t="s">
        <v>374</v>
      </c>
      <c r="D163" s="500" t="s">
        <v>338</v>
      </c>
      <c r="E163" s="500">
        <v>1</v>
      </c>
      <c r="F163" s="500">
        <v>6</v>
      </c>
      <c r="G163" s="501"/>
      <c r="H163" s="500"/>
      <c r="I163" s="500"/>
      <c r="J163" s="500"/>
    </row>
    <row r="164" spans="1:10">
      <c r="A164" s="503">
        <v>44123</v>
      </c>
      <c r="B164" s="496">
        <v>8</v>
      </c>
      <c r="C164" s="496" t="s">
        <v>374</v>
      </c>
      <c r="D164" s="496" t="s">
        <v>348</v>
      </c>
      <c r="E164" s="496">
        <v>1</v>
      </c>
      <c r="F164" s="496">
        <v>6</v>
      </c>
      <c r="G164" s="497"/>
      <c r="H164" s="496"/>
      <c r="I164" s="496"/>
      <c r="J164" s="496"/>
    </row>
    <row r="165" spans="1:10">
      <c r="A165" s="504">
        <v>44124</v>
      </c>
      <c r="B165" s="500">
        <v>7</v>
      </c>
      <c r="C165" s="500" t="s">
        <v>374</v>
      </c>
      <c r="D165" s="500" t="s">
        <v>348</v>
      </c>
      <c r="E165" s="500">
        <v>1</v>
      </c>
      <c r="F165" s="500">
        <v>6</v>
      </c>
      <c r="G165" s="501"/>
      <c r="H165" s="500"/>
      <c r="I165" s="500" t="s">
        <v>469</v>
      </c>
      <c r="J165" s="500" t="s">
        <v>470</v>
      </c>
    </row>
    <row r="166" spans="1:10">
      <c r="A166" s="503">
        <v>44125</v>
      </c>
      <c r="B166" s="496">
        <v>8</v>
      </c>
      <c r="C166" s="496" t="s">
        <v>374</v>
      </c>
      <c r="D166" s="496" t="s">
        <v>348</v>
      </c>
      <c r="E166" s="496">
        <v>1</v>
      </c>
      <c r="F166" s="496">
        <v>6</v>
      </c>
      <c r="G166" s="497"/>
      <c r="H166" s="496" t="s">
        <v>384</v>
      </c>
      <c r="I166" s="496"/>
      <c r="J166" s="496"/>
    </row>
    <row r="167" spans="1:10" ht="127.9">
      <c r="A167" s="504">
        <v>44126</v>
      </c>
      <c r="B167" s="500">
        <v>7</v>
      </c>
      <c r="C167" s="500" t="s">
        <v>374</v>
      </c>
      <c r="D167" s="500" t="s">
        <v>154</v>
      </c>
      <c r="E167" s="500">
        <v>1</v>
      </c>
      <c r="F167" s="500">
        <v>12</v>
      </c>
      <c r="G167" s="501" t="s">
        <v>393</v>
      </c>
      <c r="H167" s="500" t="s">
        <v>384</v>
      </c>
      <c r="I167" s="500"/>
      <c r="J167" s="500"/>
    </row>
    <row r="168" spans="1:10">
      <c r="A168" s="503">
        <v>44159</v>
      </c>
      <c r="B168" s="496">
        <v>10</v>
      </c>
      <c r="C168" s="496" t="s">
        <v>374</v>
      </c>
      <c r="D168" s="496" t="s">
        <v>348</v>
      </c>
      <c r="E168" s="496">
        <v>1</v>
      </c>
      <c r="F168" s="496">
        <v>6</v>
      </c>
      <c r="G168" s="497"/>
      <c r="H168" s="496"/>
      <c r="I168" s="496"/>
      <c r="J168" s="496"/>
    </row>
    <row r="169" spans="1:10">
      <c r="A169" s="504">
        <v>44160</v>
      </c>
      <c r="B169" s="500">
        <v>9</v>
      </c>
      <c r="C169" s="500" t="s">
        <v>374</v>
      </c>
      <c r="D169" s="500" t="s">
        <v>348</v>
      </c>
      <c r="E169" s="500">
        <v>1</v>
      </c>
      <c r="F169" s="500">
        <v>6</v>
      </c>
      <c r="G169" s="501"/>
      <c r="H169" s="500"/>
      <c r="I169" s="500"/>
      <c r="J169" s="500"/>
    </row>
    <row r="170" spans="1:10">
      <c r="A170" s="503">
        <v>44162</v>
      </c>
      <c r="B170" s="496">
        <v>9</v>
      </c>
      <c r="C170" s="496" t="s">
        <v>374</v>
      </c>
      <c r="D170" s="496" t="s">
        <v>348</v>
      </c>
      <c r="E170" s="496">
        <v>1</v>
      </c>
      <c r="F170" s="496">
        <v>6</v>
      </c>
      <c r="G170" s="497"/>
      <c r="H170" s="496"/>
      <c r="I170" s="496"/>
      <c r="J170" s="496"/>
    </row>
    <row r="171" spans="1:10">
      <c r="A171" s="504">
        <v>44164</v>
      </c>
      <c r="B171" s="500">
        <v>8</v>
      </c>
      <c r="C171" s="500" t="s">
        <v>374</v>
      </c>
      <c r="D171" s="500" t="s">
        <v>348</v>
      </c>
      <c r="E171" s="500">
        <v>1</v>
      </c>
      <c r="F171" s="500">
        <v>6</v>
      </c>
      <c r="G171" s="501"/>
      <c r="H171" s="500"/>
      <c r="I171" s="500"/>
      <c r="J171" s="500"/>
    </row>
    <row r="172" spans="1:10">
      <c r="A172" s="503">
        <v>44169</v>
      </c>
      <c r="B172" s="496">
        <v>7</v>
      </c>
      <c r="C172" s="496" t="s">
        <v>374</v>
      </c>
      <c r="D172" s="496" t="s">
        <v>148</v>
      </c>
      <c r="E172" s="496">
        <v>2</v>
      </c>
      <c r="F172" s="496">
        <v>6</v>
      </c>
      <c r="G172" s="497" t="s">
        <v>458</v>
      </c>
      <c r="H172" s="496"/>
      <c r="I172" s="496"/>
      <c r="J172" s="496"/>
    </row>
    <row r="173" spans="1:10">
      <c r="A173" s="504">
        <v>44170</v>
      </c>
      <c r="B173" s="500">
        <v>7</v>
      </c>
      <c r="C173" s="500" t="s">
        <v>374</v>
      </c>
      <c r="D173" s="500" t="s">
        <v>348</v>
      </c>
      <c r="E173" s="500">
        <v>2</v>
      </c>
      <c r="F173" s="500">
        <v>6</v>
      </c>
      <c r="G173" s="501"/>
      <c r="H173" s="500"/>
      <c r="I173" s="500"/>
      <c r="J173" s="500"/>
    </row>
    <row r="174" spans="1:10">
      <c r="A174" s="503">
        <v>44172</v>
      </c>
      <c r="B174" s="496">
        <v>7</v>
      </c>
      <c r="C174" s="496" t="s">
        <v>374</v>
      </c>
      <c r="D174" s="496" t="s">
        <v>148</v>
      </c>
      <c r="E174" s="496">
        <v>5</v>
      </c>
      <c r="F174" s="496">
        <v>10</v>
      </c>
      <c r="G174" s="497" t="s">
        <v>461</v>
      </c>
      <c r="H174" s="496"/>
      <c r="I174" s="496"/>
      <c r="J174" s="496"/>
    </row>
    <row r="175" spans="1:10">
      <c r="A175" s="504">
        <v>44173</v>
      </c>
      <c r="B175" s="500">
        <v>7</v>
      </c>
      <c r="C175" s="500" t="s">
        <v>374</v>
      </c>
      <c r="D175" s="500" t="s">
        <v>348</v>
      </c>
      <c r="E175" s="500">
        <v>5</v>
      </c>
      <c r="F175" s="500">
        <v>10</v>
      </c>
      <c r="G175" s="501"/>
      <c r="H175" s="500"/>
      <c r="I175" s="500"/>
      <c r="J175" s="500"/>
    </row>
    <row r="176" spans="1:10">
      <c r="A176" s="503">
        <v>44175</v>
      </c>
      <c r="B176" s="496">
        <v>8</v>
      </c>
      <c r="C176" s="496" t="s">
        <v>374</v>
      </c>
      <c r="D176" s="496" t="s">
        <v>348</v>
      </c>
      <c r="E176" s="496">
        <v>5</v>
      </c>
      <c r="F176" s="496">
        <v>10</v>
      </c>
      <c r="G176" s="497"/>
      <c r="H176" s="496"/>
      <c r="I176" s="496"/>
      <c r="J176" s="496"/>
    </row>
    <row r="177" spans="1:10">
      <c r="A177" s="504">
        <v>44177</v>
      </c>
      <c r="B177" s="500">
        <v>10</v>
      </c>
      <c r="C177" s="500" t="s">
        <v>374</v>
      </c>
      <c r="D177" s="500" t="s">
        <v>348</v>
      </c>
      <c r="E177" s="500">
        <v>5</v>
      </c>
      <c r="F177" s="500">
        <v>10</v>
      </c>
      <c r="G177" s="501"/>
      <c r="H177" s="500"/>
      <c r="I177" s="500"/>
      <c r="J177" s="500"/>
    </row>
    <row r="178" spans="1:10" ht="34.9">
      <c r="A178" s="503">
        <v>44178</v>
      </c>
      <c r="B178" s="496">
        <v>7</v>
      </c>
      <c r="C178" s="496" t="s">
        <v>374</v>
      </c>
      <c r="D178" s="496" t="s">
        <v>152</v>
      </c>
      <c r="E178" s="496">
        <v>38</v>
      </c>
      <c r="F178" s="496" t="s">
        <v>411</v>
      </c>
      <c r="G178" s="497" t="s">
        <v>463</v>
      </c>
      <c r="H178" s="496"/>
      <c r="I178" s="496"/>
      <c r="J178" s="496"/>
    </row>
    <row r="179" spans="1:10">
      <c r="A179" s="504">
        <v>44179</v>
      </c>
      <c r="B179" s="500">
        <v>8</v>
      </c>
      <c r="C179" s="500" t="s">
        <v>374</v>
      </c>
      <c r="D179" s="500" t="s">
        <v>276</v>
      </c>
      <c r="E179" s="500"/>
      <c r="F179" s="500"/>
      <c r="G179" s="501"/>
      <c r="H179" s="500"/>
      <c r="I179" s="500" t="s">
        <v>469</v>
      </c>
      <c r="J179" s="500" t="s">
        <v>470</v>
      </c>
    </row>
    <row r="180" spans="1:10">
      <c r="A180" s="503">
        <v>44183</v>
      </c>
      <c r="B180" s="496">
        <v>8</v>
      </c>
      <c r="C180" s="496" t="s">
        <v>374</v>
      </c>
      <c r="D180" s="496" t="s">
        <v>440</v>
      </c>
      <c r="E180" s="496"/>
      <c r="F180" s="496"/>
      <c r="G180" s="497" t="s">
        <v>457</v>
      </c>
      <c r="H180" s="496"/>
      <c r="I180" s="496" t="s">
        <v>469</v>
      </c>
      <c r="J180" s="496" t="s">
        <v>470</v>
      </c>
    </row>
    <row r="181" spans="1:10">
      <c r="A181" s="504">
        <v>44207</v>
      </c>
      <c r="B181" s="500">
        <v>11</v>
      </c>
      <c r="C181" s="500" t="s">
        <v>374</v>
      </c>
      <c r="D181" s="500" t="s">
        <v>146</v>
      </c>
      <c r="E181" s="500">
        <v>1</v>
      </c>
      <c r="F181" s="500">
        <v>6</v>
      </c>
      <c r="G181" s="501"/>
      <c r="H181" s="500"/>
      <c r="I181" s="500" t="s">
        <v>469</v>
      </c>
      <c r="J181" s="500" t="s">
        <v>470</v>
      </c>
    </row>
    <row r="182" spans="1:10">
      <c r="A182" s="503">
        <v>44208</v>
      </c>
      <c r="B182" s="496">
        <v>9</v>
      </c>
      <c r="C182" s="496" t="s">
        <v>374</v>
      </c>
      <c r="D182" s="496" t="s">
        <v>348</v>
      </c>
      <c r="E182" s="496">
        <v>1</v>
      </c>
      <c r="F182" s="496">
        <v>6</v>
      </c>
      <c r="G182" s="497"/>
      <c r="H182" s="496"/>
      <c r="I182" s="496" t="s">
        <v>469</v>
      </c>
      <c r="J182" s="496" t="s">
        <v>470</v>
      </c>
    </row>
    <row r="183" spans="1:10" ht="23.25">
      <c r="A183" s="504">
        <v>44209</v>
      </c>
      <c r="B183" s="500">
        <v>12</v>
      </c>
      <c r="C183" s="500" t="s">
        <v>374</v>
      </c>
      <c r="D183" s="500" t="s">
        <v>148</v>
      </c>
      <c r="E183" s="500"/>
      <c r="F183" s="500"/>
      <c r="G183" s="501" t="s">
        <v>499</v>
      </c>
      <c r="H183" s="500"/>
      <c r="I183" s="500" t="s">
        <v>506</v>
      </c>
      <c r="J183" s="500" t="s">
        <v>507</v>
      </c>
    </row>
    <row r="184" spans="1:10">
      <c r="A184" s="503">
        <v>44209</v>
      </c>
      <c r="B184" s="496">
        <v>17</v>
      </c>
      <c r="C184" s="496" t="s">
        <v>374</v>
      </c>
      <c r="D184" s="496" t="s">
        <v>440</v>
      </c>
      <c r="E184" s="496"/>
      <c r="F184" s="496"/>
      <c r="G184" s="497" t="s">
        <v>500</v>
      </c>
      <c r="H184" s="496"/>
      <c r="I184" s="496" t="s">
        <v>506</v>
      </c>
      <c r="J184" s="496" t="s">
        <v>507</v>
      </c>
    </row>
    <row r="185" spans="1:10">
      <c r="A185" s="504">
        <v>44212</v>
      </c>
      <c r="B185" s="500">
        <v>7</v>
      </c>
      <c r="C185" s="500" t="s">
        <v>374</v>
      </c>
      <c r="D185" s="500" t="s">
        <v>146</v>
      </c>
      <c r="E185" s="500">
        <v>1</v>
      </c>
      <c r="F185" s="500">
        <v>6</v>
      </c>
      <c r="G185" s="501" t="s">
        <v>509</v>
      </c>
      <c r="H185" s="500"/>
      <c r="I185" s="500" t="s">
        <v>469</v>
      </c>
      <c r="J185" s="500" t="s">
        <v>470</v>
      </c>
    </row>
    <row r="186" spans="1:10">
      <c r="A186" s="503">
        <v>44214</v>
      </c>
      <c r="B186" s="496">
        <v>11</v>
      </c>
      <c r="C186" s="496" t="s">
        <v>374</v>
      </c>
      <c r="D186" s="496" t="s">
        <v>148</v>
      </c>
      <c r="E186" s="496">
        <v>1</v>
      </c>
      <c r="F186" s="496">
        <v>6</v>
      </c>
      <c r="G186" s="497" t="s">
        <v>502</v>
      </c>
      <c r="H186" s="496"/>
      <c r="I186" s="496" t="s">
        <v>469</v>
      </c>
      <c r="J186" s="496" t="s">
        <v>470</v>
      </c>
    </row>
    <row r="187" spans="1:10">
      <c r="A187" s="504">
        <v>44216</v>
      </c>
      <c r="B187" s="500">
        <v>10</v>
      </c>
      <c r="C187" s="500" t="s">
        <v>374</v>
      </c>
      <c r="D187" s="500" t="s">
        <v>348</v>
      </c>
      <c r="E187" s="500">
        <v>1</v>
      </c>
      <c r="F187" s="500">
        <v>6</v>
      </c>
      <c r="G187" s="501"/>
      <c r="H187" s="500"/>
      <c r="I187" s="500" t="s">
        <v>469</v>
      </c>
      <c r="J187" s="500" t="s">
        <v>470</v>
      </c>
    </row>
    <row r="188" spans="1:10">
      <c r="A188" s="503">
        <v>44217</v>
      </c>
      <c r="B188" s="496">
        <v>13</v>
      </c>
      <c r="C188" s="496" t="s">
        <v>374</v>
      </c>
      <c r="D188" s="496" t="s">
        <v>348</v>
      </c>
      <c r="E188" s="496">
        <v>1</v>
      </c>
      <c r="F188" s="496">
        <v>6</v>
      </c>
      <c r="G188" s="497"/>
      <c r="H188" s="496"/>
      <c r="I188" s="496" t="s">
        <v>469</v>
      </c>
      <c r="J188" s="496" t="s">
        <v>470</v>
      </c>
    </row>
    <row r="189" spans="1:10">
      <c r="A189" s="504">
        <v>44221</v>
      </c>
      <c r="B189" s="500">
        <v>8</v>
      </c>
      <c r="C189" s="500" t="s">
        <v>374</v>
      </c>
      <c r="D189" s="500" t="s">
        <v>148</v>
      </c>
      <c r="E189" s="500">
        <v>2</v>
      </c>
      <c r="F189" s="500">
        <v>6</v>
      </c>
      <c r="G189" s="501" t="s">
        <v>498</v>
      </c>
      <c r="H189" s="500"/>
      <c r="I189" s="500" t="s">
        <v>469</v>
      </c>
      <c r="J189" s="500" t="s">
        <v>470</v>
      </c>
    </row>
    <row r="190" spans="1:10">
      <c r="A190" s="503">
        <v>44222</v>
      </c>
      <c r="B190" s="496">
        <v>9</v>
      </c>
      <c r="C190" s="496" t="s">
        <v>374</v>
      </c>
      <c r="D190" s="496" t="s">
        <v>338</v>
      </c>
      <c r="E190" s="496">
        <v>2</v>
      </c>
      <c r="F190" s="496">
        <v>6</v>
      </c>
      <c r="G190" s="497"/>
      <c r="H190" s="496"/>
      <c r="I190" s="496" t="s">
        <v>469</v>
      </c>
      <c r="J190" s="496" t="s">
        <v>470</v>
      </c>
    </row>
    <row r="191" spans="1:10">
      <c r="A191" s="504">
        <v>44223</v>
      </c>
      <c r="B191" s="500">
        <v>8</v>
      </c>
      <c r="C191" s="500" t="s">
        <v>374</v>
      </c>
      <c r="D191" s="500" t="s">
        <v>348</v>
      </c>
      <c r="E191" s="500">
        <v>2</v>
      </c>
      <c r="F191" s="500">
        <v>6</v>
      </c>
      <c r="G191" s="501"/>
      <c r="H191" s="500"/>
      <c r="I191" s="500" t="s">
        <v>469</v>
      </c>
      <c r="J191" s="500" t="s">
        <v>470</v>
      </c>
    </row>
    <row r="192" spans="1:10">
      <c r="A192" s="503">
        <v>44225</v>
      </c>
      <c r="B192" s="496">
        <v>10</v>
      </c>
      <c r="C192" s="496" t="s">
        <v>374</v>
      </c>
      <c r="D192" s="496" t="s">
        <v>348</v>
      </c>
      <c r="E192" s="496">
        <v>2</v>
      </c>
      <c r="F192" s="496">
        <v>6</v>
      </c>
      <c r="G192" s="497"/>
      <c r="H192" s="496"/>
      <c r="I192" s="496" t="s">
        <v>469</v>
      </c>
      <c r="J192" s="496" t="s">
        <v>470</v>
      </c>
    </row>
    <row r="193" spans="1:10">
      <c r="A193" s="504">
        <v>44227</v>
      </c>
      <c r="B193" s="500">
        <v>11</v>
      </c>
      <c r="C193" s="500" t="s">
        <v>374</v>
      </c>
      <c r="D193" s="500" t="s">
        <v>348</v>
      </c>
      <c r="E193" s="500">
        <v>2</v>
      </c>
      <c r="F193" s="500">
        <v>6</v>
      </c>
      <c r="G193" s="501"/>
      <c r="H193" s="500"/>
      <c r="I193" s="500" t="s">
        <v>469</v>
      </c>
      <c r="J193" s="500" t="s">
        <v>470</v>
      </c>
    </row>
    <row r="194" spans="1:10">
      <c r="A194" s="503">
        <v>44127</v>
      </c>
      <c r="B194" s="496">
        <v>7</v>
      </c>
      <c r="C194" s="496" t="s">
        <v>385</v>
      </c>
      <c r="D194" s="496" t="s">
        <v>338</v>
      </c>
      <c r="E194" s="496">
        <v>1</v>
      </c>
      <c r="F194" s="496">
        <v>12</v>
      </c>
      <c r="G194" s="497"/>
      <c r="H194" s="496"/>
      <c r="I194" s="496"/>
      <c r="J194" s="496"/>
    </row>
    <row r="195" spans="1:10">
      <c r="A195" s="504">
        <v>44129</v>
      </c>
      <c r="B195" s="500">
        <v>7</v>
      </c>
      <c r="C195" s="500" t="s">
        <v>385</v>
      </c>
      <c r="D195" s="500" t="s">
        <v>338</v>
      </c>
      <c r="E195" s="500">
        <v>1</v>
      </c>
      <c r="F195" s="500">
        <v>12</v>
      </c>
      <c r="G195" s="501"/>
      <c r="H195" s="500"/>
      <c r="I195" s="500"/>
      <c r="J195" s="500"/>
    </row>
    <row r="196" spans="1:10">
      <c r="A196" s="503">
        <v>44131</v>
      </c>
      <c r="B196" s="496">
        <v>8</v>
      </c>
      <c r="C196" s="496" t="s">
        <v>385</v>
      </c>
      <c r="D196" s="496" t="s">
        <v>348</v>
      </c>
      <c r="E196" s="496">
        <v>1</v>
      </c>
      <c r="F196" s="496">
        <v>12</v>
      </c>
      <c r="G196" s="497"/>
      <c r="H196" s="496"/>
      <c r="I196" s="496"/>
      <c r="J196" s="496"/>
    </row>
    <row r="197" spans="1:10">
      <c r="A197" s="504">
        <v>44132</v>
      </c>
      <c r="B197" s="500">
        <v>7</v>
      </c>
      <c r="C197" s="500" t="s">
        <v>385</v>
      </c>
      <c r="D197" s="500" t="s">
        <v>348</v>
      </c>
      <c r="E197" s="500">
        <v>1</v>
      </c>
      <c r="F197" s="500">
        <v>12</v>
      </c>
      <c r="G197" s="501"/>
      <c r="H197" s="500"/>
      <c r="I197" s="500"/>
      <c r="J197" s="500"/>
    </row>
    <row r="198" spans="1:10">
      <c r="A198" s="503">
        <v>44133</v>
      </c>
      <c r="B198" s="496">
        <v>7</v>
      </c>
      <c r="C198" s="496" t="s">
        <v>385</v>
      </c>
      <c r="D198" s="496" t="s">
        <v>348</v>
      </c>
      <c r="E198" s="496">
        <v>1</v>
      </c>
      <c r="F198" s="496">
        <v>12</v>
      </c>
      <c r="G198" s="497"/>
      <c r="H198" s="496"/>
      <c r="I198" s="496"/>
      <c r="J198" s="496"/>
    </row>
    <row r="199" spans="1:10">
      <c r="A199" s="504">
        <v>44134</v>
      </c>
      <c r="B199" s="500">
        <v>7</v>
      </c>
      <c r="C199" s="500" t="s">
        <v>385</v>
      </c>
      <c r="D199" s="500" t="s">
        <v>348</v>
      </c>
      <c r="E199" s="500">
        <v>1</v>
      </c>
      <c r="F199" s="500">
        <v>12</v>
      </c>
      <c r="G199" s="501"/>
      <c r="H199" s="500"/>
      <c r="I199" s="500"/>
      <c r="J199" s="500"/>
    </row>
    <row r="200" spans="1:10">
      <c r="A200" s="503">
        <v>44135</v>
      </c>
      <c r="B200" s="496">
        <v>7</v>
      </c>
      <c r="C200" s="496" t="s">
        <v>385</v>
      </c>
      <c r="D200" s="496" t="s">
        <v>148</v>
      </c>
      <c r="E200" s="496">
        <v>1</v>
      </c>
      <c r="F200" s="496">
        <v>6</v>
      </c>
      <c r="G200" s="497"/>
      <c r="H200" s="496"/>
      <c r="I200" s="496"/>
      <c r="J200" s="496"/>
    </row>
    <row r="201" spans="1:10">
      <c r="A201" s="504">
        <v>44137</v>
      </c>
      <c r="B201" s="500">
        <v>7</v>
      </c>
      <c r="C201" s="500" t="s">
        <v>385</v>
      </c>
      <c r="D201" s="500" t="s">
        <v>348</v>
      </c>
      <c r="E201" s="500">
        <v>2</v>
      </c>
      <c r="F201" s="500">
        <v>6</v>
      </c>
      <c r="G201" s="501"/>
      <c r="H201" s="500"/>
      <c r="I201" s="500"/>
      <c r="J201" s="500"/>
    </row>
    <row r="202" spans="1:10">
      <c r="A202" s="503">
        <v>44138</v>
      </c>
      <c r="B202" s="496">
        <v>7</v>
      </c>
      <c r="C202" s="496" t="s">
        <v>385</v>
      </c>
      <c r="D202" s="496"/>
      <c r="E202" s="496">
        <v>1</v>
      </c>
      <c r="F202" s="496">
        <v>6</v>
      </c>
      <c r="G202" s="497"/>
      <c r="H202" s="496"/>
      <c r="I202" s="496"/>
      <c r="J202" s="496"/>
    </row>
    <row r="203" spans="1:10">
      <c r="A203" s="504">
        <v>44139</v>
      </c>
      <c r="B203" s="500">
        <v>7</v>
      </c>
      <c r="C203" s="500" t="s">
        <v>385</v>
      </c>
      <c r="D203" s="500" t="s">
        <v>348</v>
      </c>
      <c r="E203" s="500">
        <v>1</v>
      </c>
      <c r="F203" s="500">
        <v>6</v>
      </c>
      <c r="G203" s="501"/>
      <c r="H203" s="500"/>
      <c r="I203" s="500"/>
      <c r="J203" s="500"/>
    </row>
    <row r="204" spans="1:10">
      <c r="A204" s="503">
        <v>44140</v>
      </c>
      <c r="B204" s="496">
        <v>7</v>
      </c>
      <c r="C204" s="496" t="s">
        <v>385</v>
      </c>
      <c r="D204" s="496" t="s">
        <v>148</v>
      </c>
      <c r="E204" s="496">
        <v>6</v>
      </c>
      <c r="F204" s="496">
        <v>6</v>
      </c>
      <c r="G204" s="497" t="s">
        <v>404</v>
      </c>
      <c r="H204" s="496"/>
      <c r="I204" s="496"/>
      <c r="J204" s="496"/>
    </row>
    <row r="205" spans="1:10">
      <c r="A205" s="504">
        <v>44141</v>
      </c>
      <c r="B205" s="500">
        <v>7</v>
      </c>
      <c r="C205" s="500" t="s">
        <v>385</v>
      </c>
      <c r="D205" s="500" t="s">
        <v>348</v>
      </c>
      <c r="E205" s="500">
        <v>6</v>
      </c>
      <c r="F205" s="500">
        <v>6</v>
      </c>
      <c r="G205" s="501"/>
      <c r="H205" s="500"/>
      <c r="I205" s="500"/>
      <c r="J205" s="500"/>
    </row>
    <row r="206" spans="1:10" ht="23.25">
      <c r="A206" s="503">
        <v>44142</v>
      </c>
      <c r="B206" s="496">
        <v>7</v>
      </c>
      <c r="C206" s="496" t="s">
        <v>385</v>
      </c>
      <c r="D206" s="496" t="s">
        <v>148</v>
      </c>
      <c r="E206" s="496"/>
      <c r="F206" s="496"/>
      <c r="G206" s="497" t="s">
        <v>407</v>
      </c>
      <c r="H206" s="496"/>
      <c r="I206" s="496"/>
      <c r="J206" s="496"/>
    </row>
    <row r="207" spans="1:10">
      <c r="A207" s="504">
        <v>44144</v>
      </c>
      <c r="B207" s="500">
        <v>7</v>
      </c>
      <c r="C207" s="500" t="s">
        <v>385</v>
      </c>
      <c r="D207" s="500" t="s">
        <v>348</v>
      </c>
      <c r="E207" s="500">
        <v>5</v>
      </c>
      <c r="F207" s="500">
        <v>10</v>
      </c>
      <c r="G207" s="501"/>
      <c r="H207" s="500"/>
      <c r="I207" s="500"/>
      <c r="J207" s="500"/>
    </row>
    <row r="208" spans="1:10">
      <c r="A208" s="503">
        <v>44145</v>
      </c>
      <c r="B208" s="496">
        <v>12</v>
      </c>
      <c r="C208" s="496" t="s">
        <v>385</v>
      </c>
      <c r="D208" s="496" t="s">
        <v>348</v>
      </c>
      <c r="E208" s="496">
        <v>5</v>
      </c>
      <c r="F208" s="496">
        <v>10</v>
      </c>
      <c r="G208" s="497"/>
      <c r="H208" s="496"/>
      <c r="I208" s="496"/>
      <c r="J208" s="496"/>
    </row>
    <row r="209" spans="1:10">
      <c r="A209" s="504">
        <v>44147</v>
      </c>
      <c r="B209" s="500">
        <v>11</v>
      </c>
      <c r="C209" s="500" t="s">
        <v>385</v>
      </c>
      <c r="D209" s="500" t="s">
        <v>348</v>
      </c>
      <c r="E209" s="500">
        <v>5</v>
      </c>
      <c r="F209" s="500">
        <v>10</v>
      </c>
      <c r="G209" s="501"/>
      <c r="H209" s="500"/>
      <c r="I209" s="500"/>
      <c r="J209" s="500"/>
    </row>
    <row r="210" spans="1:10">
      <c r="A210" s="503">
        <v>44149</v>
      </c>
      <c r="B210" s="496">
        <v>10</v>
      </c>
      <c r="C210" s="496" t="s">
        <v>385</v>
      </c>
      <c r="D210" s="496" t="s">
        <v>348</v>
      </c>
      <c r="E210" s="496">
        <v>5</v>
      </c>
      <c r="F210" s="496">
        <v>10</v>
      </c>
      <c r="G210" s="497"/>
      <c r="H210" s="496"/>
      <c r="I210" s="496"/>
      <c r="J210" s="496"/>
    </row>
    <row r="211" spans="1:10">
      <c r="A211" s="504">
        <v>44151</v>
      </c>
      <c r="B211" s="500">
        <v>9</v>
      </c>
      <c r="C211" s="500" t="s">
        <v>385</v>
      </c>
      <c r="D211" s="500" t="s">
        <v>348</v>
      </c>
      <c r="E211" s="500">
        <v>5</v>
      </c>
      <c r="F211" s="500">
        <v>10</v>
      </c>
      <c r="G211" s="501"/>
      <c r="H211" s="500"/>
      <c r="I211" s="500"/>
      <c r="J211" s="500"/>
    </row>
    <row r="212" spans="1:10">
      <c r="A212" s="503">
        <v>44153</v>
      </c>
      <c r="B212" s="496">
        <v>7</v>
      </c>
      <c r="C212" s="496" t="s">
        <v>385</v>
      </c>
      <c r="D212" s="496" t="s">
        <v>348</v>
      </c>
      <c r="E212" s="496">
        <v>5</v>
      </c>
      <c r="F212" s="496">
        <v>10</v>
      </c>
      <c r="G212" s="497"/>
      <c r="H212" s="496"/>
      <c r="I212" s="496"/>
      <c r="J212" s="496"/>
    </row>
    <row r="213" spans="1:10">
      <c r="A213" s="504">
        <v>43852</v>
      </c>
      <c r="B213" s="500">
        <v>11</v>
      </c>
      <c r="C213" s="500" t="s">
        <v>259</v>
      </c>
      <c r="D213" s="500" t="s">
        <v>148</v>
      </c>
      <c r="E213" s="500">
        <v>1</v>
      </c>
      <c r="F213" s="500">
        <v>24</v>
      </c>
      <c r="G213" s="501"/>
      <c r="H213" s="500"/>
      <c r="I213" s="500"/>
      <c r="J213" s="500"/>
    </row>
    <row r="214" spans="1:10">
      <c r="A214" s="503">
        <v>43853</v>
      </c>
      <c r="B214" s="496">
        <v>11</v>
      </c>
      <c r="C214" s="496" t="s">
        <v>259</v>
      </c>
      <c r="D214" s="496" t="s">
        <v>153</v>
      </c>
      <c r="E214" s="496">
        <v>1</v>
      </c>
      <c r="F214" s="496">
        <v>24</v>
      </c>
      <c r="G214" s="497"/>
      <c r="H214" s="496"/>
      <c r="I214" s="496"/>
      <c r="J214" s="496"/>
    </row>
    <row r="215" spans="1:10">
      <c r="A215" s="504">
        <v>43857</v>
      </c>
      <c r="B215" s="500">
        <v>7</v>
      </c>
      <c r="C215" s="500" t="s">
        <v>259</v>
      </c>
      <c r="D215" s="500" t="s">
        <v>147</v>
      </c>
      <c r="E215" s="500">
        <v>1</v>
      </c>
      <c r="F215" s="500">
        <v>24</v>
      </c>
      <c r="G215" s="501"/>
      <c r="H215" s="500"/>
      <c r="I215" s="500"/>
      <c r="J215" s="500"/>
    </row>
    <row r="216" spans="1:10">
      <c r="A216" s="503">
        <v>43858</v>
      </c>
      <c r="B216" s="496">
        <v>7</v>
      </c>
      <c r="C216" s="496" t="s">
        <v>259</v>
      </c>
      <c r="D216" s="496" t="s">
        <v>148</v>
      </c>
      <c r="E216" s="496">
        <v>1</v>
      </c>
      <c r="F216" s="496">
        <v>6</v>
      </c>
      <c r="G216" s="497"/>
      <c r="H216" s="496"/>
      <c r="I216" s="496"/>
      <c r="J216" s="496"/>
    </row>
    <row r="217" spans="1:10">
      <c r="A217" s="504">
        <v>43859</v>
      </c>
      <c r="B217" s="500">
        <v>7</v>
      </c>
      <c r="C217" s="500" t="s">
        <v>259</v>
      </c>
      <c r="D217" s="500" t="s">
        <v>153</v>
      </c>
      <c r="E217" s="500">
        <v>1</v>
      </c>
      <c r="F217" s="500">
        <v>6</v>
      </c>
      <c r="G217" s="501"/>
      <c r="H217" s="500"/>
      <c r="I217" s="500"/>
      <c r="J217" s="500"/>
    </row>
    <row r="218" spans="1:10">
      <c r="A218" s="503">
        <v>43860</v>
      </c>
      <c r="B218" s="496">
        <v>11</v>
      </c>
      <c r="C218" s="496" t="s">
        <v>259</v>
      </c>
      <c r="D218" s="496" t="s">
        <v>148</v>
      </c>
      <c r="E218" s="496">
        <v>5</v>
      </c>
      <c r="F218" s="496">
        <v>6</v>
      </c>
      <c r="G218" s="497"/>
      <c r="H218" s="496"/>
      <c r="I218" s="496"/>
      <c r="J218" s="496"/>
    </row>
    <row r="219" spans="1:10">
      <c r="A219" s="504">
        <v>43861</v>
      </c>
      <c r="B219" s="500">
        <v>10</v>
      </c>
      <c r="C219" s="500" t="s">
        <v>259</v>
      </c>
      <c r="D219" s="500" t="s">
        <v>153</v>
      </c>
      <c r="E219" s="500">
        <v>1</v>
      </c>
      <c r="F219" s="500">
        <v>6</v>
      </c>
      <c r="G219" s="501"/>
      <c r="H219" s="500"/>
      <c r="I219" s="500"/>
      <c r="J219" s="500"/>
    </row>
    <row r="220" spans="1:10">
      <c r="A220" s="503">
        <v>43864</v>
      </c>
      <c r="B220" s="496">
        <v>7</v>
      </c>
      <c r="C220" s="496" t="s">
        <v>259</v>
      </c>
      <c r="D220" s="496" t="s">
        <v>154</v>
      </c>
      <c r="E220" s="496">
        <v>2</v>
      </c>
      <c r="F220" s="496">
        <v>24</v>
      </c>
      <c r="G220" s="497"/>
      <c r="H220" s="496" t="s">
        <v>260</v>
      </c>
      <c r="I220" s="496"/>
      <c r="J220" s="496"/>
    </row>
    <row r="221" spans="1:10">
      <c r="A221" s="504">
        <v>43865</v>
      </c>
      <c r="B221" s="500">
        <v>7</v>
      </c>
      <c r="C221" s="500" t="s">
        <v>261</v>
      </c>
      <c r="D221" s="500" t="s">
        <v>153</v>
      </c>
      <c r="E221" s="500">
        <v>2</v>
      </c>
      <c r="F221" s="500">
        <v>24</v>
      </c>
      <c r="G221" s="501"/>
      <c r="H221" s="500"/>
      <c r="I221" s="500"/>
      <c r="J221" s="500"/>
    </row>
    <row r="222" spans="1:10">
      <c r="A222" s="503">
        <v>43866</v>
      </c>
      <c r="B222" s="496">
        <v>7</v>
      </c>
      <c r="C222" s="496" t="s">
        <v>261</v>
      </c>
      <c r="D222" s="496" t="s">
        <v>147</v>
      </c>
      <c r="E222" s="496">
        <v>2</v>
      </c>
      <c r="F222" s="496">
        <v>24</v>
      </c>
      <c r="G222" s="497"/>
      <c r="H222" s="496"/>
      <c r="I222" s="496"/>
      <c r="J222" s="496"/>
    </row>
    <row r="223" spans="1:10">
      <c r="A223" s="504">
        <v>43868</v>
      </c>
      <c r="B223" s="500">
        <v>7</v>
      </c>
      <c r="C223" s="500" t="s">
        <v>261</v>
      </c>
      <c r="D223" s="500" t="s">
        <v>147</v>
      </c>
      <c r="E223" s="500">
        <v>2</v>
      </c>
      <c r="F223" s="500">
        <v>24</v>
      </c>
      <c r="G223" s="501"/>
      <c r="H223" s="500"/>
      <c r="I223" s="500"/>
      <c r="J223" s="500"/>
    </row>
    <row r="224" spans="1:10">
      <c r="A224" s="503">
        <v>43869</v>
      </c>
      <c r="B224" s="496">
        <v>8</v>
      </c>
      <c r="C224" s="496" t="s">
        <v>261</v>
      </c>
      <c r="D224" s="496" t="s">
        <v>148</v>
      </c>
      <c r="E224" s="496">
        <v>1</v>
      </c>
      <c r="F224" s="496">
        <v>6</v>
      </c>
      <c r="G224" s="497"/>
      <c r="H224" s="496"/>
      <c r="I224" s="496"/>
      <c r="J224" s="496"/>
    </row>
    <row r="225" spans="1:10">
      <c r="A225" s="504">
        <v>43870</v>
      </c>
      <c r="B225" s="500">
        <v>7</v>
      </c>
      <c r="C225" s="500" t="s">
        <v>261</v>
      </c>
      <c r="D225" s="500" t="s">
        <v>153</v>
      </c>
      <c r="E225" s="500">
        <v>1</v>
      </c>
      <c r="F225" s="500">
        <v>6</v>
      </c>
      <c r="G225" s="501"/>
      <c r="H225" s="500"/>
      <c r="I225" s="500"/>
      <c r="J225" s="500"/>
    </row>
    <row r="226" spans="1:10">
      <c r="A226" s="503">
        <v>43873</v>
      </c>
      <c r="B226" s="496">
        <v>7</v>
      </c>
      <c r="C226" s="496" t="s">
        <v>261</v>
      </c>
      <c r="D226" s="496" t="s">
        <v>148</v>
      </c>
      <c r="E226" s="496">
        <v>5</v>
      </c>
      <c r="F226" s="496">
        <v>6</v>
      </c>
      <c r="G226" s="497"/>
      <c r="H226" s="496"/>
      <c r="I226" s="496"/>
      <c r="J226" s="496"/>
    </row>
    <row r="227" spans="1:10">
      <c r="A227" s="504">
        <v>43874</v>
      </c>
      <c r="B227" s="500">
        <v>9</v>
      </c>
      <c r="C227" s="500" t="s">
        <v>261</v>
      </c>
      <c r="D227" s="500" t="s">
        <v>154</v>
      </c>
      <c r="E227" s="500">
        <v>1</v>
      </c>
      <c r="F227" s="500">
        <v>96</v>
      </c>
      <c r="G227" s="501"/>
      <c r="H227" s="500" t="s">
        <v>263</v>
      </c>
      <c r="I227" s="500"/>
      <c r="J227" s="500"/>
    </row>
    <row r="228" spans="1:10">
      <c r="A228" s="503">
        <v>43874</v>
      </c>
      <c r="B228" s="496">
        <v>10</v>
      </c>
      <c r="C228" s="496" t="s">
        <v>261</v>
      </c>
      <c r="D228" s="496" t="s">
        <v>152</v>
      </c>
      <c r="E228" s="496"/>
      <c r="F228" s="496"/>
      <c r="G228" s="497" t="s">
        <v>262</v>
      </c>
      <c r="H228" s="496"/>
      <c r="I228" s="496"/>
      <c r="J228" s="496"/>
    </row>
    <row r="229" spans="1:10">
      <c r="A229" s="504">
        <v>43875</v>
      </c>
      <c r="B229" s="500">
        <v>7</v>
      </c>
      <c r="C229" s="500" t="s">
        <v>264</v>
      </c>
      <c r="D229" s="500" t="s">
        <v>153</v>
      </c>
      <c r="E229" s="500">
        <v>1</v>
      </c>
      <c r="F229" s="500">
        <v>96</v>
      </c>
      <c r="G229" s="501"/>
      <c r="H229" s="500"/>
      <c r="I229" s="500"/>
      <c r="J229" s="500"/>
    </row>
    <row r="230" spans="1:10">
      <c r="A230" s="503">
        <v>43879</v>
      </c>
      <c r="B230" s="496">
        <v>7</v>
      </c>
      <c r="C230" s="496" t="s">
        <v>264</v>
      </c>
      <c r="D230" s="496" t="s">
        <v>147</v>
      </c>
      <c r="E230" s="496">
        <v>1</v>
      </c>
      <c r="F230" s="496">
        <v>96</v>
      </c>
      <c r="G230" s="497"/>
      <c r="H230" s="496"/>
      <c r="I230" s="496"/>
      <c r="J230" s="496"/>
    </row>
    <row r="231" spans="1:10">
      <c r="A231" s="504">
        <v>43882</v>
      </c>
      <c r="B231" s="500">
        <v>8</v>
      </c>
      <c r="C231" s="500" t="s">
        <v>264</v>
      </c>
      <c r="D231" s="500" t="s">
        <v>147</v>
      </c>
      <c r="E231" s="500">
        <v>1</v>
      </c>
      <c r="F231" s="500">
        <v>96</v>
      </c>
      <c r="G231" s="501"/>
      <c r="H231" s="500"/>
      <c r="I231" s="500"/>
      <c r="J231" s="500"/>
    </row>
    <row r="232" spans="1:10">
      <c r="A232" s="503">
        <v>43884</v>
      </c>
      <c r="B232" s="496">
        <v>10</v>
      </c>
      <c r="C232" s="496" t="s">
        <v>264</v>
      </c>
      <c r="D232" s="496" t="s">
        <v>148</v>
      </c>
      <c r="E232" s="496">
        <v>1</v>
      </c>
      <c r="F232" s="496">
        <v>12</v>
      </c>
      <c r="G232" s="497"/>
      <c r="H232" s="496"/>
      <c r="I232" s="496"/>
      <c r="J232" s="496"/>
    </row>
    <row r="233" spans="1:10">
      <c r="A233" s="504">
        <v>43885</v>
      </c>
      <c r="B233" s="500">
        <v>8</v>
      </c>
      <c r="C233" s="500" t="s">
        <v>264</v>
      </c>
      <c r="D233" s="500" t="s">
        <v>153</v>
      </c>
      <c r="E233" s="500">
        <v>1</v>
      </c>
      <c r="F233" s="500">
        <v>12</v>
      </c>
      <c r="G233" s="501" t="s">
        <v>278</v>
      </c>
      <c r="H233" s="500"/>
      <c r="I233" s="500"/>
      <c r="J233" s="500"/>
    </row>
    <row r="234" spans="1:10">
      <c r="A234" s="503">
        <v>43887</v>
      </c>
      <c r="B234" s="496">
        <v>7</v>
      </c>
      <c r="C234" s="496" t="s">
        <v>264</v>
      </c>
      <c r="D234" s="496" t="s">
        <v>148</v>
      </c>
      <c r="E234" s="496">
        <v>1</v>
      </c>
      <c r="F234" s="496">
        <v>6</v>
      </c>
      <c r="G234" s="497" t="s">
        <v>279</v>
      </c>
      <c r="H234" s="496"/>
      <c r="I234" s="496"/>
      <c r="J234" s="496"/>
    </row>
    <row r="235" spans="1:10">
      <c r="A235" s="504">
        <v>43888</v>
      </c>
      <c r="B235" s="500">
        <v>8</v>
      </c>
      <c r="C235" s="500" t="s">
        <v>264</v>
      </c>
      <c r="D235" s="500" t="s">
        <v>153</v>
      </c>
      <c r="E235" s="500">
        <v>1</v>
      </c>
      <c r="F235" s="500">
        <v>6</v>
      </c>
      <c r="G235" s="501"/>
      <c r="H235" s="500"/>
      <c r="I235" s="500"/>
      <c r="J235" s="500"/>
    </row>
    <row r="236" spans="1:10">
      <c r="A236" s="503">
        <v>43889</v>
      </c>
      <c r="B236" s="496">
        <v>8</v>
      </c>
      <c r="C236" s="496" t="s">
        <v>264</v>
      </c>
      <c r="D236" s="496" t="s">
        <v>148</v>
      </c>
      <c r="E236" s="496">
        <v>5</v>
      </c>
      <c r="F236" s="496">
        <v>6</v>
      </c>
      <c r="G236" s="497" t="s">
        <v>265</v>
      </c>
      <c r="H236" s="496"/>
      <c r="I236" s="496"/>
      <c r="J236" s="496"/>
    </row>
    <row r="237" spans="1:10">
      <c r="A237" s="504">
        <v>43890</v>
      </c>
      <c r="B237" s="500">
        <v>8</v>
      </c>
      <c r="C237" s="500" t="s">
        <v>264</v>
      </c>
      <c r="D237" s="500" t="s">
        <v>153</v>
      </c>
      <c r="E237" s="500">
        <v>5</v>
      </c>
      <c r="F237" s="500">
        <v>6</v>
      </c>
      <c r="G237" s="501"/>
      <c r="H237" s="500"/>
      <c r="I237" s="500"/>
      <c r="J237" s="500"/>
    </row>
    <row r="238" spans="1:10">
      <c r="A238" s="503">
        <v>43894</v>
      </c>
      <c r="B238" s="496">
        <v>7</v>
      </c>
      <c r="C238" s="496" t="s">
        <v>264</v>
      </c>
      <c r="D238" s="496" t="s">
        <v>152</v>
      </c>
      <c r="E238" s="496"/>
      <c r="F238" s="496"/>
      <c r="G238" s="497" t="s">
        <v>262</v>
      </c>
      <c r="H238" s="496"/>
      <c r="I238" s="496"/>
      <c r="J238" s="496"/>
    </row>
    <row r="239" spans="1:10">
      <c r="A239" s="504">
        <v>44061</v>
      </c>
      <c r="B239" s="500">
        <v>8</v>
      </c>
      <c r="C239" s="500" t="s">
        <v>264</v>
      </c>
      <c r="D239" s="500" t="s">
        <v>146</v>
      </c>
      <c r="E239" s="500">
        <v>1</v>
      </c>
      <c r="F239" s="500">
        <v>6</v>
      </c>
      <c r="G239" s="501" t="s">
        <v>313</v>
      </c>
      <c r="H239" s="500"/>
      <c r="I239" s="500"/>
      <c r="J239" s="500"/>
    </row>
    <row r="240" spans="1:10">
      <c r="A240" s="503">
        <v>44062</v>
      </c>
      <c r="B240" s="496">
        <v>8</v>
      </c>
      <c r="C240" s="496" t="s">
        <v>264</v>
      </c>
      <c r="D240" s="496" t="s">
        <v>338</v>
      </c>
      <c r="E240" s="496">
        <v>1</v>
      </c>
      <c r="F240" s="496">
        <v>6</v>
      </c>
      <c r="G240" s="497"/>
      <c r="H240" s="496"/>
      <c r="I240" s="496"/>
      <c r="J240" s="496"/>
    </row>
    <row r="241" spans="1:10">
      <c r="A241" s="504">
        <v>44064</v>
      </c>
      <c r="B241" s="500">
        <v>8</v>
      </c>
      <c r="C241" s="500" t="s">
        <v>264</v>
      </c>
      <c r="D241" s="500" t="s">
        <v>147</v>
      </c>
      <c r="E241" s="500">
        <v>1</v>
      </c>
      <c r="F241" s="500">
        <v>6</v>
      </c>
      <c r="G241" s="501" t="s">
        <v>314</v>
      </c>
      <c r="H241" s="500"/>
      <c r="I241" s="500"/>
      <c r="J241" s="500"/>
    </row>
    <row r="242" spans="1:10">
      <c r="A242" s="503">
        <v>44064</v>
      </c>
      <c r="B242" s="496">
        <v>10</v>
      </c>
      <c r="C242" s="496" t="s">
        <v>264</v>
      </c>
      <c r="D242" s="496" t="s">
        <v>348</v>
      </c>
      <c r="E242" s="496"/>
      <c r="F242" s="496"/>
      <c r="G242" s="497"/>
      <c r="H242" s="496"/>
      <c r="I242" s="496"/>
      <c r="J242" s="496"/>
    </row>
    <row r="243" spans="1:10">
      <c r="A243" s="504">
        <v>44065</v>
      </c>
      <c r="B243" s="500">
        <v>8</v>
      </c>
      <c r="C243" s="500" t="s">
        <v>264</v>
      </c>
      <c r="D243" s="500" t="s">
        <v>348</v>
      </c>
      <c r="E243" s="500"/>
      <c r="F243" s="500"/>
      <c r="G243" s="501"/>
      <c r="H243" s="500"/>
      <c r="I243" s="500"/>
      <c r="J243" s="500"/>
    </row>
    <row r="244" spans="1:10">
      <c r="A244" s="503">
        <v>44066</v>
      </c>
      <c r="B244" s="496">
        <v>8</v>
      </c>
      <c r="C244" s="496" t="s">
        <v>264</v>
      </c>
      <c r="D244" s="496" t="s">
        <v>148</v>
      </c>
      <c r="E244" s="496">
        <v>1</v>
      </c>
      <c r="F244" s="496">
        <v>6</v>
      </c>
      <c r="G244" s="497" t="s">
        <v>316</v>
      </c>
      <c r="H244" s="496"/>
      <c r="I244" s="496"/>
      <c r="J244" s="496"/>
    </row>
    <row r="245" spans="1:10">
      <c r="A245" s="504">
        <v>44067</v>
      </c>
      <c r="B245" s="500">
        <v>8</v>
      </c>
      <c r="C245" s="500" t="s">
        <v>264</v>
      </c>
      <c r="D245" s="500" t="s">
        <v>338</v>
      </c>
      <c r="E245" s="500"/>
      <c r="F245" s="500"/>
      <c r="G245" s="501"/>
      <c r="H245" s="500"/>
      <c r="I245" s="500"/>
      <c r="J245" s="500"/>
    </row>
    <row r="246" spans="1:10">
      <c r="A246" s="503">
        <v>44068</v>
      </c>
      <c r="B246" s="496">
        <v>8</v>
      </c>
      <c r="C246" s="496" t="s">
        <v>264</v>
      </c>
      <c r="D246" s="496" t="s">
        <v>348</v>
      </c>
      <c r="E246" s="496"/>
      <c r="F246" s="496"/>
      <c r="G246" s="497"/>
      <c r="H246" s="496"/>
      <c r="I246" s="496"/>
      <c r="J246" s="496"/>
    </row>
    <row r="247" spans="1:10">
      <c r="A247" s="504">
        <v>44069</v>
      </c>
      <c r="B247" s="500">
        <v>9</v>
      </c>
      <c r="C247" s="500" t="s">
        <v>264</v>
      </c>
      <c r="D247" s="500" t="s">
        <v>148</v>
      </c>
      <c r="E247" s="500">
        <v>1</v>
      </c>
      <c r="F247" s="500">
        <v>6</v>
      </c>
      <c r="G247" s="501" t="s">
        <v>319</v>
      </c>
      <c r="H247" s="500"/>
      <c r="I247" s="500"/>
      <c r="J247" s="500"/>
    </row>
    <row r="248" spans="1:10" ht="58.15">
      <c r="A248" s="503">
        <v>44069</v>
      </c>
      <c r="B248" s="496">
        <v>10</v>
      </c>
      <c r="C248" s="496" t="s">
        <v>264</v>
      </c>
      <c r="D248" s="496" t="s">
        <v>154</v>
      </c>
      <c r="E248" s="496">
        <v>1</v>
      </c>
      <c r="F248" s="496">
        <v>96</v>
      </c>
      <c r="G248" s="497" t="s">
        <v>360</v>
      </c>
      <c r="H248" s="496" t="s">
        <v>317</v>
      </c>
      <c r="I248" s="496"/>
      <c r="J248" s="496"/>
    </row>
    <row r="249" spans="1:10">
      <c r="A249" s="504">
        <v>44070</v>
      </c>
      <c r="B249" s="500">
        <v>9</v>
      </c>
      <c r="C249" s="500" t="s">
        <v>264</v>
      </c>
      <c r="D249" s="500" t="s">
        <v>338</v>
      </c>
      <c r="E249" s="500">
        <v>1</v>
      </c>
      <c r="F249" s="500">
        <v>6</v>
      </c>
      <c r="G249" s="501"/>
      <c r="H249" s="500"/>
      <c r="I249" s="500"/>
      <c r="J249" s="500"/>
    </row>
    <row r="250" spans="1:10">
      <c r="A250" s="503">
        <v>44071</v>
      </c>
      <c r="B250" s="496">
        <v>10</v>
      </c>
      <c r="C250" s="496" t="s">
        <v>264</v>
      </c>
      <c r="D250" s="496" t="s">
        <v>348</v>
      </c>
      <c r="E250" s="496">
        <v>1</v>
      </c>
      <c r="F250" s="496">
        <v>6</v>
      </c>
      <c r="G250" s="497"/>
      <c r="H250" s="496"/>
      <c r="I250" s="496"/>
      <c r="J250" s="496"/>
    </row>
    <row r="251" spans="1:10">
      <c r="A251" s="504">
        <v>44072</v>
      </c>
      <c r="B251" s="500">
        <v>11</v>
      </c>
      <c r="C251" s="500" t="s">
        <v>264</v>
      </c>
      <c r="D251" s="500" t="s">
        <v>348</v>
      </c>
      <c r="E251" s="500">
        <v>1</v>
      </c>
      <c r="F251" s="500">
        <v>6</v>
      </c>
      <c r="G251" s="501"/>
      <c r="H251" s="500"/>
      <c r="I251" s="500"/>
      <c r="J251" s="500"/>
    </row>
    <row r="252" spans="1:10">
      <c r="A252" s="503">
        <v>44074</v>
      </c>
      <c r="B252" s="496">
        <v>10</v>
      </c>
      <c r="C252" s="496" t="s">
        <v>264</v>
      </c>
      <c r="D252" s="496" t="s">
        <v>148</v>
      </c>
      <c r="E252" s="496">
        <v>1</v>
      </c>
      <c r="F252" s="496">
        <v>6</v>
      </c>
      <c r="G252" s="497" t="s">
        <v>315</v>
      </c>
      <c r="H252" s="496"/>
      <c r="I252" s="496"/>
      <c r="J252" s="496"/>
    </row>
    <row r="253" spans="1:10">
      <c r="A253" s="504">
        <v>44075</v>
      </c>
      <c r="B253" s="500">
        <v>10</v>
      </c>
      <c r="C253" s="500" t="s">
        <v>264</v>
      </c>
      <c r="D253" s="500"/>
      <c r="E253" s="500">
        <v>1</v>
      </c>
      <c r="F253" s="500">
        <v>6</v>
      </c>
      <c r="G253" s="501"/>
      <c r="H253" s="500"/>
      <c r="I253" s="500"/>
      <c r="J253" s="500"/>
    </row>
    <row r="254" spans="1:10">
      <c r="A254" s="503">
        <v>44076</v>
      </c>
      <c r="B254" s="496">
        <v>10</v>
      </c>
      <c r="C254" s="496" t="s">
        <v>264</v>
      </c>
      <c r="D254" s="496" t="s">
        <v>348</v>
      </c>
      <c r="E254" s="496">
        <v>1</v>
      </c>
      <c r="F254" s="496">
        <v>6</v>
      </c>
      <c r="G254" s="497"/>
      <c r="H254" s="496"/>
      <c r="I254" s="496"/>
      <c r="J254" s="496"/>
    </row>
    <row r="255" spans="1:10">
      <c r="A255" s="504">
        <v>44077</v>
      </c>
      <c r="B255" s="500">
        <v>10</v>
      </c>
      <c r="C255" s="500" t="s">
        <v>264</v>
      </c>
      <c r="D255" s="500" t="s">
        <v>348</v>
      </c>
      <c r="E255" s="500">
        <v>1</v>
      </c>
      <c r="F255" s="500">
        <v>6</v>
      </c>
      <c r="G255" s="501"/>
      <c r="H255" s="500"/>
      <c r="I255" s="500"/>
      <c r="J255" s="500"/>
    </row>
    <row r="256" spans="1:10" ht="58.15">
      <c r="A256" s="503">
        <v>44078</v>
      </c>
      <c r="B256" s="496">
        <v>10</v>
      </c>
      <c r="C256" s="496" t="s">
        <v>264</v>
      </c>
      <c r="D256" s="496" t="s">
        <v>154</v>
      </c>
      <c r="E256" s="496">
        <v>1</v>
      </c>
      <c r="F256" s="496">
        <v>96</v>
      </c>
      <c r="G256" s="497" t="s">
        <v>333</v>
      </c>
      <c r="H256" s="496" t="s">
        <v>317</v>
      </c>
      <c r="I256" s="496"/>
      <c r="J256" s="496"/>
    </row>
    <row r="257" spans="1:10">
      <c r="A257" s="504">
        <v>44078</v>
      </c>
      <c r="B257" s="500">
        <v>11</v>
      </c>
      <c r="C257" s="500" t="s">
        <v>264</v>
      </c>
      <c r="D257" s="500" t="s">
        <v>148</v>
      </c>
      <c r="E257" s="500">
        <v>1</v>
      </c>
      <c r="F257" s="500">
        <v>6</v>
      </c>
      <c r="G257" s="501" t="s">
        <v>330</v>
      </c>
      <c r="H257" s="500"/>
      <c r="I257" s="500"/>
      <c r="J257" s="500"/>
    </row>
    <row r="258" spans="1:10">
      <c r="A258" s="503">
        <v>44079</v>
      </c>
      <c r="B258" s="496">
        <v>9</v>
      </c>
      <c r="C258" s="496" t="s">
        <v>264</v>
      </c>
      <c r="D258" s="496" t="s">
        <v>348</v>
      </c>
      <c r="E258" s="496">
        <v>1</v>
      </c>
      <c r="F258" s="496">
        <v>6</v>
      </c>
      <c r="G258" s="497"/>
      <c r="H258" s="496"/>
      <c r="I258" s="496"/>
      <c r="J258" s="496"/>
    </row>
    <row r="259" spans="1:10">
      <c r="A259" s="504">
        <v>44080</v>
      </c>
      <c r="B259" s="500">
        <v>9</v>
      </c>
      <c r="C259" s="500" t="s">
        <v>264</v>
      </c>
      <c r="D259" s="500" t="s">
        <v>348</v>
      </c>
      <c r="E259" s="500">
        <v>1</v>
      </c>
      <c r="F259" s="500">
        <v>6</v>
      </c>
      <c r="G259" s="501"/>
      <c r="H259" s="500"/>
      <c r="I259" s="500"/>
      <c r="J259" s="500"/>
    </row>
    <row r="260" spans="1:10">
      <c r="A260" s="503">
        <v>44082</v>
      </c>
      <c r="B260" s="496">
        <v>11</v>
      </c>
      <c r="C260" s="496" t="s">
        <v>264</v>
      </c>
      <c r="D260" s="496" t="s">
        <v>348</v>
      </c>
      <c r="E260" s="496">
        <v>1</v>
      </c>
      <c r="F260" s="496">
        <v>6</v>
      </c>
      <c r="G260" s="497"/>
      <c r="H260" s="496"/>
      <c r="I260" s="496"/>
      <c r="J260" s="496"/>
    </row>
    <row r="261" spans="1:10">
      <c r="A261" s="504">
        <v>44083</v>
      </c>
      <c r="B261" s="500">
        <v>8</v>
      </c>
      <c r="C261" s="500" t="s">
        <v>264</v>
      </c>
      <c r="D261" s="500" t="s">
        <v>148</v>
      </c>
      <c r="E261" s="500">
        <v>1</v>
      </c>
      <c r="F261" s="500">
        <v>6</v>
      </c>
      <c r="G261" s="501"/>
      <c r="H261" s="500"/>
      <c r="I261" s="500"/>
      <c r="J261" s="500"/>
    </row>
    <row r="262" spans="1:10">
      <c r="A262" s="503">
        <v>44086</v>
      </c>
      <c r="B262" s="496">
        <v>8</v>
      </c>
      <c r="C262" s="496" t="s">
        <v>264</v>
      </c>
      <c r="D262" s="496" t="s">
        <v>148</v>
      </c>
      <c r="E262" s="496">
        <v>1</v>
      </c>
      <c r="F262" s="496">
        <v>6</v>
      </c>
      <c r="G262" s="497" t="s">
        <v>340</v>
      </c>
      <c r="H262" s="496"/>
      <c r="I262" s="496"/>
      <c r="J262" s="496"/>
    </row>
    <row r="263" spans="1:10">
      <c r="A263" s="504">
        <v>44088</v>
      </c>
      <c r="B263" s="500">
        <v>10</v>
      </c>
      <c r="C263" s="500" t="s">
        <v>264</v>
      </c>
      <c r="D263" s="500" t="s">
        <v>348</v>
      </c>
      <c r="E263" s="500">
        <v>1</v>
      </c>
      <c r="F263" s="500">
        <v>6</v>
      </c>
      <c r="G263" s="501"/>
      <c r="H263" s="500"/>
      <c r="I263" s="500"/>
      <c r="J263" s="500"/>
    </row>
    <row r="264" spans="1:10">
      <c r="A264" s="503">
        <v>44089</v>
      </c>
      <c r="B264" s="496">
        <v>9</v>
      </c>
      <c r="C264" s="496" t="s">
        <v>264</v>
      </c>
      <c r="D264" s="496" t="s">
        <v>348</v>
      </c>
      <c r="E264" s="496">
        <v>1</v>
      </c>
      <c r="F264" s="496">
        <v>6</v>
      </c>
      <c r="G264" s="497"/>
      <c r="H264" s="496"/>
      <c r="I264" s="496"/>
      <c r="J264" s="496"/>
    </row>
    <row r="265" spans="1:10" ht="23.25">
      <c r="A265" s="504">
        <v>44090</v>
      </c>
      <c r="B265" s="500">
        <v>9</v>
      </c>
      <c r="C265" s="500" t="s">
        <v>264</v>
      </c>
      <c r="D265" s="500" t="s">
        <v>148</v>
      </c>
      <c r="E265" s="500">
        <v>1</v>
      </c>
      <c r="F265" s="500">
        <v>6</v>
      </c>
      <c r="G265" s="501" t="s">
        <v>343</v>
      </c>
      <c r="H265" s="500"/>
      <c r="I265" s="500"/>
      <c r="J265" s="500"/>
    </row>
    <row r="266" spans="1:10">
      <c r="A266" s="503">
        <v>44092</v>
      </c>
      <c r="B266" s="496">
        <v>9</v>
      </c>
      <c r="C266" s="496" t="s">
        <v>264</v>
      </c>
      <c r="D266" s="496" t="s">
        <v>148</v>
      </c>
      <c r="E266" s="496">
        <v>1</v>
      </c>
      <c r="F266" s="496">
        <v>6</v>
      </c>
      <c r="G266" s="497" t="s">
        <v>345</v>
      </c>
      <c r="H266" s="496"/>
      <c r="I266" s="496"/>
      <c r="J266" s="496"/>
    </row>
    <row r="267" spans="1:10">
      <c r="A267" s="504">
        <v>44094</v>
      </c>
      <c r="B267" s="500">
        <v>10</v>
      </c>
      <c r="C267" s="500" t="s">
        <v>264</v>
      </c>
      <c r="D267" s="500" t="s">
        <v>348</v>
      </c>
      <c r="E267" s="500">
        <v>1</v>
      </c>
      <c r="F267" s="500">
        <v>6</v>
      </c>
      <c r="G267" s="501"/>
      <c r="H267" s="500"/>
      <c r="I267" s="500"/>
      <c r="J267" s="500"/>
    </row>
    <row r="268" spans="1:10">
      <c r="A268" s="503">
        <v>44095</v>
      </c>
      <c r="B268" s="496">
        <v>10</v>
      </c>
      <c r="C268" s="496" t="s">
        <v>264</v>
      </c>
      <c r="D268" s="496" t="s">
        <v>348</v>
      </c>
      <c r="E268" s="496">
        <v>1</v>
      </c>
      <c r="F268" s="496">
        <v>6</v>
      </c>
      <c r="G268" s="497"/>
      <c r="H268" s="496"/>
      <c r="I268" s="496"/>
      <c r="J268" s="496"/>
    </row>
    <row r="269" spans="1:10">
      <c r="A269" s="504">
        <v>44070</v>
      </c>
      <c r="B269" s="500">
        <v>8</v>
      </c>
      <c r="C269" s="500" t="s">
        <v>321</v>
      </c>
      <c r="D269" s="500" t="s">
        <v>338</v>
      </c>
      <c r="E269" s="500">
        <v>1</v>
      </c>
      <c r="F269" s="500">
        <v>96</v>
      </c>
      <c r="G269" s="501"/>
      <c r="H269" s="500"/>
      <c r="I269" s="500"/>
      <c r="J269" s="500"/>
    </row>
    <row r="270" spans="1:10" ht="23.25">
      <c r="A270" s="503">
        <v>44071</v>
      </c>
      <c r="B270" s="496">
        <v>11</v>
      </c>
      <c r="C270" s="496" t="s">
        <v>321</v>
      </c>
      <c r="D270" s="496" t="s">
        <v>338</v>
      </c>
      <c r="E270" s="496">
        <v>1</v>
      </c>
      <c r="F270" s="496">
        <v>96</v>
      </c>
      <c r="G270" s="497" t="s">
        <v>322</v>
      </c>
      <c r="H270" s="496"/>
      <c r="I270" s="496"/>
      <c r="J270" s="496"/>
    </row>
    <row r="271" spans="1:10">
      <c r="A271" s="504">
        <v>44079</v>
      </c>
      <c r="B271" s="500">
        <v>8</v>
      </c>
      <c r="C271" s="500" t="s">
        <v>321</v>
      </c>
      <c r="D271" s="500" t="s">
        <v>338</v>
      </c>
      <c r="E271" s="500">
        <v>1</v>
      </c>
      <c r="F271" s="500">
        <v>96</v>
      </c>
      <c r="G271" s="501"/>
      <c r="H271" s="500"/>
      <c r="I271" s="500"/>
      <c r="J271" s="500"/>
    </row>
    <row r="272" spans="1:10">
      <c r="A272" s="503">
        <v>44080</v>
      </c>
      <c r="B272" s="496">
        <v>8</v>
      </c>
      <c r="C272" s="496" t="s">
        <v>321</v>
      </c>
      <c r="D272" s="496" t="s">
        <v>338</v>
      </c>
      <c r="E272" s="496">
        <v>1</v>
      </c>
      <c r="F272" s="496">
        <v>96</v>
      </c>
      <c r="G272" s="497"/>
      <c r="H272" s="496"/>
      <c r="I272" s="496"/>
      <c r="J272" s="496"/>
    </row>
    <row r="273" spans="1:10">
      <c r="A273" s="504">
        <v>44082</v>
      </c>
      <c r="B273" s="500">
        <v>10</v>
      </c>
      <c r="C273" s="500" t="s">
        <v>321</v>
      </c>
      <c r="D273" s="500" t="s">
        <v>147</v>
      </c>
      <c r="E273" s="500">
        <v>1</v>
      </c>
      <c r="F273" s="500">
        <v>96</v>
      </c>
      <c r="G273" s="501" t="s">
        <v>337</v>
      </c>
      <c r="H273" s="500"/>
      <c r="I273" s="500"/>
      <c r="J273" s="500"/>
    </row>
    <row r="274" spans="1:10">
      <c r="A274" s="503">
        <v>44083</v>
      </c>
      <c r="B274" s="496">
        <v>9</v>
      </c>
      <c r="C274" s="496" t="s">
        <v>321</v>
      </c>
      <c r="D274" s="496" t="s">
        <v>148</v>
      </c>
      <c r="E274" s="496">
        <v>1</v>
      </c>
      <c r="F274" s="496">
        <v>12</v>
      </c>
      <c r="G274" s="497"/>
      <c r="H274" s="496"/>
      <c r="I274" s="496"/>
      <c r="J274" s="496"/>
    </row>
    <row r="275" spans="1:10">
      <c r="A275" s="504">
        <v>44086</v>
      </c>
      <c r="B275" s="500">
        <v>9</v>
      </c>
      <c r="C275" s="500" t="s">
        <v>321</v>
      </c>
      <c r="D275" s="500" t="s">
        <v>348</v>
      </c>
      <c r="E275" s="500">
        <v>1</v>
      </c>
      <c r="F275" s="500">
        <v>12</v>
      </c>
      <c r="G275" s="501"/>
      <c r="H275" s="500"/>
      <c r="I275" s="500"/>
      <c r="J275" s="500"/>
    </row>
    <row r="276" spans="1:10">
      <c r="A276" s="503">
        <v>44088</v>
      </c>
      <c r="B276" s="496">
        <v>9</v>
      </c>
      <c r="C276" s="496" t="s">
        <v>321</v>
      </c>
      <c r="D276" s="496" t="s">
        <v>348</v>
      </c>
      <c r="E276" s="496">
        <v>1</v>
      </c>
      <c r="F276" s="496">
        <v>12</v>
      </c>
      <c r="G276" s="497"/>
      <c r="H276" s="496"/>
      <c r="I276" s="496"/>
      <c r="J276" s="496"/>
    </row>
    <row r="277" spans="1:10">
      <c r="A277" s="504">
        <v>44089</v>
      </c>
      <c r="B277" s="500">
        <v>8</v>
      </c>
      <c r="C277" s="500" t="s">
        <v>321</v>
      </c>
      <c r="D277" s="500" t="s">
        <v>348</v>
      </c>
      <c r="E277" s="500">
        <v>1</v>
      </c>
      <c r="F277" s="500">
        <v>12</v>
      </c>
      <c r="G277" s="501"/>
      <c r="H277" s="500"/>
      <c r="I277" s="500"/>
      <c r="J277" s="500"/>
    </row>
    <row r="278" spans="1:10">
      <c r="A278" s="503">
        <v>44090</v>
      </c>
      <c r="B278" s="496">
        <v>8</v>
      </c>
      <c r="C278" s="496" t="s">
        <v>321</v>
      </c>
      <c r="D278" s="496" t="s">
        <v>148</v>
      </c>
      <c r="E278" s="496">
        <v>1</v>
      </c>
      <c r="F278" s="496">
        <v>6</v>
      </c>
      <c r="G278" s="497"/>
      <c r="H278" s="496"/>
      <c r="I278" s="496"/>
      <c r="J278" s="496"/>
    </row>
    <row r="279" spans="1:10">
      <c r="A279" s="504">
        <v>44092</v>
      </c>
      <c r="B279" s="500">
        <v>8</v>
      </c>
      <c r="C279" s="500" t="s">
        <v>321</v>
      </c>
      <c r="D279" s="500" t="s">
        <v>148</v>
      </c>
      <c r="E279" s="500">
        <v>5</v>
      </c>
      <c r="F279" s="500">
        <v>6</v>
      </c>
      <c r="G279" s="501" t="s">
        <v>345</v>
      </c>
      <c r="H279" s="500"/>
      <c r="I279" s="500"/>
      <c r="J279" s="500"/>
    </row>
    <row r="280" spans="1:10">
      <c r="A280" s="503">
        <v>44094</v>
      </c>
      <c r="B280" s="496">
        <v>9</v>
      </c>
      <c r="C280" s="496" t="s">
        <v>321</v>
      </c>
      <c r="D280" s="496" t="s">
        <v>348</v>
      </c>
      <c r="E280" s="496">
        <v>5</v>
      </c>
      <c r="F280" s="496">
        <v>6</v>
      </c>
      <c r="G280" s="497"/>
      <c r="H280" s="496"/>
      <c r="I280" s="496"/>
      <c r="J280" s="496"/>
    </row>
    <row r="281" spans="1:10">
      <c r="A281" s="504">
        <v>44095</v>
      </c>
      <c r="B281" s="500">
        <v>9</v>
      </c>
      <c r="C281" s="500" t="s">
        <v>321</v>
      </c>
      <c r="D281" s="500" t="s">
        <v>348</v>
      </c>
      <c r="E281" s="500">
        <v>5</v>
      </c>
      <c r="F281" s="500">
        <v>6</v>
      </c>
      <c r="G281" s="501"/>
      <c r="H281" s="500"/>
      <c r="I281" s="500"/>
      <c r="J281" s="500"/>
    </row>
    <row r="282" spans="1:10" ht="46.5">
      <c r="A282" s="503">
        <v>44097</v>
      </c>
      <c r="B282" s="496">
        <v>9</v>
      </c>
      <c r="C282" s="496" t="s">
        <v>321</v>
      </c>
      <c r="D282" s="496" t="s">
        <v>154</v>
      </c>
      <c r="E282" s="496">
        <v>1</v>
      </c>
      <c r="F282" s="496">
        <v>96</v>
      </c>
      <c r="G282" s="497" t="s">
        <v>352</v>
      </c>
      <c r="H282" s="496" t="s">
        <v>334</v>
      </c>
      <c r="I282" s="496"/>
      <c r="J282" s="496"/>
    </row>
    <row r="283" spans="1:10">
      <c r="A283" s="504">
        <v>44097</v>
      </c>
      <c r="B283" s="500">
        <v>10</v>
      </c>
      <c r="C283" s="500" t="s">
        <v>321</v>
      </c>
      <c r="D283" s="500" t="s">
        <v>152</v>
      </c>
      <c r="E283" s="500">
        <v>5</v>
      </c>
      <c r="F283" s="500" t="s">
        <v>411</v>
      </c>
      <c r="G283" s="501" t="s">
        <v>262</v>
      </c>
      <c r="H283" s="500"/>
      <c r="I283" s="500"/>
      <c r="J283" s="500"/>
    </row>
    <row r="284" spans="1:10">
      <c r="A284" s="503">
        <v>44098</v>
      </c>
      <c r="B284" s="496">
        <v>9</v>
      </c>
      <c r="C284" s="496" t="s">
        <v>321</v>
      </c>
      <c r="D284" s="496" t="s">
        <v>338</v>
      </c>
      <c r="E284" s="496">
        <v>1</v>
      </c>
      <c r="F284" s="496">
        <v>96</v>
      </c>
      <c r="G284" s="497"/>
      <c r="H284" s="496"/>
      <c r="I284" s="496"/>
      <c r="J284" s="496"/>
    </row>
    <row r="285" spans="1:10">
      <c r="A285" s="504">
        <v>44099</v>
      </c>
      <c r="B285" s="500">
        <v>9</v>
      </c>
      <c r="C285" s="500" t="s">
        <v>349</v>
      </c>
      <c r="D285" s="500" t="s">
        <v>338</v>
      </c>
      <c r="E285" s="500">
        <v>1</v>
      </c>
      <c r="F285" s="500">
        <v>96</v>
      </c>
      <c r="G285" s="501"/>
      <c r="H285" s="500"/>
      <c r="I285" s="500"/>
      <c r="J285" s="500"/>
    </row>
    <row r="286" spans="1:10">
      <c r="A286" s="503">
        <v>44101</v>
      </c>
      <c r="B286" s="496">
        <v>9</v>
      </c>
      <c r="C286" s="496" t="s">
        <v>349</v>
      </c>
      <c r="D286" s="496" t="s">
        <v>348</v>
      </c>
      <c r="E286" s="496">
        <v>1</v>
      </c>
      <c r="F286" s="496">
        <v>96</v>
      </c>
      <c r="G286" s="497"/>
      <c r="H286" s="496"/>
      <c r="I286" s="496"/>
      <c r="J286" s="496"/>
    </row>
    <row r="287" spans="1:10">
      <c r="A287" s="504">
        <v>44103</v>
      </c>
      <c r="B287" s="500">
        <v>10</v>
      </c>
      <c r="C287" s="500" t="s">
        <v>349</v>
      </c>
      <c r="D287" s="500" t="s">
        <v>148</v>
      </c>
      <c r="E287" s="500">
        <v>1</v>
      </c>
      <c r="F287" s="500">
        <v>12</v>
      </c>
      <c r="G287" s="501"/>
      <c r="H287" s="500"/>
      <c r="I287" s="500"/>
      <c r="J287" s="500"/>
    </row>
    <row r="288" spans="1:10">
      <c r="A288" s="503">
        <v>44104</v>
      </c>
      <c r="B288" s="496">
        <v>8</v>
      </c>
      <c r="C288" s="496" t="s">
        <v>349</v>
      </c>
      <c r="D288" s="496" t="s">
        <v>338</v>
      </c>
      <c r="E288" s="496">
        <v>1</v>
      </c>
      <c r="F288" s="496">
        <v>12</v>
      </c>
      <c r="G288" s="497"/>
      <c r="H288" s="496"/>
      <c r="I288" s="496"/>
      <c r="J288" s="496"/>
    </row>
    <row r="289" spans="1:10">
      <c r="A289" s="504">
        <v>44105</v>
      </c>
      <c r="B289" s="500">
        <v>11</v>
      </c>
      <c r="C289" s="500" t="s">
        <v>349</v>
      </c>
      <c r="D289" s="500" t="s">
        <v>147</v>
      </c>
      <c r="E289" s="500">
        <v>1</v>
      </c>
      <c r="F289" s="500">
        <v>12</v>
      </c>
      <c r="G289" s="501" t="s">
        <v>363</v>
      </c>
      <c r="H289" s="500"/>
      <c r="I289" s="500"/>
      <c r="J289" s="500"/>
    </row>
    <row r="290" spans="1:10">
      <c r="A290" s="503">
        <v>44105</v>
      </c>
      <c r="B290" s="496">
        <v>12</v>
      </c>
      <c r="C290" s="496" t="s">
        <v>349</v>
      </c>
      <c r="D290" s="496" t="s">
        <v>348</v>
      </c>
      <c r="E290" s="496">
        <v>1</v>
      </c>
      <c r="F290" s="496">
        <v>12</v>
      </c>
      <c r="G290" s="497"/>
      <c r="H290" s="496"/>
      <c r="I290" s="496"/>
      <c r="J290" s="496"/>
    </row>
    <row r="291" spans="1:10">
      <c r="A291" s="504">
        <v>44106</v>
      </c>
      <c r="B291" s="500">
        <v>11</v>
      </c>
      <c r="C291" s="500" t="s">
        <v>349</v>
      </c>
      <c r="D291" s="500" t="s">
        <v>348</v>
      </c>
      <c r="E291" s="500">
        <v>1</v>
      </c>
      <c r="F291" s="500">
        <v>12</v>
      </c>
      <c r="G291" s="501"/>
      <c r="H291" s="500"/>
      <c r="I291" s="500"/>
      <c r="J291" s="500"/>
    </row>
    <row r="292" spans="1:10">
      <c r="A292" s="503">
        <v>44107</v>
      </c>
      <c r="B292" s="496">
        <v>11</v>
      </c>
      <c r="C292" s="496" t="s">
        <v>349</v>
      </c>
      <c r="D292" s="496" t="s">
        <v>148</v>
      </c>
      <c r="E292" s="496">
        <v>1</v>
      </c>
      <c r="F292" s="496">
        <v>6</v>
      </c>
      <c r="G292" s="497"/>
      <c r="H292" s="496"/>
      <c r="I292" s="496"/>
      <c r="J292" s="496"/>
    </row>
    <row r="293" spans="1:10">
      <c r="A293" s="504">
        <v>44109</v>
      </c>
      <c r="B293" s="500">
        <v>11</v>
      </c>
      <c r="C293" s="500" t="s">
        <v>349</v>
      </c>
      <c r="D293" s="500" t="s">
        <v>148</v>
      </c>
      <c r="E293" s="500">
        <v>5</v>
      </c>
      <c r="F293" s="500">
        <v>6</v>
      </c>
      <c r="G293" s="501"/>
      <c r="H293" s="500"/>
      <c r="I293" s="500"/>
      <c r="J293" s="500"/>
    </row>
    <row r="294" spans="1:10">
      <c r="A294" s="503">
        <v>44110</v>
      </c>
      <c r="B294" s="496">
        <v>13</v>
      </c>
      <c r="C294" s="496" t="s">
        <v>349</v>
      </c>
      <c r="D294" s="496" t="s">
        <v>338</v>
      </c>
      <c r="E294" s="496">
        <v>5</v>
      </c>
      <c r="F294" s="496">
        <v>6</v>
      </c>
      <c r="G294" s="497"/>
      <c r="H294" s="496"/>
      <c r="I294" s="496"/>
      <c r="J294" s="496"/>
    </row>
    <row r="295" spans="1:10">
      <c r="A295" s="504">
        <v>44111</v>
      </c>
      <c r="B295" s="500">
        <v>12</v>
      </c>
      <c r="C295" s="500" t="s">
        <v>349</v>
      </c>
      <c r="D295" s="500" t="s">
        <v>348</v>
      </c>
      <c r="E295" s="500">
        <v>5</v>
      </c>
      <c r="F295" s="500">
        <v>6</v>
      </c>
      <c r="G295" s="501"/>
      <c r="H295" s="500"/>
      <c r="I295" s="500"/>
      <c r="J295" s="500"/>
    </row>
    <row r="296" spans="1:10" ht="69.75">
      <c r="A296" s="503">
        <v>44112</v>
      </c>
      <c r="B296" s="496">
        <v>11</v>
      </c>
      <c r="C296" s="496" t="s">
        <v>349</v>
      </c>
      <c r="D296" s="496" t="s">
        <v>154</v>
      </c>
      <c r="E296" s="496"/>
      <c r="F296" s="496"/>
      <c r="G296" s="497" t="s">
        <v>375</v>
      </c>
      <c r="H296" s="496" t="s">
        <v>373</v>
      </c>
      <c r="I296" s="496"/>
      <c r="J296" s="496"/>
    </row>
    <row r="297" spans="1:10" ht="34.9">
      <c r="A297" s="504">
        <v>44112</v>
      </c>
      <c r="B297" s="500">
        <v>13</v>
      </c>
      <c r="C297" s="500" t="s">
        <v>349</v>
      </c>
      <c r="D297" s="500" t="s">
        <v>148</v>
      </c>
      <c r="E297" s="500">
        <v>3</v>
      </c>
      <c r="F297" s="500">
        <v>6</v>
      </c>
      <c r="G297" s="501" t="s">
        <v>376</v>
      </c>
      <c r="H297" s="500"/>
      <c r="I297" s="500"/>
      <c r="J297" s="500"/>
    </row>
    <row r="298" spans="1:10">
      <c r="A298" s="503">
        <v>44113</v>
      </c>
      <c r="B298" s="496">
        <v>10</v>
      </c>
      <c r="C298" s="496" t="s">
        <v>349</v>
      </c>
      <c r="D298" s="496" t="s">
        <v>348</v>
      </c>
      <c r="E298" s="496">
        <v>3</v>
      </c>
      <c r="F298" s="496">
        <v>6</v>
      </c>
      <c r="G298" s="497"/>
      <c r="H298" s="496"/>
      <c r="I298" s="496"/>
      <c r="J298" s="496"/>
    </row>
    <row r="299" spans="1:10">
      <c r="A299" s="504">
        <v>44116</v>
      </c>
      <c r="B299" s="500">
        <v>10</v>
      </c>
      <c r="C299" s="500" t="s">
        <v>349</v>
      </c>
      <c r="D299" s="500" t="s">
        <v>148</v>
      </c>
      <c r="E299" s="500">
        <v>1</v>
      </c>
      <c r="F299" s="500">
        <v>6</v>
      </c>
      <c r="G299" s="501" t="s">
        <v>377</v>
      </c>
      <c r="H299" s="500"/>
      <c r="I299" s="500"/>
      <c r="J299" s="500"/>
    </row>
    <row r="300" spans="1:10">
      <c r="A300" s="503">
        <v>44117</v>
      </c>
      <c r="B300" s="496">
        <v>11</v>
      </c>
      <c r="C300" s="496" t="s">
        <v>349</v>
      </c>
      <c r="D300" s="496" t="s">
        <v>348</v>
      </c>
      <c r="E300" s="496">
        <v>1</v>
      </c>
      <c r="F300" s="496">
        <v>6</v>
      </c>
      <c r="G300" s="497"/>
      <c r="H300" s="496"/>
      <c r="I300" s="496"/>
      <c r="J300" s="496"/>
    </row>
    <row r="301" spans="1:10">
      <c r="A301" s="504">
        <v>44118</v>
      </c>
      <c r="B301" s="500">
        <v>11</v>
      </c>
      <c r="C301" s="500" t="s">
        <v>349</v>
      </c>
      <c r="D301" s="500" t="s">
        <v>348</v>
      </c>
      <c r="E301" s="500">
        <v>1</v>
      </c>
      <c r="F301" s="500">
        <v>6</v>
      </c>
      <c r="G301" s="501"/>
      <c r="H301" s="500"/>
      <c r="I301" s="500"/>
      <c r="J301" s="500"/>
    </row>
    <row r="302" spans="1:10">
      <c r="A302" s="503">
        <v>44119</v>
      </c>
      <c r="B302" s="496">
        <v>12</v>
      </c>
      <c r="C302" s="496" t="s">
        <v>349</v>
      </c>
      <c r="D302" s="496" t="s">
        <v>148</v>
      </c>
      <c r="E302" s="496">
        <v>2</v>
      </c>
      <c r="F302" s="496">
        <v>6</v>
      </c>
      <c r="G302" s="497" t="s">
        <v>379</v>
      </c>
      <c r="H302" s="496"/>
      <c r="I302" s="496"/>
      <c r="J302" s="496"/>
    </row>
    <row r="303" spans="1:10">
      <c r="A303" s="504">
        <v>44120</v>
      </c>
      <c r="B303" s="500">
        <v>12</v>
      </c>
      <c r="C303" s="500" t="s">
        <v>349</v>
      </c>
      <c r="D303" s="500" t="s">
        <v>338</v>
      </c>
      <c r="E303" s="500">
        <v>2</v>
      </c>
      <c r="F303" s="500">
        <v>6</v>
      </c>
      <c r="G303" s="501"/>
      <c r="H303" s="500"/>
      <c r="I303" s="500"/>
      <c r="J303" s="500"/>
    </row>
    <row r="304" spans="1:10">
      <c r="A304" s="503">
        <v>44121</v>
      </c>
      <c r="B304" s="496">
        <v>12</v>
      </c>
      <c r="C304" s="496" t="s">
        <v>349</v>
      </c>
      <c r="D304" s="496" t="s">
        <v>148</v>
      </c>
      <c r="E304" s="496">
        <v>4</v>
      </c>
      <c r="F304" s="496">
        <v>6</v>
      </c>
      <c r="G304" s="497" t="s">
        <v>381</v>
      </c>
      <c r="H304" s="496"/>
      <c r="I304" s="496"/>
      <c r="J304" s="496"/>
    </row>
    <row r="305" spans="1:10">
      <c r="A305" s="504">
        <v>44123</v>
      </c>
      <c r="B305" s="500">
        <v>12</v>
      </c>
      <c r="C305" s="500" t="s">
        <v>349</v>
      </c>
      <c r="D305" s="500" t="s">
        <v>348</v>
      </c>
      <c r="E305" s="500">
        <v>4</v>
      </c>
      <c r="F305" s="500">
        <v>6</v>
      </c>
      <c r="G305" s="501"/>
      <c r="H305" s="500"/>
      <c r="I305" s="500"/>
      <c r="J305" s="500"/>
    </row>
    <row r="306" spans="1:10" ht="58.15">
      <c r="A306" s="503">
        <v>44124</v>
      </c>
      <c r="B306" s="496">
        <v>8</v>
      </c>
      <c r="C306" s="496" t="s">
        <v>349</v>
      </c>
      <c r="D306" s="496" t="s">
        <v>154</v>
      </c>
      <c r="E306" s="496">
        <v>1</v>
      </c>
      <c r="F306" s="496">
        <v>12</v>
      </c>
      <c r="G306" s="497" t="s">
        <v>418</v>
      </c>
      <c r="H306" s="496" t="s">
        <v>354</v>
      </c>
      <c r="I306" s="496" t="s">
        <v>469</v>
      </c>
      <c r="J306" s="496" t="s">
        <v>470</v>
      </c>
    </row>
    <row r="307" spans="1:10" ht="34.9">
      <c r="A307" s="504">
        <v>44124</v>
      </c>
      <c r="B307" s="500">
        <v>13</v>
      </c>
      <c r="C307" s="500" t="s">
        <v>349</v>
      </c>
      <c r="D307" s="500" t="s">
        <v>417</v>
      </c>
      <c r="E307" s="500"/>
      <c r="F307" s="500"/>
      <c r="G307" s="501" t="s">
        <v>508</v>
      </c>
      <c r="H307" s="500"/>
      <c r="I307" s="500" t="s">
        <v>469</v>
      </c>
      <c r="J307" s="500" t="s">
        <v>470</v>
      </c>
    </row>
    <row r="308" spans="1:10">
      <c r="A308" s="503">
        <v>43850</v>
      </c>
      <c r="B308" s="496">
        <v>7</v>
      </c>
      <c r="C308" s="496" t="s">
        <v>232</v>
      </c>
      <c r="D308" s="496" t="s">
        <v>149</v>
      </c>
      <c r="E308" s="496">
        <v>96</v>
      </c>
      <c r="F308" s="496">
        <v>96</v>
      </c>
      <c r="G308" s="497"/>
      <c r="H308" s="496" t="s">
        <v>149</v>
      </c>
      <c r="I308" s="496"/>
      <c r="J308" s="496"/>
    </row>
    <row r="309" spans="1:10">
      <c r="A309" s="504">
        <v>43851</v>
      </c>
      <c r="B309" s="500">
        <v>7</v>
      </c>
      <c r="C309" s="500" t="s">
        <v>232</v>
      </c>
      <c r="D309" s="500" t="s">
        <v>153</v>
      </c>
      <c r="E309" s="500"/>
      <c r="F309" s="500"/>
      <c r="G309" s="501"/>
      <c r="H309" s="500"/>
      <c r="I309" s="500"/>
      <c r="J309" s="500"/>
    </row>
    <row r="310" spans="1:10">
      <c r="A310" s="503">
        <v>43852</v>
      </c>
      <c r="B310" s="496">
        <v>7</v>
      </c>
      <c r="C310" s="496" t="s">
        <v>232</v>
      </c>
      <c r="D310" s="496" t="s">
        <v>153</v>
      </c>
      <c r="E310" s="496"/>
      <c r="F310" s="496"/>
      <c r="G310" s="497"/>
      <c r="H310" s="496"/>
      <c r="I310" s="496"/>
      <c r="J310" s="496"/>
    </row>
    <row r="311" spans="1:10">
      <c r="A311" s="504">
        <v>43855</v>
      </c>
      <c r="B311" s="500">
        <v>7</v>
      </c>
      <c r="C311" s="500" t="s">
        <v>232</v>
      </c>
      <c r="D311" s="500" t="s">
        <v>147</v>
      </c>
      <c r="E311" s="500">
        <v>96</v>
      </c>
      <c r="F311" s="500">
        <v>96</v>
      </c>
      <c r="G311" s="501"/>
      <c r="H311" s="500"/>
      <c r="I311" s="500"/>
      <c r="J311" s="500"/>
    </row>
    <row r="312" spans="1:10">
      <c r="A312" s="503">
        <v>43856</v>
      </c>
      <c r="B312" s="496">
        <v>7</v>
      </c>
      <c r="C312" s="496" t="s">
        <v>280</v>
      </c>
      <c r="D312" s="496" t="s">
        <v>148</v>
      </c>
      <c r="E312" s="496">
        <v>1</v>
      </c>
      <c r="F312" s="496">
        <v>24</v>
      </c>
      <c r="G312" s="497"/>
      <c r="H312" s="496"/>
      <c r="I312" s="496"/>
      <c r="J312" s="496"/>
    </row>
    <row r="313" spans="1:10">
      <c r="A313" s="504">
        <v>43861</v>
      </c>
      <c r="B313" s="500">
        <v>11</v>
      </c>
      <c r="C313" s="500" t="s">
        <v>280</v>
      </c>
      <c r="D313" s="500" t="s">
        <v>148</v>
      </c>
      <c r="E313" s="500">
        <v>1</v>
      </c>
      <c r="F313" s="500">
        <v>6</v>
      </c>
      <c r="G313" s="501"/>
      <c r="H313" s="500"/>
      <c r="I313" s="500"/>
      <c r="J313" s="500"/>
    </row>
    <row r="314" spans="1:10">
      <c r="A314" s="503">
        <v>43862</v>
      </c>
      <c r="B314" s="496">
        <v>7</v>
      </c>
      <c r="C314" s="496" t="s">
        <v>280</v>
      </c>
      <c r="D314" s="496" t="s">
        <v>153</v>
      </c>
      <c r="E314" s="496">
        <v>1</v>
      </c>
      <c r="F314" s="496">
        <v>6</v>
      </c>
      <c r="G314" s="497"/>
      <c r="H314" s="496"/>
      <c r="I314" s="496"/>
      <c r="J314" s="496"/>
    </row>
    <row r="315" spans="1:10">
      <c r="A315" s="504">
        <v>43864</v>
      </c>
      <c r="B315" s="500">
        <v>11</v>
      </c>
      <c r="C315" s="500" t="s">
        <v>280</v>
      </c>
      <c r="D315" s="500" t="s">
        <v>148</v>
      </c>
      <c r="E315" s="500">
        <v>5</v>
      </c>
      <c r="F315" s="500">
        <v>6</v>
      </c>
      <c r="G315" s="501"/>
      <c r="H315" s="500"/>
      <c r="I315" s="500"/>
      <c r="J315" s="500"/>
    </row>
    <row r="316" spans="1:10">
      <c r="A316" s="503">
        <v>43865</v>
      </c>
      <c r="B316" s="496">
        <v>12</v>
      </c>
      <c r="C316" s="496" t="s">
        <v>280</v>
      </c>
      <c r="D316" s="496" t="s">
        <v>153</v>
      </c>
      <c r="E316" s="496">
        <v>5</v>
      </c>
      <c r="F316" s="496">
        <v>6</v>
      </c>
      <c r="G316" s="497"/>
      <c r="H316" s="496"/>
      <c r="I316" s="496"/>
      <c r="J316" s="496"/>
    </row>
    <row r="317" spans="1:10">
      <c r="A317" s="504">
        <v>43867</v>
      </c>
      <c r="B317" s="500">
        <v>10</v>
      </c>
      <c r="C317" s="500" t="s">
        <v>280</v>
      </c>
      <c r="D317" s="500" t="s">
        <v>154</v>
      </c>
      <c r="E317" s="500">
        <v>1</v>
      </c>
      <c r="F317" s="500">
        <v>96</v>
      </c>
      <c r="G317" s="501"/>
      <c r="H317" s="500" t="s">
        <v>260</v>
      </c>
      <c r="I317" s="500"/>
      <c r="J317" s="500"/>
    </row>
    <row r="318" spans="1:10">
      <c r="A318" s="503">
        <v>43871</v>
      </c>
      <c r="B318" s="496">
        <v>14</v>
      </c>
      <c r="C318" s="496" t="s">
        <v>284</v>
      </c>
      <c r="D318" s="496" t="s">
        <v>147</v>
      </c>
      <c r="E318" s="496">
        <v>1</v>
      </c>
      <c r="F318" s="496">
        <v>96</v>
      </c>
      <c r="G318" s="497"/>
      <c r="H318" s="496"/>
      <c r="I318" s="496"/>
      <c r="J318" s="496"/>
    </row>
    <row r="319" spans="1:10">
      <c r="A319" s="504">
        <v>43873</v>
      </c>
      <c r="B319" s="500">
        <v>9</v>
      </c>
      <c r="C319" s="500" t="s">
        <v>284</v>
      </c>
      <c r="D319" s="500" t="s">
        <v>148</v>
      </c>
      <c r="E319" s="500">
        <v>1</v>
      </c>
      <c r="F319" s="500">
        <v>24</v>
      </c>
      <c r="G319" s="501"/>
      <c r="H319" s="500"/>
      <c r="I319" s="500"/>
      <c r="J319" s="500"/>
    </row>
    <row r="320" spans="1:10">
      <c r="A320" s="503">
        <v>43874</v>
      </c>
      <c r="B320" s="496">
        <v>11</v>
      </c>
      <c r="C320" s="496" t="s">
        <v>284</v>
      </c>
      <c r="D320" s="496" t="s">
        <v>153</v>
      </c>
      <c r="E320" s="496">
        <v>1</v>
      </c>
      <c r="F320" s="496">
        <v>24</v>
      </c>
      <c r="G320" s="497"/>
      <c r="H320" s="496"/>
      <c r="I320" s="496"/>
      <c r="J320" s="496"/>
    </row>
    <row r="321" spans="1:10">
      <c r="A321" s="504">
        <v>43875</v>
      </c>
      <c r="B321" s="500">
        <v>11</v>
      </c>
      <c r="C321" s="500" t="s">
        <v>284</v>
      </c>
      <c r="D321" s="500" t="s">
        <v>148</v>
      </c>
      <c r="E321" s="500">
        <v>1</v>
      </c>
      <c r="F321" s="500">
        <v>6</v>
      </c>
      <c r="G321" s="501"/>
      <c r="H321" s="500"/>
      <c r="I321" s="500"/>
      <c r="J321" s="500"/>
    </row>
    <row r="322" spans="1:10">
      <c r="A322" s="503">
        <v>43876</v>
      </c>
      <c r="B322" s="496">
        <v>10</v>
      </c>
      <c r="C322" s="496" t="s">
        <v>284</v>
      </c>
      <c r="D322" s="496" t="s">
        <v>153</v>
      </c>
      <c r="E322" s="496">
        <v>1</v>
      </c>
      <c r="F322" s="496">
        <v>6</v>
      </c>
      <c r="G322" s="497"/>
      <c r="H322" s="496"/>
      <c r="I322" s="496"/>
      <c r="J322" s="496"/>
    </row>
    <row r="323" spans="1:10">
      <c r="A323" s="504">
        <v>43877</v>
      </c>
      <c r="B323" s="500">
        <v>9</v>
      </c>
      <c r="C323" s="500" t="s">
        <v>284</v>
      </c>
      <c r="D323" s="500" t="s">
        <v>148</v>
      </c>
      <c r="E323" s="500">
        <v>1</v>
      </c>
      <c r="F323" s="500">
        <v>6</v>
      </c>
      <c r="G323" s="501"/>
      <c r="H323" s="500"/>
      <c r="I323" s="500"/>
      <c r="J323" s="500"/>
    </row>
    <row r="324" spans="1:10">
      <c r="A324" s="503">
        <v>43878</v>
      </c>
      <c r="B324" s="496">
        <v>9</v>
      </c>
      <c r="C324" s="496" t="s">
        <v>284</v>
      </c>
      <c r="D324" s="496" t="s">
        <v>153</v>
      </c>
      <c r="E324" s="496">
        <v>1</v>
      </c>
      <c r="F324" s="496">
        <v>6</v>
      </c>
      <c r="G324" s="497"/>
      <c r="H324" s="496"/>
      <c r="I324" s="496"/>
      <c r="J324" s="496"/>
    </row>
    <row r="325" spans="1:10">
      <c r="A325" s="504">
        <v>43880</v>
      </c>
      <c r="B325" s="500">
        <v>12</v>
      </c>
      <c r="C325" s="500" t="s">
        <v>284</v>
      </c>
      <c r="D325" s="500" t="s">
        <v>148</v>
      </c>
      <c r="E325" s="500">
        <v>5</v>
      </c>
      <c r="F325" s="500">
        <v>6</v>
      </c>
      <c r="G325" s="501"/>
      <c r="H325" s="500"/>
      <c r="I325" s="500"/>
      <c r="J325" s="500"/>
    </row>
    <row r="326" spans="1:10">
      <c r="A326" s="503">
        <v>43881</v>
      </c>
      <c r="B326" s="496">
        <v>10</v>
      </c>
      <c r="C326" s="496" t="s">
        <v>284</v>
      </c>
      <c r="D326" s="496" t="s">
        <v>153</v>
      </c>
      <c r="E326" s="496">
        <v>5</v>
      </c>
      <c r="F326" s="496">
        <v>6</v>
      </c>
      <c r="G326" s="497"/>
      <c r="H326" s="496"/>
      <c r="I326" s="496"/>
      <c r="J326" s="496"/>
    </row>
    <row r="327" spans="1:10">
      <c r="A327" s="504">
        <v>43882</v>
      </c>
      <c r="B327" s="500">
        <v>12</v>
      </c>
      <c r="C327" s="500" t="s">
        <v>284</v>
      </c>
      <c r="D327" s="500" t="s">
        <v>154</v>
      </c>
      <c r="E327" s="500">
        <v>1</v>
      </c>
      <c r="F327" s="500">
        <v>96</v>
      </c>
      <c r="G327" s="501" t="s">
        <v>412</v>
      </c>
      <c r="H327" s="500" t="s">
        <v>263</v>
      </c>
      <c r="I327" s="500"/>
      <c r="J327" s="500"/>
    </row>
    <row r="328" spans="1:10">
      <c r="A328" s="503">
        <v>43882</v>
      </c>
      <c r="B328" s="496">
        <v>14</v>
      </c>
      <c r="C328" s="496" t="s">
        <v>284</v>
      </c>
      <c r="D328" s="496" t="s">
        <v>152</v>
      </c>
      <c r="E328" s="496"/>
      <c r="F328" s="496"/>
      <c r="G328" s="497" t="s">
        <v>292</v>
      </c>
      <c r="H328" s="496"/>
      <c r="I328" s="496"/>
      <c r="J328" s="496"/>
    </row>
    <row r="329" spans="1:10">
      <c r="A329" s="504">
        <v>43883</v>
      </c>
      <c r="B329" s="500">
        <v>8</v>
      </c>
      <c r="C329" s="500" t="s">
        <v>290</v>
      </c>
      <c r="D329" s="500" t="s">
        <v>153</v>
      </c>
      <c r="E329" s="500">
        <v>1</v>
      </c>
      <c r="F329" s="500">
        <v>96</v>
      </c>
      <c r="G329" s="501"/>
      <c r="H329" s="500"/>
      <c r="I329" s="500"/>
      <c r="J329" s="500"/>
    </row>
    <row r="330" spans="1:10">
      <c r="A330" s="503">
        <v>43884</v>
      </c>
      <c r="B330" s="496">
        <v>11</v>
      </c>
      <c r="C330" s="496" t="s">
        <v>290</v>
      </c>
      <c r="D330" s="496" t="s">
        <v>147</v>
      </c>
      <c r="E330" s="496">
        <v>1</v>
      </c>
      <c r="F330" s="496">
        <v>96</v>
      </c>
      <c r="G330" s="497"/>
      <c r="H330" s="496"/>
      <c r="I330" s="496"/>
      <c r="J330" s="496"/>
    </row>
    <row r="331" spans="1:10">
      <c r="A331" s="504">
        <v>43884</v>
      </c>
      <c r="B331" s="500">
        <v>12</v>
      </c>
      <c r="C331" s="500" t="s">
        <v>290</v>
      </c>
      <c r="D331" s="500" t="s">
        <v>148</v>
      </c>
      <c r="E331" s="500">
        <v>1</v>
      </c>
      <c r="F331" s="500">
        <v>24</v>
      </c>
      <c r="G331" s="501"/>
      <c r="H331" s="500"/>
      <c r="I331" s="500"/>
      <c r="J331" s="500"/>
    </row>
    <row r="332" spans="1:10">
      <c r="A332" s="503">
        <v>43885</v>
      </c>
      <c r="B332" s="496">
        <v>10</v>
      </c>
      <c r="C332" s="496" t="s">
        <v>290</v>
      </c>
      <c r="D332" s="496" t="s">
        <v>153</v>
      </c>
      <c r="E332" s="496"/>
      <c r="F332" s="496"/>
      <c r="G332" s="497"/>
      <c r="H332" s="496"/>
      <c r="I332" s="496"/>
      <c r="J332" s="496"/>
    </row>
    <row r="333" spans="1:10">
      <c r="A333" s="504">
        <v>43890</v>
      </c>
      <c r="B333" s="500">
        <v>10</v>
      </c>
      <c r="C333" s="500" t="s">
        <v>290</v>
      </c>
      <c r="D333" s="500" t="s">
        <v>148</v>
      </c>
      <c r="E333" s="500">
        <v>1</v>
      </c>
      <c r="F333" s="500">
        <v>6</v>
      </c>
      <c r="G333" s="501"/>
      <c r="H333" s="500"/>
      <c r="I333" s="500"/>
      <c r="J333" s="500"/>
    </row>
    <row r="334" spans="1:10">
      <c r="A334" s="503">
        <v>43891</v>
      </c>
      <c r="B334" s="496">
        <v>7</v>
      </c>
      <c r="C334" s="496" t="s">
        <v>290</v>
      </c>
      <c r="D334" s="496" t="s">
        <v>148</v>
      </c>
      <c r="E334" s="496">
        <v>5</v>
      </c>
      <c r="F334" s="496">
        <v>6</v>
      </c>
      <c r="G334" s="497"/>
      <c r="H334" s="496"/>
      <c r="I334" s="496"/>
      <c r="J334" s="496"/>
    </row>
    <row r="335" spans="1:10">
      <c r="A335" s="504">
        <v>43892</v>
      </c>
      <c r="B335" s="500">
        <v>8</v>
      </c>
      <c r="C335" s="500" t="s">
        <v>290</v>
      </c>
      <c r="D335" s="500" t="s">
        <v>153</v>
      </c>
      <c r="E335" s="500">
        <v>5</v>
      </c>
      <c r="F335" s="500">
        <v>6</v>
      </c>
      <c r="G335" s="501"/>
      <c r="H335" s="500"/>
      <c r="I335" s="500"/>
      <c r="J335" s="500"/>
    </row>
    <row r="336" spans="1:10">
      <c r="A336" s="503">
        <v>43898</v>
      </c>
      <c r="B336" s="496">
        <v>7</v>
      </c>
      <c r="C336" s="496" t="s">
        <v>290</v>
      </c>
      <c r="D336" s="496" t="s">
        <v>152</v>
      </c>
      <c r="E336" s="496"/>
      <c r="F336" s="496"/>
      <c r="G336" s="497" t="s">
        <v>262</v>
      </c>
      <c r="H336" s="496"/>
      <c r="I336" s="496"/>
      <c r="J336" s="496"/>
    </row>
    <row r="337" spans="1:10">
      <c r="A337" s="504">
        <v>43883</v>
      </c>
      <c r="B337" s="500">
        <v>12</v>
      </c>
      <c r="C337" s="500" t="s">
        <v>311</v>
      </c>
      <c r="D337" s="500" t="s">
        <v>153</v>
      </c>
      <c r="E337" s="500">
        <v>1</v>
      </c>
      <c r="F337" s="500">
        <v>96</v>
      </c>
      <c r="G337" s="501"/>
      <c r="H337" s="500"/>
      <c r="I337" s="500"/>
      <c r="J337" s="500"/>
    </row>
    <row r="338" spans="1:10">
      <c r="A338" s="503">
        <v>43884</v>
      </c>
      <c r="B338" s="496">
        <v>13</v>
      </c>
      <c r="C338" s="496" t="s">
        <v>311</v>
      </c>
      <c r="D338" s="496" t="s">
        <v>147</v>
      </c>
      <c r="E338" s="496">
        <v>1</v>
      </c>
      <c r="F338" s="496">
        <v>96</v>
      </c>
      <c r="G338" s="497" t="s">
        <v>294</v>
      </c>
      <c r="H338" s="496"/>
      <c r="I338" s="496"/>
      <c r="J338" s="496"/>
    </row>
    <row r="339" spans="1:10">
      <c r="A339" s="504">
        <v>43884</v>
      </c>
      <c r="B339" s="500">
        <v>14</v>
      </c>
      <c r="C339" s="500" t="s">
        <v>311</v>
      </c>
      <c r="D339" s="500" t="s">
        <v>148</v>
      </c>
      <c r="E339" s="500">
        <v>1</v>
      </c>
      <c r="F339" s="500">
        <v>24</v>
      </c>
      <c r="G339" s="501" t="s">
        <v>294</v>
      </c>
      <c r="H339" s="500"/>
      <c r="I339" s="500"/>
      <c r="J339" s="500"/>
    </row>
    <row r="340" spans="1:10">
      <c r="A340" s="503">
        <v>43885</v>
      </c>
      <c r="B340" s="496">
        <v>11</v>
      </c>
      <c r="C340" s="496" t="s">
        <v>311</v>
      </c>
      <c r="D340" s="496" t="s">
        <v>153</v>
      </c>
      <c r="E340" s="496"/>
      <c r="F340" s="496"/>
      <c r="G340" s="497" t="s">
        <v>294</v>
      </c>
      <c r="H340" s="496"/>
      <c r="I340" s="496"/>
      <c r="J340" s="496"/>
    </row>
    <row r="341" spans="1:10">
      <c r="A341" s="504">
        <v>43890</v>
      </c>
      <c r="B341" s="500">
        <v>11</v>
      </c>
      <c r="C341" s="500" t="s">
        <v>311</v>
      </c>
      <c r="D341" s="500" t="s">
        <v>148</v>
      </c>
      <c r="E341" s="500">
        <v>1</v>
      </c>
      <c r="F341" s="500">
        <v>6</v>
      </c>
      <c r="G341" s="501" t="s">
        <v>294</v>
      </c>
      <c r="H341" s="500"/>
      <c r="I341" s="500"/>
      <c r="J341" s="500"/>
    </row>
    <row r="342" spans="1:10">
      <c r="A342" s="503">
        <v>43891</v>
      </c>
      <c r="B342" s="496">
        <v>8</v>
      </c>
      <c r="C342" s="496" t="s">
        <v>311</v>
      </c>
      <c r="D342" s="496" t="s">
        <v>148</v>
      </c>
      <c r="E342" s="496">
        <v>5</v>
      </c>
      <c r="F342" s="496">
        <v>6</v>
      </c>
      <c r="G342" s="497" t="s">
        <v>294</v>
      </c>
      <c r="H342" s="496"/>
      <c r="I342" s="496"/>
      <c r="J342" s="496"/>
    </row>
    <row r="343" spans="1:10">
      <c r="A343" s="504">
        <v>43892</v>
      </c>
      <c r="B343" s="500">
        <v>9</v>
      </c>
      <c r="C343" s="500" t="s">
        <v>311</v>
      </c>
      <c r="D343" s="500" t="s">
        <v>153</v>
      </c>
      <c r="E343" s="500">
        <v>5</v>
      </c>
      <c r="F343" s="500">
        <v>6</v>
      </c>
      <c r="G343" s="501"/>
      <c r="H343" s="500"/>
      <c r="I343" s="500"/>
      <c r="J343" s="500"/>
    </row>
    <row r="344" spans="1:10">
      <c r="A344" s="503">
        <v>43897</v>
      </c>
      <c r="B344" s="496">
        <v>7</v>
      </c>
      <c r="C344" s="496" t="s">
        <v>311</v>
      </c>
      <c r="D344" s="496" t="s">
        <v>152</v>
      </c>
      <c r="E344" s="496">
        <v>5</v>
      </c>
      <c r="F344" s="496" t="s">
        <v>411</v>
      </c>
      <c r="G344" s="497" t="s">
        <v>295</v>
      </c>
      <c r="H344" s="496"/>
      <c r="I344" s="496"/>
      <c r="J344" s="496"/>
    </row>
    <row r="345" spans="1:10">
      <c r="A345" s="504">
        <v>43928</v>
      </c>
      <c r="B345" s="500">
        <v>8</v>
      </c>
      <c r="C345" s="500" t="s">
        <v>311</v>
      </c>
      <c r="D345" s="500" t="s">
        <v>276</v>
      </c>
      <c r="E345" s="500"/>
      <c r="F345" s="500"/>
      <c r="G345" s="501" t="s">
        <v>312</v>
      </c>
      <c r="H345" s="500"/>
      <c r="I345" s="500"/>
      <c r="J345" s="500"/>
    </row>
    <row r="346" spans="1:10">
      <c r="A346" s="503">
        <v>44152</v>
      </c>
      <c r="B346" s="496">
        <v>10</v>
      </c>
      <c r="C346" s="496" t="s">
        <v>311</v>
      </c>
      <c r="D346" s="496" t="s">
        <v>146</v>
      </c>
      <c r="E346" s="496">
        <v>1</v>
      </c>
      <c r="F346" s="496">
        <v>6</v>
      </c>
      <c r="G346" s="497" t="s">
        <v>433</v>
      </c>
      <c r="H346" s="496"/>
      <c r="I346" s="496"/>
      <c r="J346" s="496"/>
    </row>
    <row r="347" spans="1:10">
      <c r="A347" s="504">
        <v>44153</v>
      </c>
      <c r="B347" s="500">
        <v>9</v>
      </c>
      <c r="C347" s="500" t="s">
        <v>311</v>
      </c>
      <c r="D347" s="500" t="s">
        <v>348</v>
      </c>
      <c r="E347" s="500">
        <v>1</v>
      </c>
      <c r="F347" s="500">
        <v>6</v>
      </c>
      <c r="G347" s="501"/>
      <c r="H347" s="500"/>
      <c r="I347" s="500"/>
      <c r="J347" s="500"/>
    </row>
    <row r="348" spans="1:10">
      <c r="A348" s="503">
        <v>44155</v>
      </c>
      <c r="B348" s="496">
        <v>12</v>
      </c>
      <c r="C348" s="496" t="s">
        <v>311</v>
      </c>
      <c r="D348" s="496" t="s">
        <v>348</v>
      </c>
      <c r="E348" s="496">
        <v>1</v>
      </c>
      <c r="F348" s="496">
        <v>6</v>
      </c>
      <c r="G348" s="497"/>
      <c r="H348" s="496"/>
      <c r="I348" s="496"/>
      <c r="J348" s="496"/>
    </row>
    <row r="349" spans="1:10">
      <c r="A349" s="504">
        <v>44157</v>
      </c>
      <c r="B349" s="500">
        <v>12</v>
      </c>
      <c r="C349" s="500" t="s">
        <v>311</v>
      </c>
      <c r="D349" s="500" t="s">
        <v>148</v>
      </c>
      <c r="E349" s="500">
        <v>5</v>
      </c>
      <c r="F349" s="500">
        <v>6</v>
      </c>
      <c r="G349" s="501"/>
      <c r="H349" s="500"/>
      <c r="I349" s="500"/>
      <c r="J349" s="500"/>
    </row>
    <row r="350" spans="1:10" ht="93">
      <c r="A350" s="503">
        <v>44158</v>
      </c>
      <c r="B350" s="496">
        <v>12</v>
      </c>
      <c r="C350" s="496" t="s">
        <v>311</v>
      </c>
      <c r="D350" s="496" t="s">
        <v>154</v>
      </c>
      <c r="E350" s="496">
        <v>1</v>
      </c>
      <c r="F350" s="496">
        <v>6</v>
      </c>
      <c r="G350" s="497" t="s">
        <v>446</v>
      </c>
      <c r="H350" s="496" t="s">
        <v>317</v>
      </c>
      <c r="I350" s="496"/>
      <c r="J350" s="496"/>
    </row>
    <row r="351" spans="1:10" ht="46.5">
      <c r="A351" s="504">
        <v>44159</v>
      </c>
      <c r="B351" s="500">
        <v>8</v>
      </c>
      <c r="C351" s="500" t="s">
        <v>311</v>
      </c>
      <c r="D351" s="500" t="s">
        <v>148</v>
      </c>
      <c r="E351" s="500"/>
      <c r="F351" s="500"/>
      <c r="G351" s="501" t="s">
        <v>448</v>
      </c>
      <c r="H351" s="500"/>
      <c r="I351" s="500"/>
      <c r="J351" s="500"/>
    </row>
    <row r="352" spans="1:10">
      <c r="A352" s="503">
        <v>44164</v>
      </c>
      <c r="B352" s="496">
        <v>14</v>
      </c>
      <c r="C352" s="496" t="s">
        <v>311</v>
      </c>
      <c r="D352" s="496" t="s">
        <v>276</v>
      </c>
      <c r="E352" s="496">
        <v>1</v>
      </c>
      <c r="F352" s="496"/>
      <c r="G352" s="497"/>
      <c r="H352" s="496"/>
      <c r="I352" s="496"/>
      <c r="J352" s="496"/>
    </row>
    <row r="353" spans="1:10">
      <c r="A353" s="504">
        <v>44159</v>
      </c>
      <c r="B353" s="500">
        <v>9</v>
      </c>
      <c r="C353" s="500" t="s">
        <v>445</v>
      </c>
      <c r="D353" s="500" t="s">
        <v>348</v>
      </c>
      <c r="E353" s="500">
        <v>1</v>
      </c>
      <c r="F353" s="500">
        <v>6</v>
      </c>
      <c r="G353" s="501"/>
      <c r="H353" s="500"/>
      <c r="I353" s="500"/>
      <c r="J353" s="500"/>
    </row>
    <row r="354" spans="1:10">
      <c r="A354" s="503">
        <v>44160</v>
      </c>
      <c r="B354" s="496">
        <v>10</v>
      </c>
      <c r="C354" s="496" t="s">
        <v>445</v>
      </c>
      <c r="D354" s="496" t="s">
        <v>348</v>
      </c>
      <c r="E354" s="496">
        <v>1</v>
      </c>
      <c r="F354" s="496">
        <v>6</v>
      </c>
      <c r="G354" s="497"/>
      <c r="H354" s="496"/>
      <c r="I354" s="496"/>
      <c r="J354" s="496"/>
    </row>
    <row r="355" spans="1:10">
      <c r="A355" s="504">
        <v>44162</v>
      </c>
      <c r="B355" s="500">
        <v>10</v>
      </c>
      <c r="C355" s="500" t="s">
        <v>445</v>
      </c>
      <c r="D355" s="500" t="s">
        <v>348</v>
      </c>
      <c r="E355" s="500">
        <v>1</v>
      </c>
      <c r="F355" s="500">
        <v>6</v>
      </c>
      <c r="G355" s="501"/>
      <c r="H355" s="500"/>
      <c r="I355" s="500"/>
      <c r="J355" s="500"/>
    </row>
    <row r="356" spans="1:10">
      <c r="A356" s="503">
        <v>44164</v>
      </c>
      <c r="B356" s="496">
        <v>9</v>
      </c>
      <c r="C356" s="496" t="s">
        <v>445</v>
      </c>
      <c r="D356" s="496" t="s">
        <v>148</v>
      </c>
      <c r="E356" s="496">
        <v>2</v>
      </c>
      <c r="F356" s="496">
        <v>6</v>
      </c>
      <c r="G356" s="497"/>
      <c r="H356" s="496"/>
      <c r="I356" s="496"/>
      <c r="J356" s="496"/>
    </row>
    <row r="357" spans="1:10">
      <c r="A357" s="504">
        <v>44165</v>
      </c>
      <c r="B357" s="500">
        <v>7</v>
      </c>
      <c r="C357" s="500" t="s">
        <v>445</v>
      </c>
      <c r="D357" s="500" t="s">
        <v>148</v>
      </c>
      <c r="E357" s="500">
        <v>5</v>
      </c>
      <c r="F357" s="500">
        <v>10</v>
      </c>
      <c r="G357" s="501"/>
      <c r="H357" s="500"/>
      <c r="I357" s="500"/>
      <c r="J357" s="500"/>
    </row>
    <row r="358" spans="1:10">
      <c r="A358" s="503">
        <v>44166</v>
      </c>
      <c r="B358" s="496">
        <v>7</v>
      </c>
      <c r="C358" s="496" t="s">
        <v>445</v>
      </c>
      <c r="D358" s="496" t="s">
        <v>348</v>
      </c>
      <c r="E358" s="496">
        <v>5</v>
      </c>
      <c r="F358" s="496">
        <v>10</v>
      </c>
      <c r="G358" s="497"/>
      <c r="H358" s="496"/>
      <c r="I358" s="496"/>
      <c r="J358" s="496"/>
    </row>
    <row r="359" spans="1:10">
      <c r="A359" s="504">
        <v>44168</v>
      </c>
      <c r="B359" s="500">
        <v>7</v>
      </c>
      <c r="C359" s="500" t="s">
        <v>445</v>
      </c>
      <c r="D359" s="500" t="s">
        <v>348</v>
      </c>
      <c r="E359" s="500">
        <v>5</v>
      </c>
      <c r="F359" s="500">
        <v>10</v>
      </c>
      <c r="G359" s="501"/>
      <c r="H359" s="500"/>
      <c r="I359" s="500"/>
      <c r="J359" s="500"/>
    </row>
    <row r="360" spans="1:10">
      <c r="A360" s="503">
        <v>44170</v>
      </c>
      <c r="B360" s="496">
        <v>8</v>
      </c>
      <c r="C360" s="496" t="s">
        <v>445</v>
      </c>
      <c r="D360" s="496" t="s">
        <v>348</v>
      </c>
      <c r="E360" s="496">
        <v>5</v>
      </c>
      <c r="F360" s="496">
        <v>10</v>
      </c>
      <c r="G360" s="497"/>
      <c r="H360" s="496"/>
      <c r="I360" s="496"/>
      <c r="J360" s="496"/>
    </row>
    <row r="361" spans="1:10">
      <c r="A361" s="504">
        <v>44171</v>
      </c>
      <c r="B361" s="500">
        <v>7</v>
      </c>
      <c r="C361" s="500" t="s">
        <v>445</v>
      </c>
      <c r="D361" s="500" t="s">
        <v>152</v>
      </c>
      <c r="E361" s="500">
        <v>40</v>
      </c>
      <c r="F361" s="500" t="s">
        <v>411</v>
      </c>
      <c r="G361" s="501" t="s">
        <v>460</v>
      </c>
      <c r="H361" s="500"/>
      <c r="I361" s="500"/>
      <c r="J361" s="500"/>
    </row>
    <row r="362" spans="1:10">
      <c r="A362" s="503">
        <v>44179</v>
      </c>
      <c r="B362" s="496">
        <v>7</v>
      </c>
      <c r="C362" s="496" t="s">
        <v>445</v>
      </c>
      <c r="D362" s="496" t="s">
        <v>276</v>
      </c>
      <c r="E362" s="496"/>
      <c r="F362" s="496"/>
      <c r="G362" s="497"/>
      <c r="H362" s="496"/>
      <c r="I362" s="496" t="s">
        <v>469</v>
      </c>
      <c r="J362" s="496" t="s">
        <v>470</v>
      </c>
    </row>
    <row r="363" spans="1:10">
      <c r="A363" s="504">
        <v>44183</v>
      </c>
      <c r="B363" s="500">
        <v>7</v>
      </c>
      <c r="C363" s="500" t="s">
        <v>445</v>
      </c>
      <c r="D363" s="500" t="s">
        <v>440</v>
      </c>
      <c r="E363" s="500"/>
      <c r="F363" s="500"/>
      <c r="G363" s="501" t="s">
        <v>457</v>
      </c>
      <c r="H363" s="500"/>
      <c r="I363" s="500" t="s">
        <v>469</v>
      </c>
      <c r="J363" s="500" t="s">
        <v>470</v>
      </c>
    </row>
    <row r="364" spans="1:10">
      <c r="A364" s="503">
        <v>44207</v>
      </c>
      <c r="B364" s="496">
        <v>12</v>
      </c>
      <c r="C364" s="496" t="s">
        <v>445</v>
      </c>
      <c r="D364" s="496" t="s">
        <v>146</v>
      </c>
      <c r="E364" s="496">
        <v>1</v>
      </c>
      <c r="F364" s="496">
        <v>6</v>
      </c>
      <c r="G364" s="497"/>
      <c r="H364" s="496"/>
      <c r="I364" s="496" t="s">
        <v>469</v>
      </c>
      <c r="J364" s="496" t="s">
        <v>470</v>
      </c>
    </row>
    <row r="365" spans="1:10">
      <c r="A365" s="504">
        <v>44208</v>
      </c>
      <c r="B365" s="500">
        <v>10</v>
      </c>
      <c r="C365" s="500" t="s">
        <v>445</v>
      </c>
      <c r="D365" s="500" t="s">
        <v>348</v>
      </c>
      <c r="E365" s="500">
        <v>1</v>
      </c>
      <c r="F365" s="500">
        <v>6</v>
      </c>
      <c r="G365" s="501"/>
      <c r="H365" s="500"/>
      <c r="I365" s="500" t="s">
        <v>469</v>
      </c>
      <c r="J365" s="500" t="s">
        <v>470</v>
      </c>
    </row>
    <row r="366" spans="1:10" ht="23.25">
      <c r="A366" s="503">
        <v>44209</v>
      </c>
      <c r="B366" s="496">
        <v>13</v>
      </c>
      <c r="C366" s="496" t="s">
        <v>445</v>
      </c>
      <c r="D366" s="496" t="s">
        <v>148</v>
      </c>
      <c r="E366" s="496"/>
      <c r="F366" s="496"/>
      <c r="G366" s="497" t="s">
        <v>499</v>
      </c>
      <c r="H366" s="496"/>
      <c r="I366" s="496" t="s">
        <v>506</v>
      </c>
      <c r="J366" s="496" t="s">
        <v>507</v>
      </c>
    </row>
    <row r="367" spans="1:10">
      <c r="A367" s="504">
        <v>44209</v>
      </c>
      <c r="B367" s="500">
        <v>18</v>
      </c>
      <c r="C367" s="500" t="s">
        <v>445</v>
      </c>
      <c r="D367" s="500" t="s">
        <v>440</v>
      </c>
      <c r="E367" s="500"/>
      <c r="F367" s="500"/>
      <c r="G367" s="501" t="s">
        <v>500</v>
      </c>
      <c r="H367" s="500"/>
      <c r="I367" s="500" t="s">
        <v>506</v>
      </c>
      <c r="J367" s="500" t="s">
        <v>507</v>
      </c>
    </row>
    <row r="368" spans="1:10">
      <c r="A368" s="503">
        <v>44212</v>
      </c>
      <c r="B368" s="496">
        <v>8</v>
      </c>
      <c r="C368" s="496" t="s">
        <v>445</v>
      </c>
      <c r="D368" s="496" t="s">
        <v>146</v>
      </c>
      <c r="E368" s="496">
        <v>1</v>
      </c>
      <c r="F368" s="496">
        <v>6</v>
      </c>
      <c r="G368" s="497" t="s">
        <v>509</v>
      </c>
      <c r="H368" s="496"/>
      <c r="I368" s="496" t="s">
        <v>469</v>
      </c>
      <c r="J368" s="496" t="s">
        <v>470</v>
      </c>
    </row>
    <row r="369" spans="1:10">
      <c r="A369" s="504">
        <v>44214</v>
      </c>
      <c r="B369" s="500">
        <v>12</v>
      </c>
      <c r="C369" s="500" t="s">
        <v>445</v>
      </c>
      <c r="D369" s="500" t="s">
        <v>148</v>
      </c>
      <c r="E369" s="500">
        <v>1</v>
      </c>
      <c r="F369" s="500">
        <v>6</v>
      </c>
      <c r="G369" s="501" t="s">
        <v>502</v>
      </c>
      <c r="H369" s="500"/>
      <c r="I369" s="500" t="s">
        <v>469</v>
      </c>
      <c r="J369" s="500" t="s">
        <v>470</v>
      </c>
    </row>
    <row r="370" spans="1:10">
      <c r="A370" s="503">
        <v>44216</v>
      </c>
      <c r="B370" s="496">
        <v>11</v>
      </c>
      <c r="C370" s="496" t="s">
        <v>445</v>
      </c>
      <c r="D370" s="496" t="s">
        <v>348</v>
      </c>
      <c r="E370" s="496">
        <v>1</v>
      </c>
      <c r="F370" s="496">
        <v>6</v>
      </c>
      <c r="G370" s="497"/>
      <c r="H370" s="496"/>
      <c r="I370" s="496" t="s">
        <v>469</v>
      </c>
      <c r="J370" s="496" t="s">
        <v>470</v>
      </c>
    </row>
    <row r="371" spans="1:10" ht="23.25">
      <c r="A371" s="504">
        <v>44217</v>
      </c>
      <c r="B371" s="500">
        <v>10</v>
      </c>
      <c r="C371" s="500" t="s">
        <v>445</v>
      </c>
      <c r="D371" s="500" t="s">
        <v>148</v>
      </c>
      <c r="E371" s="500"/>
      <c r="F371" s="500"/>
      <c r="G371" s="501" t="s">
        <v>503</v>
      </c>
      <c r="H371" s="500"/>
      <c r="I371" s="500" t="s">
        <v>469</v>
      </c>
      <c r="J371" s="500" t="s">
        <v>470</v>
      </c>
    </row>
    <row r="372" spans="1:10">
      <c r="A372" s="503">
        <v>43856</v>
      </c>
      <c r="B372" s="496">
        <v>8</v>
      </c>
      <c r="C372" s="496" t="s">
        <v>281</v>
      </c>
      <c r="D372" s="496" t="s">
        <v>148</v>
      </c>
      <c r="E372" s="496">
        <v>1</v>
      </c>
      <c r="F372" s="496">
        <v>24</v>
      </c>
      <c r="G372" s="497"/>
      <c r="H372" s="496"/>
      <c r="I372" s="496"/>
      <c r="J372" s="496"/>
    </row>
    <row r="373" spans="1:10">
      <c r="A373" s="504">
        <v>43861</v>
      </c>
      <c r="B373" s="500">
        <v>12</v>
      </c>
      <c r="C373" s="500" t="s">
        <v>281</v>
      </c>
      <c r="D373" s="500" t="s">
        <v>148</v>
      </c>
      <c r="E373" s="500">
        <v>1</v>
      </c>
      <c r="F373" s="500">
        <v>6</v>
      </c>
      <c r="G373" s="501"/>
      <c r="H373" s="500"/>
      <c r="I373" s="500"/>
      <c r="J373" s="500"/>
    </row>
    <row r="374" spans="1:10">
      <c r="A374" s="503">
        <v>43862</v>
      </c>
      <c r="B374" s="496">
        <v>8</v>
      </c>
      <c r="C374" s="496" t="s">
        <v>281</v>
      </c>
      <c r="D374" s="496" t="s">
        <v>153</v>
      </c>
      <c r="E374" s="496">
        <v>1</v>
      </c>
      <c r="F374" s="496">
        <v>6</v>
      </c>
      <c r="G374" s="497"/>
      <c r="H374" s="496"/>
      <c r="I374" s="496"/>
      <c r="J374" s="496"/>
    </row>
    <row r="375" spans="1:10">
      <c r="A375" s="504">
        <v>43864</v>
      </c>
      <c r="B375" s="500">
        <v>12</v>
      </c>
      <c r="C375" s="500" t="s">
        <v>281</v>
      </c>
      <c r="D375" s="500" t="s">
        <v>148</v>
      </c>
      <c r="E375" s="500">
        <v>5</v>
      </c>
      <c r="F375" s="500">
        <v>6</v>
      </c>
      <c r="G375" s="501"/>
      <c r="H375" s="500"/>
      <c r="I375" s="500"/>
      <c r="J375" s="500"/>
    </row>
    <row r="376" spans="1:10">
      <c r="A376" s="503">
        <v>43865</v>
      </c>
      <c r="B376" s="496">
        <v>13</v>
      </c>
      <c r="C376" s="496" t="s">
        <v>281</v>
      </c>
      <c r="D376" s="496" t="s">
        <v>153</v>
      </c>
      <c r="E376" s="496">
        <v>5</v>
      </c>
      <c r="F376" s="496">
        <v>6</v>
      </c>
      <c r="G376" s="497"/>
      <c r="H376" s="496"/>
      <c r="I376" s="496"/>
      <c r="J376" s="496"/>
    </row>
    <row r="377" spans="1:10">
      <c r="A377" s="504">
        <v>43867</v>
      </c>
      <c r="B377" s="500">
        <v>11</v>
      </c>
      <c r="C377" s="500" t="s">
        <v>281</v>
      </c>
      <c r="D377" s="500" t="s">
        <v>154</v>
      </c>
      <c r="E377" s="500">
        <v>1</v>
      </c>
      <c r="F377" s="500">
        <v>96</v>
      </c>
      <c r="G377" s="501"/>
      <c r="H377" s="500" t="s">
        <v>260</v>
      </c>
      <c r="I377" s="500"/>
      <c r="J377" s="500"/>
    </row>
    <row r="378" spans="1:10">
      <c r="A378" s="503">
        <v>43871</v>
      </c>
      <c r="B378" s="496">
        <v>15</v>
      </c>
      <c r="C378" s="496" t="s">
        <v>285</v>
      </c>
      <c r="D378" s="496" t="s">
        <v>147</v>
      </c>
      <c r="E378" s="496">
        <v>1</v>
      </c>
      <c r="F378" s="496">
        <v>96</v>
      </c>
      <c r="G378" s="497"/>
      <c r="H378" s="496"/>
      <c r="I378" s="496"/>
      <c r="J378" s="496"/>
    </row>
    <row r="379" spans="1:10">
      <c r="A379" s="504">
        <v>43873</v>
      </c>
      <c r="B379" s="500">
        <v>10</v>
      </c>
      <c r="C379" s="500" t="s">
        <v>285</v>
      </c>
      <c r="D379" s="500" t="s">
        <v>148</v>
      </c>
      <c r="E379" s="500">
        <v>1</v>
      </c>
      <c r="F379" s="500">
        <v>24</v>
      </c>
      <c r="G379" s="501"/>
      <c r="H379" s="500"/>
      <c r="I379" s="500"/>
      <c r="J379" s="500"/>
    </row>
    <row r="380" spans="1:10">
      <c r="A380" s="503">
        <v>43874</v>
      </c>
      <c r="B380" s="496">
        <v>12</v>
      </c>
      <c r="C380" s="496" t="s">
        <v>285</v>
      </c>
      <c r="D380" s="496" t="s">
        <v>153</v>
      </c>
      <c r="E380" s="496">
        <v>1</v>
      </c>
      <c r="F380" s="496">
        <v>24</v>
      </c>
      <c r="G380" s="497"/>
      <c r="H380" s="496"/>
      <c r="I380" s="496"/>
      <c r="J380" s="496"/>
    </row>
    <row r="381" spans="1:10">
      <c r="A381" s="504">
        <v>43875</v>
      </c>
      <c r="B381" s="500">
        <v>12</v>
      </c>
      <c r="C381" s="500" t="s">
        <v>285</v>
      </c>
      <c r="D381" s="500" t="s">
        <v>148</v>
      </c>
      <c r="E381" s="500">
        <v>1</v>
      </c>
      <c r="F381" s="500">
        <v>6</v>
      </c>
      <c r="G381" s="501"/>
      <c r="H381" s="500"/>
      <c r="I381" s="500"/>
      <c r="J381" s="500"/>
    </row>
    <row r="382" spans="1:10">
      <c r="A382" s="503">
        <v>43876</v>
      </c>
      <c r="B382" s="496">
        <v>11</v>
      </c>
      <c r="C382" s="496" t="s">
        <v>285</v>
      </c>
      <c r="D382" s="496" t="s">
        <v>153</v>
      </c>
      <c r="E382" s="496">
        <v>1</v>
      </c>
      <c r="F382" s="496">
        <v>6</v>
      </c>
      <c r="G382" s="497"/>
      <c r="H382" s="496"/>
      <c r="I382" s="496"/>
      <c r="J382" s="496"/>
    </row>
    <row r="383" spans="1:10">
      <c r="A383" s="504">
        <v>43878</v>
      </c>
      <c r="B383" s="500">
        <v>10</v>
      </c>
      <c r="C383" s="500" t="s">
        <v>285</v>
      </c>
      <c r="D383" s="500" t="s">
        <v>148</v>
      </c>
      <c r="E383" s="500">
        <v>5</v>
      </c>
      <c r="F383" s="500">
        <v>6</v>
      </c>
      <c r="G383" s="501"/>
      <c r="H383" s="500"/>
      <c r="I383" s="500"/>
      <c r="J383" s="500"/>
    </row>
    <row r="384" spans="1:10">
      <c r="A384" s="503">
        <v>43879</v>
      </c>
      <c r="B384" s="496">
        <v>9</v>
      </c>
      <c r="C384" s="496" t="s">
        <v>285</v>
      </c>
      <c r="D384" s="496" t="s">
        <v>153</v>
      </c>
      <c r="E384" s="496">
        <v>5</v>
      </c>
      <c r="F384" s="496">
        <v>6</v>
      </c>
      <c r="G384" s="497"/>
      <c r="H384" s="496"/>
      <c r="I384" s="496"/>
      <c r="J384" s="496"/>
    </row>
    <row r="385" spans="1:10">
      <c r="A385" s="504">
        <v>43883</v>
      </c>
      <c r="B385" s="500">
        <v>10</v>
      </c>
      <c r="C385" s="500" t="s">
        <v>285</v>
      </c>
      <c r="D385" s="500" t="s">
        <v>154</v>
      </c>
      <c r="E385" s="500">
        <v>1</v>
      </c>
      <c r="F385" s="500">
        <v>96</v>
      </c>
      <c r="G385" s="501"/>
      <c r="H385" s="500" t="s">
        <v>263</v>
      </c>
      <c r="I385" s="500"/>
      <c r="J385" s="500"/>
    </row>
    <row r="386" spans="1:10">
      <c r="A386" s="503">
        <v>43883</v>
      </c>
      <c r="B386" s="496">
        <v>11</v>
      </c>
      <c r="C386" s="496" t="s">
        <v>285</v>
      </c>
      <c r="D386" s="496" t="s">
        <v>152</v>
      </c>
      <c r="E386" s="496">
        <v>4</v>
      </c>
      <c r="F386" s="496" t="s">
        <v>411</v>
      </c>
      <c r="G386" s="497" t="s">
        <v>272</v>
      </c>
      <c r="H386" s="496"/>
      <c r="I386" s="496"/>
      <c r="J386" s="496"/>
    </row>
    <row r="387" spans="1:10">
      <c r="A387" s="504">
        <v>43886</v>
      </c>
      <c r="B387" s="500">
        <v>8</v>
      </c>
      <c r="C387" s="500" t="s">
        <v>285</v>
      </c>
      <c r="D387" s="500" t="s">
        <v>417</v>
      </c>
      <c r="E387" s="500"/>
      <c r="F387" s="500"/>
      <c r="G387" s="501" t="s">
        <v>435</v>
      </c>
      <c r="H387" s="500"/>
      <c r="I387" s="500"/>
      <c r="J387" s="500"/>
    </row>
    <row r="388" spans="1:10">
      <c r="A388" s="503">
        <v>43856</v>
      </c>
      <c r="B388" s="496">
        <v>9</v>
      </c>
      <c r="C388" s="496" t="s">
        <v>282</v>
      </c>
      <c r="D388" s="496" t="s">
        <v>148</v>
      </c>
      <c r="E388" s="496">
        <v>1</v>
      </c>
      <c r="F388" s="496">
        <v>24</v>
      </c>
      <c r="G388" s="497"/>
      <c r="H388" s="496"/>
      <c r="I388" s="496"/>
      <c r="J388" s="496"/>
    </row>
    <row r="389" spans="1:10">
      <c r="A389" s="504">
        <v>43861</v>
      </c>
      <c r="B389" s="500">
        <v>13</v>
      </c>
      <c r="C389" s="500" t="s">
        <v>282</v>
      </c>
      <c r="D389" s="500" t="s">
        <v>148</v>
      </c>
      <c r="E389" s="500">
        <v>1</v>
      </c>
      <c r="F389" s="500">
        <v>6</v>
      </c>
      <c r="G389" s="501"/>
      <c r="H389" s="500"/>
      <c r="I389" s="500"/>
      <c r="J389" s="500"/>
    </row>
    <row r="390" spans="1:10">
      <c r="A390" s="503">
        <v>43862</v>
      </c>
      <c r="B390" s="496">
        <v>9</v>
      </c>
      <c r="C390" s="496" t="s">
        <v>282</v>
      </c>
      <c r="D390" s="496" t="s">
        <v>153</v>
      </c>
      <c r="E390" s="496">
        <v>1</v>
      </c>
      <c r="F390" s="496">
        <v>6</v>
      </c>
      <c r="G390" s="497"/>
      <c r="H390" s="496"/>
      <c r="I390" s="496"/>
      <c r="J390" s="496"/>
    </row>
    <row r="391" spans="1:10">
      <c r="A391" s="504">
        <v>43864</v>
      </c>
      <c r="B391" s="500">
        <v>13</v>
      </c>
      <c r="C391" s="500" t="s">
        <v>282</v>
      </c>
      <c r="D391" s="500" t="s">
        <v>148</v>
      </c>
      <c r="E391" s="500">
        <v>5</v>
      </c>
      <c r="F391" s="500">
        <v>6</v>
      </c>
      <c r="G391" s="501"/>
      <c r="H391" s="500"/>
      <c r="I391" s="500"/>
      <c r="J391" s="500"/>
    </row>
    <row r="392" spans="1:10">
      <c r="A392" s="503">
        <v>43865</v>
      </c>
      <c r="B392" s="496">
        <v>14</v>
      </c>
      <c r="C392" s="496" t="s">
        <v>282</v>
      </c>
      <c r="D392" s="496" t="s">
        <v>153</v>
      </c>
      <c r="E392" s="496">
        <v>5</v>
      </c>
      <c r="F392" s="496">
        <v>6</v>
      </c>
      <c r="G392" s="497"/>
      <c r="H392" s="496"/>
      <c r="I392" s="496"/>
      <c r="J392" s="496"/>
    </row>
    <row r="393" spans="1:10">
      <c r="A393" s="504">
        <v>43867</v>
      </c>
      <c r="B393" s="500">
        <v>12</v>
      </c>
      <c r="C393" s="500" t="s">
        <v>282</v>
      </c>
      <c r="D393" s="500" t="s">
        <v>154</v>
      </c>
      <c r="E393" s="500">
        <v>1</v>
      </c>
      <c r="F393" s="500">
        <v>96</v>
      </c>
      <c r="G393" s="501"/>
      <c r="H393" s="500" t="s">
        <v>260</v>
      </c>
      <c r="I393" s="500"/>
      <c r="J393" s="500"/>
    </row>
    <row r="394" spans="1:10">
      <c r="A394" s="503">
        <v>43869</v>
      </c>
      <c r="B394" s="496">
        <v>9</v>
      </c>
      <c r="C394" s="496" t="s">
        <v>286</v>
      </c>
      <c r="D394" s="496" t="s">
        <v>148</v>
      </c>
      <c r="E394" s="496">
        <v>1</v>
      </c>
      <c r="F394" s="496">
        <v>24</v>
      </c>
      <c r="G394" s="497"/>
      <c r="H394" s="496"/>
      <c r="I394" s="496"/>
      <c r="J394" s="496"/>
    </row>
    <row r="395" spans="1:10" ht="23.25">
      <c r="A395" s="504">
        <v>43874</v>
      </c>
      <c r="B395" s="500">
        <v>13</v>
      </c>
      <c r="C395" s="500" t="s">
        <v>286</v>
      </c>
      <c r="D395" s="500" t="s">
        <v>417</v>
      </c>
      <c r="E395" s="500"/>
      <c r="F395" s="500"/>
      <c r="G395" s="501" t="s">
        <v>288</v>
      </c>
      <c r="H395" s="500"/>
      <c r="I395" s="500"/>
      <c r="J395" s="500"/>
    </row>
    <row r="396" spans="1:10">
      <c r="A396" s="503">
        <v>44057</v>
      </c>
      <c r="B396" s="496">
        <v>8</v>
      </c>
      <c r="C396" s="496" t="s">
        <v>286</v>
      </c>
      <c r="D396" s="496" t="s">
        <v>154</v>
      </c>
      <c r="E396" s="496"/>
      <c r="F396" s="496"/>
      <c r="G396" s="497"/>
      <c r="H396" s="496" t="s">
        <v>263</v>
      </c>
      <c r="I396" s="496"/>
      <c r="J396" s="496"/>
    </row>
    <row r="397" spans="1:10">
      <c r="A397" s="504">
        <v>43856</v>
      </c>
      <c r="B397" s="500">
        <v>10</v>
      </c>
      <c r="C397" s="500" t="s">
        <v>283</v>
      </c>
      <c r="D397" s="500" t="s">
        <v>148</v>
      </c>
      <c r="E397" s="500">
        <v>1</v>
      </c>
      <c r="F397" s="500">
        <v>24</v>
      </c>
      <c r="G397" s="501"/>
      <c r="H397" s="500"/>
      <c r="I397" s="500"/>
      <c r="J397" s="500"/>
    </row>
    <row r="398" spans="1:10">
      <c r="A398" s="503">
        <v>43861</v>
      </c>
      <c r="B398" s="496">
        <v>14</v>
      </c>
      <c r="C398" s="496" t="s">
        <v>283</v>
      </c>
      <c r="D398" s="496" t="s">
        <v>148</v>
      </c>
      <c r="E398" s="496">
        <v>1</v>
      </c>
      <c r="F398" s="496">
        <v>6</v>
      </c>
      <c r="G398" s="497"/>
      <c r="H398" s="496"/>
      <c r="I398" s="496"/>
      <c r="J398" s="496"/>
    </row>
    <row r="399" spans="1:10">
      <c r="A399" s="504">
        <v>43862</v>
      </c>
      <c r="B399" s="500">
        <v>10</v>
      </c>
      <c r="C399" s="500" t="s">
        <v>283</v>
      </c>
      <c r="D399" s="500" t="s">
        <v>153</v>
      </c>
      <c r="E399" s="500">
        <v>1</v>
      </c>
      <c r="F399" s="500">
        <v>6</v>
      </c>
      <c r="G399" s="501"/>
      <c r="H399" s="500"/>
      <c r="I399" s="500"/>
      <c r="J399" s="500"/>
    </row>
    <row r="400" spans="1:10">
      <c r="A400" s="503">
        <v>43864</v>
      </c>
      <c r="B400" s="496">
        <v>14</v>
      </c>
      <c r="C400" s="496" t="s">
        <v>283</v>
      </c>
      <c r="D400" s="496" t="s">
        <v>148</v>
      </c>
      <c r="E400" s="496">
        <v>5</v>
      </c>
      <c r="F400" s="496">
        <v>6</v>
      </c>
      <c r="G400" s="497"/>
      <c r="H400" s="496"/>
      <c r="I400" s="496"/>
      <c r="J400" s="496"/>
    </row>
    <row r="401" spans="1:10">
      <c r="A401" s="504">
        <v>43865</v>
      </c>
      <c r="B401" s="500">
        <v>15</v>
      </c>
      <c r="C401" s="500" t="s">
        <v>283</v>
      </c>
      <c r="D401" s="500" t="s">
        <v>153</v>
      </c>
      <c r="E401" s="500">
        <v>5</v>
      </c>
      <c r="F401" s="500">
        <v>6</v>
      </c>
      <c r="G401" s="501"/>
      <c r="H401" s="500"/>
      <c r="I401" s="500"/>
      <c r="J401" s="500"/>
    </row>
    <row r="402" spans="1:10">
      <c r="A402" s="503">
        <v>43867</v>
      </c>
      <c r="B402" s="496">
        <v>13</v>
      </c>
      <c r="C402" s="496" t="s">
        <v>283</v>
      </c>
      <c r="D402" s="496" t="s">
        <v>154</v>
      </c>
      <c r="E402" s="496">
        <v>1</v>
      </c>
      <c r="F402" s="496">
        <v>96</v>
      </c>
      <c r="G402" s="497"/>
      <c r="H402" s="496" t="s">
        <v>260</v>
      </c>
      <c r="I402" s="496"/>
      <c r="J402" s="496"/>
    </row>
    <row r="403" spans="1:10">
      <c r="A403" s="504">
        <v>43869</v>
      </c>
      <c r="B403" s="500">
        <v>10</v>
      </c>
      <c r="C403" s="500" t="s">
        <v>287</v>
      </c>
      <c r="D403" s="500" t="s">
        <v>148</v>
      </c>
      <c r="E403" s="500">
        <v>1</v>
      </c>
      <c r="F403" s="500">
        <v>24</v>
      </c>
      <c r="G403" s="501"/>
      <c r="H403" s="500"/>
      <c r="I403" s="500"/>
      <c r="J403" s="500"/>
    </row>
    <row r="404" spans="1:10" ht="23.25">
      <c r="A404" s="503">
        <v>43874</v>
      </c>
      <c r="B404" s="496">
        <v>14</v>
      </c>
      <c r="C404" s="496" t="s">
        <v>287</v>
      </c>
      <c r="D404" s="496" t="s">
        <v>417</v>
      </c>
      <c r="E404" s="496"/>
      <c r="F404" s="496"/>
      <c r="G404" s="497" t="s">
        <v>288</v>
      </c>
      <c r="H404" s="496"/>
      <c r="I404" s="496"/>
      <c r="J404" s="496"/>
    </row>
    <row r="405" spans="1:10" ht="23.25">
      <c r="A405" s="504">
        <v>43881</v>
      </c>
      <c r="B405" s="500">
        <v>7</v>
      </c>
      <c r="C405" s="500" t="s">
        <v>237</v>
      </c>
      <c r="D405" s="500" t="s">
        <v>149</v>
      </c>
      <c r="E405" s="500">
        <v>96</v>
      </c>
      <c r="F405" s="500">
        <v>96</v>
      </c>
      <c r="G405" s="501" t="s">
        <v>243</v>
      </c>
      <c r="H405" s="500" t="s">
        <v>149</v>
      </c>
      <c r="I405" s="500"/>
      <c r="J405" s="500"/>
    </row>
    <row r="406" spans="1:10">
      <c r="A406" s="503">
        <v>43882</v>
      </c>
      <c r="B406" s="496">
        <v>7</v>
      </c>
      <c r="C406" s="496" t="s">
        <v>237</v>
      </c>
      <c r="D406" s="496" t="s">
        <v>153</v>
      </c>
      <c r="E406" s="496">
        <v>96</v>
      </c>
      <c r="F406" s="496">
        <v>96</v>
      </c>
      <c r="G406" s="497"/>
      <c r="H406" s="496"/>
      <c r="I406" s="496"/>
      <c r="J406" s="496"/>
    </row>
    <row r="407" spans="1:10">
      <c r="A407" s="504">
        <v>43883</v>
      </c>
      <c r="B407" s="500">
        <v>7</v>
      </c>
      <c r="C407" s="500" t="s">
        <v>237</v>
      </c>
      <c r="D407" s="500" t="s">
        <v>153</v>
      </c>
      <c r="E407" s="500"/>
      <c r="F407" s="500"/>
      <c r="G407" s="501"/>
      <c r="H407" s="500"/>
      <c r="I407" s="500"/>
      <c r="J407" s="500"/>
    </row>
    <row r="408" spans="1:10">
      <c r="A408" s="503">
        <v>43884</v>
      </c>
      <c r="B408" s="496">
        <v>15</v>
      </c>
      <c r="C408" s="496" t="s">
        <v>237</v>
      </c>
      <c r="D408" s="496" t="s">
        <v>147</v>
      </c>
      <c r="E408" s="496">
        <v>96</v>
      </c>
      <c r="F408" s="496">
        <v>96</v>
      </c>
      <c r="G408" s="497"/>
      <c r="H408" s="496"/>
      <c r="I408" s="496"/>
      <c r="J408" s="496"/>
    </row>
    <row r="409" spans="1:10">
      <c r="A409" s="504">
        <v>43885</v>
      </c>
      <c r="B409" s="500">
        <v>7</v>
      </c>
      <c r="C409" s="500" t="s">
        <v>237</v>
      </c>
      <c r="D409" s="500" t="s">
        <v>147</v>
      </c>
      <c r="E409" s="500">
        <v>93</v>
      </c>
      <c r="F409" s="500">
        <v>96</v>
      </c>
      <c r="G409" s="501"/>
      <c r="H409" s="500"/>
      <c r="I409" s="500"/>
      <c r="J409" s="500"/>
    </row>
    <row r="410" spans="1:10">
      <c r="A410" s="503">
        <v>43888</v>
      </c>
      <c r="B410" s="496">
        <v>7</v>
      </c>
      <c r="C410" s="496" t="s">
        <v>237</v>
      </c>
      <c r="D410" s="496" t="s">
        <v>147</v>
      </c>
      <c r="E410" s="496">
        <v>79</v>
      </c>
      <c r="F410" s="496">
        <v>96</v>
      </c>
      <c r="G410" s="497"/>
      <c r="H410" s="496"/>
      <c r="I410" s="496"/>
      <c r="J410" s="496"/>
    </row>
    <row r="411" spans="1:10">
      <c r="A411" s="504">
        <v>43889</v>
      </c>
      <c r="B411" s="500">
        <v>7</v>
      </c>
      <c r="C411" s="500" t="s">
        <v>237</v>
      </c>
      <c r="D411" s="500" t="s">
        <v>147</v>
      </c>
      <c r="E411" s="500">
        <v>61</v>
      </c>
      <c r="F411" s="500">
        <v>96</v>
      </c>
      <c r="G411" s="501"/>
      <c r="H411" s="500"/>
      <c r="I411" s="500"/>
      <c r="J411" s="500"/>
    </row>
    <row r="412" spans="1:10">
      <c r="A412" s="503">
        <v>43890</v>
      </c>
      <c r="B412" s="496">
        <v>7</v>
      </c>
      <c r="C412" s="496" t="s">
        <v>237</v>
      </c>
      <c r="D412" s="496" t="s">
        <v>147</v>
      </c>
      <c r="E412" s="496">
        <v>19</v>
      </c>
      <c r="F412" s="496">
        <v>96</v>
      </c>
      <c r="G412" s="497"/>
      <c r="H412" s="496"/>
      <c r="I412" s="496"/>
      <c r="J412" s="496"/>
    </row>
    <row r="413" spans="1:10">
      <c r="A413" s="504">
        <v>43891</v>
      </c>
      <c r="B413" s="500">
        <v>9</v>
      </c>
      <c r="C413" s="500" t="s">
        <v>296</v>
      </c>
      <c r="D413" s="500" t="s">
        <v>148</v>
      </c>
      <c r="E413" s="500">
        <v>1</v>
      </c>
      <c r="F413" s="500">
        <v>24</v>
      </c>
      <c r="G413" s="501"/>
      <c r="H413" s="500"/>
      <c r="I413" s="500"/>
      <c r="J413" s="500"/>
    </row>
    <row r="414" spans="1:10">
      <c r="A414" s="503">
        <v>43892</v>
      </c>
      <c r="B414" s="496">
        <v>10</v>
      </c>
      <c r="C414" s="496" t="s">
        <v>296</v>
      </c>
      <c r="D414" s="496" t="s">
        <v>153</v>
      </c>
      <c r="E414" s="496">
        <v>1</v>
      </c>
      <c r="F414" s="496">
        <v>24</v>
      </c>
      <c r="G414" s="497"/>
      <c r="H414" s="496"/>
      <c r="I414" s="496"/>
      <c r="J414" s="496"/>
    </row>
    <row r="415" spans="1:10">
      <c r="A415" s="504">
        <v>43893</v>
      </c>
      <c r="B415" s="500">
        <v>7</v>
      </c>
      <c r="C415" s="500" t="s">
        <v>296</v>
      </c>
      <c r="D415" s="500" t="s">
        <v>147</v>
      </c>
      <c r="E415" s="500">
        <v>1</v>
      </c>
      <c r="F415" s="500">
        <v>24</v>
      </c>
      <c r="G415" s="501"/>
      <c r="H415" s="500"/>
      <c r="I415" s="500"/>
      <c r="J415" s="500"/>
    </row>
    <row r="416" spans="1:10">
      <c r="A416" s="503">
        <v>43895</v>
      </c>
      <c r="B416" s="496">
        <v>7</v>
      </c>
      <c r="C416" s="496" t="s">
        <v>296</v>
      </c>
      <c r="D416" s="496" t="s">
        <v>148</v>
      </c>
      <c r="E416" s="496">
        <v>1</v>
      </c>
      <c r="F416" s="496">
        <v>6</v>
      </c>
      <c r="G416" s="497"/>
      <c r="H416" s="496"/>
      <c r="I416" s="496"/>
      <c r="J416" s="496"/>
    </row>
    <row r="417" spans="1:10">
      <c r="A417" s="504">
        <v>43896</v>
      </c>
      <c r="B417" s="500">
        <v>7</v>
      </c>
      <c r="C417" s="500" t="s">
        <v>296</v>
      </c>
      <c r="D417" s="500" t="s">
        <v>153</v>
      </c>
      <c r="E417" s="500">
        <v>1</v>
      </c>
      <c r="F417" s="500">
        <v>6</v>
      </c>
      <c r="G417" s="501"/>
      <c r="H417" s="500"/>
      <c r="I417" s="500"/>
      <c r="J417" s="500"/>
    </row>
    <row r="418" spans="1:10">
      <c r="A418" s="503">
        <v>43899</v>
      </c>
      <c r="B418" s="496">
        <v>8</v>
      </c>
      <c r="C418" s="496" t="s">
        <v>296</v>
      </c>
      <c r="D418" s="496" t="s">
        <v>148</v>
      </c>
      <c r="E418" s="496">
        <v>5</v>
      </c>
      <c r="F418" s="496">
        <v>6</v>
      </c>
      <c r="G418" s="497"/>
      <c r="H418" s="496"/>
      <c r="I418" s="496"/>
      <c r="J418" s="496"/>
    </row>
    <row r="419" spans="1:10">
      <c r="A419" s="504">
        <v>43900</v>
      </c>
      <c r="B419" s="500">
        <v>13</v>
      </c>
      <c r="C419" s="500" t="s">
        <v>296</v>
      </c>
      <c r="D419" s="500" t="s">
        <v>153</v>
      </c>
      <c r="E419" s="500">
        <v>5</v>
      </c>
      <c r="F419" s="500">
        <v>6</v>
      </c>
      <c r="G419" s="501"/>
      <c r="H419" s="500"/>
      <c r="I419" s="500"/>
      <c r="J419" s="500"/>
    </row>
    <row r="420" spans="1:10">
      <c r="A420" s="503">
        <v>43902</v>
      </c>
      <c r="B420" s="496">
        <v>7</v>
      </c>
      <c r="C420" s="496" t="s">
        <v>296</v>
      </c>
      <c r="D420" s="496" t="s">
        <v>147</v>
      </c>
      <c r="E420" s="496"/>
      <c r="F420" s="496"/>
      <c r="G420" s="497"/>
      <c r="H420" s="496"/>
      <c r="I420" s="496"/>
      <c r="J420" s="496"/>
    </row>
    <row r="421" spans="1:10">
      <c r="A421" s="504">
        <v>43902</v>
      </c>
      <c r="B421" s="500">
        <v>8</v>
      </c>
      <c r="C421" s="500" t="s">
        <v>296</v>
      </c>
      <c r="D421" s="500" t="s">
        <v>152</v>
      </c>
      <c r="E421" s="500"/>
      <c r="F421" s="500"/>
      <c r="G421" s="501" t="s">
        <v>272</v>
      </c>
      <c r="H421" s="500"/>
      <c r="I421" s="500"/>
      <c r="J421" s="500"/>
    </row>
    <row r="422" spans="1:10">
      <c r="A422" s="503">
        <v>43902</v>
      </c>
      <c r="B422" s="496">
        <v>9</v>
      </c>
      <c r="C422" s="496" t="s">
        <v>296</v>
      </c>
      <c r="D422" s="496" t="s">
        <v>154</v>
      </c>
      <c r="E422" s="496"/>
      <c r="F422" s="496"/>
      <c r="G422" s="497"/>
      <c r="H422" s="496" t="s">
        <v>260</v>
      </c>
      <c r="I422" s="496"/>
      <c r="J422" s="496"/>
    </row>
    <row r="423" spans="1:10">
      <c r="A423" s="504">
        <v>43905</v>
      </c>
      <c r="B423" s="500">
        <v>7</v>
      </c>
      <c r="C423" s="500" t="s">
        <v>305</v>
      </c>
      <c r="D423" s="500" t="s">
        <v>147</v>
      </c>
      <c r="E423" s="500">
        <v>1</v>
      </c>
      <c r="F423" s="500">
        <v>96</v>
      </c>
      <c r="G423" s="501"/>
      <c r="H423" s="500"/>
      <c r="I423" s="500"/>
      <c r="J423" s="500"/>
    </row>
    <row r="424" spans="1:10">
      <c r="A424" s="503">
        <v>43912</v>
      </c>
      <c r="B424" s="496">
        <v>8</v>
      </c>
      <c r="C424" s="496" t="s">
        <v>305</v>
      </c>
      <c r="D424" s="496" t="s">
        <v>148</v>
      </c>
      <c r="E424" s="496">
        <v>1</v>
      </c>
      <c r="F424" s="496">
        <v>24</v>
      </c>
      <c r="G424" s="497"/>
      <c r="H424" s="496"/>
      <c r="I424" s="496"/>
      <c r="J424" s="496"/>
    </row>
    <row r="425" spans="1:10">
      <c r="A425" s="504">
        <v>43913</v>
      </c>
      <c r="B425" s="500">
        <v>8</v>
      </c>
      <c r="C425" s="500" t="s">
        <v>305</v>
      </c>
      <c r="D425" s="500" t="s">
        <v>153</v>
      </c>
      <c r="E425" s="500">
        <v>1</v>
      </c>
      <c r="F425" s="500">
        <v>24</v>
      </c>
      <c r="G425" s="501"/>
      <c r="H425" s="500"/>
      <c r="I425" s="500"/>
      <c r="J425" s="500"/>
    </row>
    <row r="426" spans="1:10">
      <c r="A426" s="503">
        <v>43914</v>
      </c>
      <c r="B426" s="496">
        <v>7</v>
      </c>
      <c r="C426" s="496" t="s">
        <v>305</v>
      </c>
      <c r="D426" s="496" t="s">
        <v>147</v>
      </c>
      <c r="E426" s="496">
        <v>1</v>
      </c>
      <c r="F426" s="496">
        <v>24</v>
      </c>
      <c r="G426" s="497"/>
      <c r="H426" s="496"/>
      <c r="I426" s="496"/>
      <c r="J426" s="496"/>
    </row>
    <row r="427" spans="1:10">
      <c r="A427" s="504">
        <v>43915</v>
      </c>
      <c r="B427" s="500">
        <v>9</v>
      </c>
      <c r="C427" s="500" t="s">
        <v>305</v>
      </c>
      <c r="D427" s="500" t="s">
        <v>148</v>
      </c>
      <c r="E427" s="500">
        <v>1</v>
      </c>
      <c r="F427" s="500">
        <v>6</v>
      </c>
      <c r="G427" s="501"/>
      <c r="H427" s="500"/>
      <c r="I427" s="500"/>
      <c r="J427" s="500"/>
    </row>
    <row r="428" spans="1:10">
      <c r="A428" s="503">
        <v>43916</v>
      </c>
      <c r="B428" s="496">
        <v>8</v>
      </c>
      <c r="C428" s="496" t="s">
        <v>305</v>
      </c>
      <c r="D428" s="496" t="s">
        <v>153</v>
      </c>
      <c r="E428" s="496">
        <v>1</v>
      </c>
      <c r="F428" s="496">
        <v>6</v>
      </c>
      <c r="G428" s="497"/>
      <c r="H428" s="496"/>
      <c r="I428" s="496"/>
      <c r="J428" s="496"/>
    </row>
    <row r="429" spans="1:10">
      <c r="A429" s="504">
        <v>43917</v>
      </c>
      <c r="B429" s="500">
        <v>8</v>
      </c>
      <c r="C429" s="500" t="s">
        <v>305</v>
      </c>
      <c r="D429" s="500" t="s">
        <v>148</v>
      </c>
      <c r="E429" s="500">
        <v>5</v>
      </c>
      <c r="F429" s="500">
        <v>6</v>
      </c>
      <c r="G429" s="501"/>
      <c r="H429" s="500"/>
      <c r="I429" s="500"/>
      <c r="J429" s="500"/>
    </row>
    <row r="430" spans="1:10">
      <c r="A430" s="503">
        <v>43918</v>
      </c>
      <c r="B430" s="496">
        <v>8</v>
      </c>
      <c r="C430" s="496" t="s">
        <v>305</v>
      </c>
      <c r="D430" s="496" t="s">
        <v>153</v>
      </c>
      <c r="E430" s="496">
        <v>5</v>
      </c>
      <c r="F430" s="496">
        <v>6</v>
      </c>
      <c r="G430" s="497"/>
      <c r="H430" s="496"/>
      <c r="I430" s="496"/>
      <c r="J430" s="496"/>
    </row>
    <row r="431" spans="1:10">
      <c r="A431" s="504">
        <v>43920</v>
      </c>
      <c r="B431" s="500">
        <v>8</v>
      </c>
      <c r="C431" s="500" t="s">
        <v>305</v>
      </c>
      <c r="D431" s="500" t="s">
        <v>152</v>
      </c>
      <c r="E431" s="500"/>
      <c r="F431" s="500"/>
      <c r="G431" s="501" t="s">
        <v>262</v>
      </c>
      <c r="H431" s="500"/>
      <c r="I431" s="500"/>
      <c r="J431" s="500"/>
    </row>
    <row r="432" spans="1:10">
      <c r="A432" s="503">
        <v>44104</v>
      </c>
      <c r="B432" s="496">
        <v>9</v>
      </c>
      <c r="C432" s="496" t="s">
        <v>305</v>
      </c>
      <c r="D432" s="496" t="s">
        <v>146</v>
      </c>
      <c r="E432" s="496">
        <v>1</v>
      </c>
      <c r="F432" s="496">
        <v>6</v>
      </c>
      <c r="G432" s="497" t="s">
        <v>364</v>
      </c>
      <c r="H432" s="496"/>
      <c r="I432" s="496"/>
      <c r="J432" s="496"/>
    </row>
    <row r="433" spans="1:10">
      <c r="A433" s="504">
        <v>44105</v>
      </c>
      <c r="B433" s="500">
        <v>8</v>
      </c>
      <c r="C433" s="500" t="s">
        <v>305</v>
      </c>
      <c r="D433" s="500" t="s">
        <v>348</v>
      </c>
      <c r="E433" s="500">
        <v>1</v>
      </c>
      <c r="F433" s="500">
        <v>6</v>
      </c>
      <c r="G433" s="501"/>
      <c r="H433" s="500"/>
      <c r="I433" s="500"/>
      <c r="J433" s="500"/>
    </row>
    <row r="434" spans="1:10">
      <c r="A434" s="503">
        <v>44106</v>
      </c>
      <c r="B434" s="496">
        <v>8</v>
      </c>
      <c r="C434" s="496" t="s">
        <v>305</v>
      </c>
      <c r="D434" s="496" t="s">
        <v>148</v>
      </c>
      <c r="E434" s="496">
        <v>5</v>
      </c>
      <c r="F434" s="496">
        <v>6</v>
      </c>
      <c r="G434" s="497" t="s">
        <v>365</v>
      </c>
      <c r="H434" s="496"/>
      <c r="I434" s="496"/>
      <c r="J434" s="496"/>
    </row>
    <row r="435" spans="1:10">
      <c r="A435" s="504">
        <v>44107</v>
      </c>
      <c r="B435" s="500">
        <v>8</v>
      </c>
      <c r="C435" s="500" t="s">
        <v>305</v>
      </c>
      <c r="D435" s="500" t="s">
        <v>348</v>
      </c>
      <c r="E435" s="500">
        <v>5</v>
      </c>
      <c r="F435" s="500">
        <v>6</v>
      </c>
      <c r="G435" s="501"/>
      <c r="H435" s="500"/>
      <c r="I435" s="500"/>
      <c r="J435" s="500"/>
    </row>
    <row r="436" spans="1:10" ht="81.400000000000006">
      <c r="A436" s="503">
        <v>44109</v>
      </c>
      <c r="B436" s="496">
        <v>8</v>
      </c>
      <c r="C436" s="496" t="s">
        <v>305</v>
      </c>
      <c r="D436" s="496" t="s">
        <v>154</v>
      </c>
      <c r="E436" s="496"/>
      <c r="F436" s="496"/>
      <c r="G436" s="497" t="s">
        <v>370</v>
      </c>
      <c r="H436" s="496" t="s">
        <v>263</v>
      </c>
      <c r="I436" s="496"/>
      <c r="J436" s="496"/>
    </row>
    <row r="437" spans="1:10">
      <c r="A437" s="504">
        <v>44110</v>
      </c>
      <c r="B437" s="500">
        <v>8</v>
      </c>
      <c r="C437" s="500" t="s">
        <v>366</v>
      </c>
      <c r="D437" s="500" t="s">
        <v>338</v>
      </c>
      <c r="E437" s="500">
        <v>1</v>
      </c>
      <c r="F437" s="500">
        <v>96</v>
      </c>
      <c r="G437" s="501"/>
      <c r="H437" s="500"/>
      <c r="I437" s="500"/>
      <c r="J437" s="500"/>
    </row>
    <row r="438" spans="1:10">
      <c r="A438" s="503">
        <v>44110</v>
      </c>
      <c r="B438" s="496">
        <v>10</v>
      </c>
      <c r="C438" s="496" t="s">
        <v>366</v>
      </c>
      <c r="D438" s="496" t="s">
        <v>147</v>
      </c>
      <c r="E438" s="496">
        <v>1</v>
      </c>
      <c r="F438" s="496">
        <v>96</v>
      </c>
      <c r="G438" s="497"/>
      <c r="H438" s="496"/>
      <c r="I438" s="496"/>
      <c r="J438" s="496"/>
    </row>
    <row r="439" spans="1:10">
      <c r="A439" s="504">
        <v>44111</v>
      </c>
      <c r="B439" s="500">
        <v>8</v>
      </c>
      <c r="C439" s="500" t="s">
        <v>366</v>
      </c>
      <c r="D439" s="500" t="s">
        <v>338</v>
      </c>
      <c r="E439" s="500">
        <v>1</v>
      </c>
      <c r="F439" s="500">
        <v>96</v>
      </c>
      <c r="G439" s="501"/>
      <c r="H439" s="500"/>
      <c r="I439" s="500"/>
      <c r="J439" s="500"/>
    </row>
    <row r="440" spans="1:10">
      <c r="A440" s="503">
        <v>44112</v>
      </c>
      <c r="B440" s="496">
        <v>7</v>
      </c>
      <c r="C440" s="496" t="s">
        <v>366</v>
      </c>
      <c r="D440" s="496" t="s">
        <v>348</v>
      </c>
      <c r="E440" s="496">
        <v>1</v>
      </c>
      <c r="F440" s="496">
        <v>96</v>
      </c>
      <c r="G440" s="497"/>
      <c r="H440" s="496"/>
      <c r="I440" s="496"/>
      <c r="J440" s="496"/>
    </row>
    <row r="441" spans="1:10">
      <c r="A441" s="504">
        <v>44113</v>
      </c>
      <c r="B441" s="500">
        <v>7</v>
      </c>
      <c r="C441" s="500" t="s">
        <v>366</v>
      </c>
      <c r="D441" s="500" t="s">
        <v>348</v>
      </c>
      <c r="E441" s="500">
        <v>1</v>
      </c>
      <c r="F441" s="500">
        <v>96</v>
      </c>
      <c r="G441" s="501"/>
      <c r="H441" s="500"/>
      <c r="I441" s="500"/>
      <c r="J441" s="500"/>
    </row>
    <row r="442" spans="1:10">
      <c r="A442" s="503">
        <v>44116</v>
      </c>
      <c r="B442" s="496">
        <v>7</v>
      </c>
      <c r="C442" s="496" t="s">
        <v>366</v>
      </c>
      <c r="D442" s="496" t="s">
        <v>148</v>
      </c>
      <c r="E442" s="496">
        <v>1</v>
      </c>
      <c r="F442" s="496">
        <v>12</v>
      </c>
      <c r="G442" s="497" t="s">
        <v>377</v>
      </c>
      <c r="H442" s="496"/>
      <c r="I442" s="496"/>
      <c r="J442" s="496"/>
    </row>
    <row r="443" spans="1:10">
      <c r="A443" s="504">
        <v>44117</v>
      </c>
      <c r="B443" s="500">
        <v>8</v>
      </c>
      <c r="C443" s="500" t="s">
        <v>366</v>
      </c>
      <c r="D443" s="500" t="s">
        <v>348</v>
      </c>
      <c r="E443" s="500">
        <v>1</v>
      </c>
      <c r="F443" s="500">
        <v>12</v>
      </c>
      <c r="G443" s="501"/>
      <c r="H443" s="500"/>
      <c r="I443" s="500"/>
      <c r="J443" s="500"/>
    </row>
    <row r="444" spans="1:10">
      <c r="A444" s="503">
        <v>44118</v>
      </c>
      <c r="B444" s="496">
        <v>8</v>
      </c>
      <c r="C444" s="496" t="s">
        <v>366</v>
      </c>
      <c r="D444" s="496" t="s">
        <v>348</v>
      </c>
      <c r="E444" s="496">
        <v>1</v>
      </c>
      <c r="F444" s="496">
        <v>12</v>
      </c>
      <c r="G444" s="497"/>
      <c r="H444" s="496"/>
      <c r="I444" s="496"/>
      <c r="J444" s="496"/>
    </row>
    <row r="445" spans="1:10">
      <c r="A445" s="504">
        <v>44118</v>
      </c>
      <c r="B445" s="500">
        <v>13</v>
      </c>
      <c r="C445" s="500" t="s">
        <v>366</v>
      </c>
      <c r="D445" s="500" t="s">
        <v>147</v>
      </c>
      <c r="E445" s="500">
        <v>1</v>
      </c>
      <c r="F445" s="500">
        <v>12</v>
      </c>
      <c r="G445" s="501"/>
      <c r="H445" s="500"/>
      <c r="I445" s="500"/>
      <c r="J445" s="500"/>
    </row>
    <row r="446" spans="1:10">
      <c r="A446" s="503">
        <v>44119</v>
      </c>
      <c r="B446" s="496">
        <v>9</v>
      </c>
      <c r="C446" s="496" t="s">
        <v>366</v>
      </c>
      <c r="D446" s="496" t="s">
        <v>148</v>
      </c>
      <c r="E446" s="496">
        <v>1</v>
      </c>
      <c r="F446" s="496">
        <v>6</v>
      </c>
      <c r="G446" s="497" t="s">
        <v>380</v>
      </c>
      <c r="H446" s="496"/>
      <c r="I446" s="496"/>
      <c r="J446" s="496"/>
    </row>
    <row r="447" spans="1:10">
      <c r="A447" s="504">
        <v>44120</v>
      </c>
      <c r="B447" s="500">
        <v>9</v>
      </c>
      <c r="C447" s="500" t="s">
        <v>366</v>
      </c>
      <c r="D447" s="500" t="s">
        <v>338</v>
      </c>
      <c r="E447" s="500">
        <v>1</v>
      </c>
      <c r="F447" s="500">
        <v>6</v>
      </c>
      <c r="G447" s="501"/>
      <c r="H447" s="500"/>
      <c r="I447" s="500"/>
      <c r="J447" s="500"/>
    </row>
    <row r="448" spans="1:10">
      <c r="A448" s="503">
        <v>44121</v>
      </c>
      <c r="B448" s="496">
        <v>9</v>
      </c>
      <c r="C448" s="496" t="s">
        <v>366</v>
      </c>
      <c r="D448" s="496" t="s">
        <v>148</v>
      </c>
      <c r="E448" s="496">
        <v>5</v>
      </c>
      <c r="F448" s="496">
        <v>6</v>
      </c>
      <c r="G448" s="497"/>
      <c r="H448" s="496"/>
      <c r="I448" s="496"/>
      <c r="J448" s="496"/>
    </row>
    <row r="449" spans="1:10">
      <c r="A449" s="504">
        <v>44123</v>
      </c>
      <c r="B449" s="500">
        <v>9</v>
      </c>
      <c r="C449" s="500" t="s">
        <v>366</v>
      </c>
      <c r="D449" s="500" t="s">
        <v>348</v>
      </c>
      <c r="E449" s="500">
        <v>5</v>
      </c>
      <c r="F449" s="500">
        <v>6</v>
      </c>
      <c r="G449" s="501"/>
      <c r="H449" s="500"/>
      <c r="I449" s="500"/>
      <c r="J449" s="500"/>
    </row>
    <row r="450" spans="1:10">
      <c r="A450" s="503">
        <v>44124</v>
      </c>
      <c r="B450" s="496">
        <v>9</v>
      </c>
      <c r="C450" s="496" t="s">
        <v>366</v>
      </c>
      <c r="D450" s="496" t="s">
        <v>348</v>
      </c>
      <c r="E450" s="496">
        <v>5</v>
      </c>
      <c r="F450" s="496">
        <v>6</v>
      </c>
      <c r="G450" s="497"/>
      <c r="H450" s="496"/>
      <c r="I450" s="496" t="s">
        <v>469</v>
      </c>
      <c r="J450" s="496" t="s">
        <v>470</v>
      </c>
    </row>
    <row r="451" spans="1:10" ht="174.4">
      <c r="A451" s="504">
        <v>44125</v>
      </c>
      <c r="B451" s="500">
        <v>9</v>
      </c>
      <c r="C451" s="500" t="s">
        <v>366</v>
      </c>
      <c r="D451" s="500" t="s">
        <v>154</v>
      </c>
      <c r="E451" s="500">
        <v>2</v>
      </c>
      <c r="F451" s="500">
        <v>6</v>
      </c>
      <c r="G451" s="501" t="s">
        <v>390</v>
      </c>
      <c r="H451" s="500" t="s">
        <v>317</v>
      </c>
      <c r="I451" s="500"/>
      <c r="J451" s="500"/>
    </row>
    <row r="452" spans="1:10">
      <c r="A452" s="503">
        <v>44125</v>
      </c>
      <c r="B452" s="496">
        <v>12</v>
      </c>
      <c r="C452" s="496" t="s">
        <v>366</v>
      </c>
      <c r="D452" s="496" t="s">
        <v>152</v>
      </c>
      <c r="E452" s="496">
        <v>5</v>
      </c>
      <c r="F452" s="496" t="s">
        <v>411</v>
      </c>
      <c r="G452" s="497" t="s">
        <v>262</v>
      </c>
      <c r="H452" s="496"/>
      <c r="I452" s="496"/>
      <c r="J452" s="496"/>
    </row>
    <row r="453" spans="1:10">
      <c r="A453" s="504">
        <v>44131</v>
      </c>
      <c r="B453" s="500">
        <v>9</v>
      </c>
      <c r="C453" s="500" t="s">
        <v>366</v>
      </c>
      <c r="D453" s="500" t="s">
        <v>276</v>
      </c>
      <c r="E453" s="500"/>
      <c r="F453" s="500"/>
      <c r="G453" s="501" t="s">
        <v>396</v>
      </c>
      <c r="H453" s="500"/>
      <c r="I453" s="500"/>
      <c r="J453" s="500"/>
    </row>
    <row r="454" spans="1:10" ht="34.9">
      <c r="A454" s="503">
        <v>44126</v>
      </c>
      <c r="B454" s="496">
        <v>8</v>
      </c>
      <c r="C454" s="496" t="s">
        <v>413</v>
      </c>
      <c r="D454" s="496" t="s">
        <v>338</v>
      </c>
      <c r="E454" s="496">
        <v>1</v>
      </c>
      <c r="F454" s="496">
        <v>6</v>
      </c>
      <c r="G454" s="497" t="s">
        <v>414</v>
      </c>
      <c r="H454" s="496"/>
      <c r="I454" s="496"/>
      <c r="J454" s="496"/>
    </row>
    <row r="455" spans="1:10">
      <c r="A455" s="504">
        <v>44127</v>
      </c>
      <c r="B455" s="500">
        <v>12</v>
      </c>
      <c r="C455" s="500" t="s">
        <v>413</v>
      </c>
      <c r="D455" s="500" t="s">
        <v>338</v>
      </c>
      <c r="E455" s="500">
        <v>1</v>
      </c>
      <c r="F455" s="500">
        <v>6</v>
      </c>
      <c r="G455" s="501" t="s">
        <v>420</v>
      </c>
      <c r="H455" s="500"/>
      <c r="I455" s="500"/>
      <c r="J455" s="500"/>
    </row>
    <row r="456" spans="1:10">
      <c r="A456" s="503">
        <v>44129</v>
      </c>
      <c r="B456" s="496">
        <v>8</v>
      </c>
      <c r="C456" s="496" t="s">
        <v>413</v>
      </c>
      <c r="D456" s="496" t="s">
        <v>348</v>
      </c>
      <c r="E456" s="496">
        <v>1</v>
      </c>
      <c r="F456" s="496">
        <v>6</v>
      </c>
      <c r="G456" s="497"/>
      <c r="H456" s="496"/>
      <c r="I456" s="496"/>
      <c r="J456" s="496"/>
    </row>
    <row r="457" spans="1:10" ht="23.25">
      <c r="A457" s="504">
        <v>44129</v>
      </c>
      <c r="B457" s="500">
        <v>9</v>
      </c>
      <c r="C457" s="500" t="s">
        <v>413</v>
      </c>
      <c r="D457" s="500" t="s">
        <v>147</v>
      </c>
      <c r="E457" s="500">
        <v>1</v>
      </c>
      <c r="F457" s="500">
        <v>6</v>
      </c>
      <c r="G457" s="501" t="s">
        <v>394</v>
      </c>
      <c r="H457" s="500"/>
      <c r="I457" s="500"/>
      <c r="J457" s="500"/>
    </row>
    <row r="458" spans="1:10">
      <c r="A458" s="503">
        <v>44130</v>
      </c>
      <c r="B458" s="496">
        <v>7</v>
      </c>
      <c r="C458" s="496" t="s">
        <v>413</v>
      </c>
      <c r="D458" s="496" t="s">
        <v>147</v>
      </c>
      <c r="E458" s="496">
        <v>1</v>
      </c>
      <c r="F458" s="496">
        <v>6</v>
      </c>
      <c r="G458" s="497" t="s">
        <v>395</v>
      </c>
      <c r="H458" s="496"/>
      <c r="I458" s="496"/>
      <c r="J458" s="496"/>
    </row>
    <row r="459" spans="1:10">
      <c r="A459" s="504">
        <v>44131</v>
      </c>
      <c r="B459" s="500">
        <v>10</v>
      </c>
      <c r="C459" s="500" t="s">
        <v>413</v>
      </c>
      <c r="D459" s="500" t="s">
        <v>348</v>
      </c>
      <c r="E459" s="500">
        <v>1</v>
      </c>
      <c r="F459" s="500">
        <v>6</v>
      </c>
      <c r="G459" s="501"/>
      <c r="H459" s="500"/>
      <c r="I459" s="500"/>
      <c r="J459" s="500"/>
    </row>
    <row r="460" spans="1:10">
      <c r="A460" s="503">
        <v>44132</v>
      </c>
      <c r="B460" s="496">
        <v>8</v>
      </c>
      <c r="C460" s="496" t="s">
        <v>413</v>
      </c>
      <c r="D460" s="496" t="s">
        <v>148</v>
      </c>
      <c r="E460" s="496">
        <v>6</v>
      </c>
      <c r="F460" s="496">
        <v>6</v>
      </c>
      <c r="G460" s="497" t="s">
        <v>421</v>
      </c>
      <c r="H460" s="496"/>
      <c r="I460" s="496"/>
      <c r="J460" s="496"/>
    </row>
    <row r="461" spans="1:10">
      <c r="A461" s="504">
        <v>44133</v>
      </c>
      <c r="B461" s="500">
        <v>8</v>
      </c>
      <c r="C461" s="500" t="s">
        <v>413</v>
      </c>
      <c r="D461" s="500" t="s">
        <v>348</v>
      </c>
      <c r="E461" s="500">
        <v>6</v>
      </c>
      <c r="F461" s="500">
        <v>6</v>
      </c>
      <c r="G461" s="501"/>
      <c r="H461" s="500"/>
      <c r="I461" s="500"/>
      <c r="J461" s="500"/>
    </row>
    <row r="462" spans="1:10">
      <c r="A462" s="503">
        <v>44134</v>
      </c>
      <c r="B462" s="496">
        <v>8</v>
      </c>
      <c r="C462" s="496" t="s">
        <v>413</v>
      </c>
      <c r="D462" s="496" t="s">
        <v>348</v>
      </c>
      <c r="E462" s="496">
        <v>6</v>
      </c>
      <c r="F462" s="496">
        <v>6</v>
      </c>
      <c r="G462" s="497"/>
      <c r="H462" s="496"/>
      <c r="I462" s="496"/>
      <c r="J462" s="496"/>
    </row>
    <row r="463" spans="1:10">
      <c r="A463" s="504">
        <v>44135</v>
      </c>
      <c r="B463" s="500">
        <v>8</v>
      </c>
      <c r="C463" s="500" t="s">
        <v>413</v>
      </c>
      <c r="D463" s="500" t="s">
        <v>148</v>
      </c>
      <c r="E463" s="500">
        <v>1</v>
      </c>
      <c r="F463" s="500">
        <v>6</v>
      </c>
      <c r="G463" s="501"/>
      <c r="H463" s="500"/>
      <c r="I463" s="500"/>
      <c r="J463" s="500"/>
    </row>
    <row r="464" spans="1:10">
      <c r="A464" s="503">
        <v>44137</v>
      </c>
      <c r="B464" s="496">
        <v>8</v>
      </c>
      <c r="C464" s="496" t="s">
        <v>413</v>
      </c>
      <c r="D464" s="496" t="s">
        <v>348</v>
      </c>
      <c r="E464" s="496">
        <v>1</v>
      </c>
      <c r="F464" s="496">
        <v>6</v>
      </c>
      <c r="G464" s="497"/>
      <c r="H464" s="496"/>
      <c r="I464" s="496"/>
      <c r="J464" s="496"/>
    </row>
    <row r="465" spans="1:10">
      <c r="A465" s="504">
        <v>44139</v>
      </c>
      <c r="B465" s="500">
        <v>8</v>
      </c>
      <c r="C465" s="500" t="s">
        <v>413</v>
      </c>
      <c r="D465" s="500" t="s">
        <v>338</v>
      </c>
      <c r="E465" s="500">
        <v>1</v>
      </c>
      <c r="F465" s="500">
        <v>6</v>
      </c>
      <c r="G465" s="501"/>
      <c r="H465" s="500"/>
      <c r="I465" s="500"/>
      <c r="J465" s="500"/>
    </row>
    <row r="466" spans="1:10">
      <c r="A466" s="503">
        <v>44140</v>
      </c>
      <c r="B466" s="496">
        <v>8</v>
      </c>
      <c r="C466" s="496" t="s">
        <v>413</v>
      </c>
      <c r="D466" s="496" t="s">
        <v>348</v>
      </c>
      <c r="E466" s="496">
        <v>1</v>
      </c>
      <c r="F466" s="496">
        <v>6</v>
      </c>
      <c r="G466" s="497"/>
      <c r="H466" s="496"/>
      <c r="I466" s="496"/>
      <c r="J466" s="496"/>
    </row>
    <row r="467" spans="1:10">
      <c r="A467" s="504">
        <v>44142</v>
      </c>
      <c r="B467" s="500">
        <v>8</v>
      </c>
      <c r="C467" s="500" t="s">
        <v>413</v>
      </c>
      <c r="D467" s="500" t="s">
        <v>348</v>
      </c>
      <c r="E467" s="500">
        <v>1</v>
      </c>
      <c r="F467" s="500">
        <v>6</v>
      </c>
      <c r="G467" s="501"/>
      <c r="H467" s="500"/>
      <c r="I467" s="500"/>
      <c r="J467" s="500"/>
    </row>
    <row r="468" spans="1:10" ht="34.9">
      <c r="A468" s="503">
        <v>44144</v>
      </c>
      <c r="B468" s="496">
        <v>8</v>
      </c>
      <c r="C468" s="496" t="s">
        <v>413</v>
      </c>
      <c r="D468" s="496" t="s">
        <v>148</v>
      </c>
      <c r="E468" s="496">
        <v>1</v>
      </c>
      <c r="F468" s="496">
        <v>6</v>
      </c>
      <c r="G468" s="497" t="s">
        <v>409</v>
      </c>
      <c r="H468" s="496"/>
      <c r="I468" s="496"/>
      <c r="J468" s="496"/>
    </row>
    <row r="469" spans="1:10">
      <c r="A469" s="504">
        <v>44145</v>
      </c>
      <c r="B469" s="500">
        <v>8</v>
      </c>
      <c r="C469" s="500" t="s">
        <v>413</v>
      </c>
      <c r="D469" s="500" t="s">
        <v>348</v>
      </c>
      <c r="E469" s="500">
        <v>1</v>
      </c>
      <c r="F469" s="500">
        <v>6</v>
      </c>
      <c r="G469" s="501"/>
      <c r="H469" s="500"/>
      <c r="I469" s="500"/>
      <c r="J469" s="500"/>
    </row>
    <row r="470" spans="1:10">
      <c r="A470" s="503">
        <v>44147</v>
      </c>
      <c r="B470" s="496">
        <v>9</v>
      </c>
      <c r="C470" s="496" t="s">
        <v>413</v>
      </c>
      <c r="D470" s="496" t="s">
        <v>348</v>
      </c>
      <c r="E470" s="496">
        <v>1</v>
      </c>
      <c r="F470" s="496">
        <v>6</v>
      </c>
      <c r="G470" s="497"/>
      <c r="H470" s="496"/>
      <c r="I470" s="496"/>
      <c r="J470" s="496"/>
    </row>
    <row r="471" spans="1:10" ht="23.25">
      <c r="A471" s="504">
        <v>44151</v>
      </c>
      <c r="B471" s="500">
        <v>11</v>
      </c>
      <c r="C471" s="500" t="s">
        <v>413</v>
      </c>
      <c r="D471" s="500" t="s">
        <v>148</v>
      </c>
      <c r="E471" s="500">
        <v>1</v>
      </c>
      <c r="F471" s="500">
        <v>6</v>
      </c>
      <c r="G471" s="501" t="s">
        <v>432</v>
      </c>
      <c r="H471" s="500"/>
      <c r="I471" s="500"/>
      <c r="J471" s="500"/>
    </row>
    <row r="472" spans="1:10">
      <c r="A472" s="503">
        <v>44152</v>
      </c>
      <c r="B472" s="496">
        <v>8</v>
      </c>
      <c r="C472" s="496" t="s">
        <v>413</v>
      </c>
      <c r="D472" s="496" t="s">
        <v>348</v>
      </c>
      <c r="E472" s="496">
        <v>1</v>
      </c>
      <c r="F472" s="496">
        <v>6</v>
      </c>
      <c r="G472" s="497"/>
      <c r="H472" s="496"/>
      <c r="I472" s="496"/>
      <c r="J472" s="496"/>
    </row>
    <row r="473" spans="1:10" ht="34.9">
      <c r="A473" s="504">
        <v>44126</v>
      </c>
      <c r="B473" s="500">
        <v>9</v>
      </c>
      <c r="C473" s="500" t="s">
        <v>416</v>
      </c>
      <c r="D473" s="500" t="s">
        <v>338</v>
      </c>
      <c r="E473" s="500">
        <v>1</v>
      </c>
      <c r="F473" s="500">
        <v>6</v>
      </c>
      <c r="G473" s="501" t="s">
        <v>415</v>
      </c>
      <c r="H473" s="500"/>
      <c r="I473" s="500"/>
      <c r="J473" s="500"/>
    </row>
    <row r="474" spans="1:10">
      <c r="A474" s="503">
        <v>44127</v>
      </c>
      <c r="B474" s="496">
        <v>8</v>
      </c>
      <c r="C474" s="496" t="s">
        <v>416</v>
      </c>
      <c r="D474" s="496" t="s">
        <v>338</v>
      </c>
      <c r="E474" s="496">
        <v>1</v>
      </c>
      <c r="F474" s="496">
        <v>6</v>
      </c>
      <c r="G474" s="497" t="s">
        <v>419</v>
      </c>
      <c r="H474" s="496"/>
      <c r="I474" s="496"/>
      <c r="J474" s="496"/>
    </row>
    <row r="475" spans="1:10">
      <c r="A475" s="504">
        <v>44129</v>
      </c>
      <c r="B475" s="500">
        <v>13</v>
      </c>
      <c r="C475" s="500" t="s">
        <v>416</v>
      </c>
      <c r="D475" s="500" t="s">
        <v>348</v>
      </c>
      <c r="E475" s="500">
        <v>1</v>
      </c>
      <c r="F475" s="500">
        <v>6</v>
      </c>
      <c r="G475" s="501"/>
      <c r="H475" s="500"/>
      <c r="I475" s="500"/>
      <c r="J475" s="500"/>
    </row>
    <row r="476" spans="1:10">
      <c r="A476" s="503">
        <v>44129</v>
      </c>
      <c r="B476" s="496">
        <v>14</v>
      </c>
      <c r="C476" s="496" t="s">
        <v>416</v>
      </c>
      <c r="D476" s="496" t="s">
        <v>147</v>
      </c>
      <c r="E476" s="496">
        <v>1</v>
      </c>
      <c r="F476" s="496">
        <v>6</v>
      </c>
      <c r="G476" s="497"/>
      <c r="H476" s="496"/>
      <c r="I476" s="496"/>
      <c r="J476" s="496"/>
    </row>
    <row r="477" spans="1:10">
      <c r="A477" s="504">
        <v>44130</v>
      </c>
      <c r="B477" s="500">
        <v>8</v>
      </c>
      <c r="C477" s="500" t="s">
        <v>416</v>
      </c>
      <c r="D477" s="500" t="s">
        <v>147</v>
      </c>
      <c r="E477" s="500">
        <v>1</v>
      </c>
      <c r="F477" s="500">
        <v>6</v>
      </c>
      <c r="G477" s="501"/>
      <c r="H477" s="500"/>
      <c r="I477" s="500"/>
      <c r="J477" s="500"/>
    </row>
    <row r="478" spans="1:10">
      <c r="A478" s="503">
        <v>44131</v>
      </c>
      <c r="B478" s="496">
        <v>14</v>
      </c>
      <c r="C478" s="496" t="s">
        <v>416</v>
      </c>
      <c r="D478" s="496" t="s">
        <v>348</v>
      </c>
      <c r="E478" s="496">
        <v>1</v>
      </c>
      <c r="F478" s="496">
        <v>6</v>
      </c>
      <c r="G478" s="497"/>
      <c r="H478" s="496"/>
      <c r="I478" s="496"/>
      <c r="J478" s="496"/>
    </row>
    <row r="479" spans="1:10">
      <c r="A479" s="504">
        <v>44132</v>
      </c>
      <c r="B479" s="500">
        <v>15</v>
      </c>
      <c r="C479" s="500" t="s">
        <v>416</v>
      </c>
      <c r="D479" s="500" t="s">
        <v>148</v>
      </c>
      <c r="E479" s="500">
        <v>6</v>
      </c>
      <c r="F479" s="500">
        <v>6</v>
      </c>
      <c r="G479" s="501" t="s">
        <v>422</v>
      </c>
      <c r="H479" s="500"/>
      <c r="I479" s="500"/>
      <c r="J479" s="500"/>
    </row>
    <row r="480" spans="1:10">
      <c r="A480" s="503">
        <v>44133</v>
      </c>
      <c r="B480" s="496">
        <v>12</v>
      </c>
      <c r="C480" s="496" t="s">
        <v>416</v>
      </c>
      <c r="D480" s="496" t="s">
        <v>348</v>
      </c>
      <c r="E480" s="496">
        <v>6</v>
      </c>
      <c r="F480" s="496">
        <v>6</v>
      </c>
      <c r="G480" s="497"/>
      <c r="H480" s="496"/>
      <c r="I480" s="496"/>
      <c r="J480" s="496"/>
    </row>
    <row r="481" spans="1:10">
      <c r="A481" s="504">
        <v>44134</v>
      </c>
      <c r="B481" s="500">
        <v>13</v>
      </c>
      <c r="C481" s="500" t="s">
        <v>416</v>
      </c>
      <c r="D481" s="500" t="s">
        <v>348</v>
      </c>
      <c r="E481" s="500">
        <v>6</v>
      </c>
      <c r="F481" s="500">
        <v>6</v>
      </c>
      <c r="G481" s="501"/>
      <c r="H481" s="500"/>
      <c r="I481" s="500"/>
      <c r="J481" s="500"/>
    </row>
    <row r="482" spans="1:10">
      <c r="A482" s="503">
        <v>44135</v>
      </c>
      <c r="B482" s="496">
        <v>13</v>
      </c>
      <c r="C482" s="496" t="s">
        <v>416</v>
      </c>
      <c r="D482" s="496" t="s">
        <v>148</v>
      </c>
      <c r="E482" s="496">
        <v>1</v>
      </c>
      <c r="F482" s="496">
        <v>6</v>
      </c>
      <c r="G482" s="497"/>
      <c r="H482" s="496"/>
      <c r="I482" s="496"/>
      <c r="J482" s="496"/>
    </row>
    <row r="483" spans="1:10" ht="23.25">
      <c r="A483" s="504">
        <v>44135</v>
      </c>
      <c r="B483" s="500">
        <v>14</v>
      </c>
      <c r="C483" s="500" t="s">
        <v>416</v>
      </c>
      <c r="D483" s="500" t="s">
        <v>148</v>
      </c>
      <c r="E483" s="500">
        <v>5</v>
      </c>
      <c r="F483" s="500">
        <v>10</v>
      </c>
      <c r="G483" s="501" t="s">
        <v>423</v>
      </c>
      <c r="H483" s="500"/>
      <c r="I483" s="500"/>
      <c r="J483" s="500"/>
    </row>
    <row r="484" spans="1:10">
      <c r="A484" s="503">
        <v>44137</v>
      </c>
      <c r="B484" s="496">
        <v>13</v>
      </c>
      <c r="C484" s="496" t="s">
        <v>416</v>
      </c>
      <c r="D484" s="496" t="s">
        <v>348</v>
      </c>
      <c r="E484" s="496">
        <v>1</v>
      </c>
      <c r="F484" s="496">
        <v>6</v>
      </c>
      <c r="G484" s="497"/>
      <c r="H484" s="496"/>
      <c r="I484" s="496"/>
      <c r="J484" s="496"/>
    </row>
    <row r="485" spans="1:10" ht="23.25">
      <c r="A485" s="504">
        <v>44138</v>
      </c>
      <c r="B485" s="500">
        <v>13</v>
      </c>
      <c r="C485" s="500" t="s">
        <v>416</v>
      </c>
      <c r="D485" s="500" t="s">
        <v>152</v>
      </c>
      <c r="E485" s="500">
        <v>40</v>
      </c>
      <c r="F485" s="500" t="s">
        <v>411</v>
      </c>
      <c r="G485" s="501" t="s">
        <v>424</v>
      </c>
      <c r="H485" s="500"/>
      <c r="I485" s="500"/>
      <c r="J485" s="500"/>
    </row>
    <row r="486" spans="1:10">
      <c r="A486" s="503">
        <v>44139</v>
      </c>
      <c r="B486" s="496">
        <v>13</v>
      </c>
      <c r="C486" s="496" t="s">
        <v>416</v>
      </c>
      <c r="D486" s="496" t="s">
        <v>348</v>
      </c>
      <c r="E486" s="496">
        <v>1</v>
      </c>
      <c r="F486" s="496">
        <v>6</v>
      </c>
      <c r="G486" s="497"/>
      <c r="H486" s="496"/>
      <c r="I486" s="496"/>
      <c r="J486" s="496"/>
    </row>
    <row r="487" spans="1:10">
      <c r="A487" s="504">
        <v>44140</v>
      </c>
      <c r="B487" s="500">
        <v>14</v>
      </c>
      <c r="C487" s="500" t="s">
        <v>416</v>
      </c>
      <c r="D487" s="500" t="s">
        <v>348</v>
      </c>
      <c r="E487" s="500">
        <v>1</v>
      </c>
      <c r="F487" s="500">
        <v>6</v>
      </c>
      <c r="G487" s="501"/>
      <c r="H487" s="500"/>
      <c r="I487" s="500"/>
      <c r="J487" s="500"/>
    </row>
    <row r="488" spans="1:10">
      <c r="A488" s="503">
        <v>44142</v>
      </c>
      <c r="B488" s="496">
        <v>14</v>
      </c>
      <c r="C488" s="496" t="s">
        <v>416</v>
      </c>
      <c r="D488" s="496" t="s">
        <v>348</v>
      </c>
      <c r="E488" s="496">
        <v>1</v>
      </c>
      <c r="F488" s="496">
        <v>6</v>
      </c>
      <c r="G488" s="497"/>
      <c r="H488" s="496"/>
      <c r="I488" s="496"/>
      <c r="J488" s="496"/>
    </row>
    <row r="489" spans="1:10">
      <c r="A489" s="504">
        <v>44144</v>
      </c>
      <c r="B489" s="500">
        <v>14</v>
      </c>
      <c r="C489" s="500" t="s">
        <v>416</v>
      </c>
      <c r="D489" s="500" t="s">
        <v>148</v>
      </c>
      <c r="E489" s="500">
        <v>1</v>
      </c>
      <c r="F489" s="500">
        <v>6</v>
      </c>
      <c r="G489" s="501"/>
      <c r="H489" s="500"/>
      <c r="I489" s="500"/>
      <c r="J489" s="500"/>
    </row>
    <row r="490" spans="1:10">
      <c r="A490" s="503">
        <v>44145</v>
      </c>
      <c r="B490" s="496">
        <v>9</v>
      </c>
      <c r="C490" s="496" t="s">
        <v>416</v>
      </c>
      <c r="D490" s="496" t="s">
        <v>348</v>
      </c>
      <c r="E490" s="496">
        <v>1</v>
      </c>
      <c r="F490" s="496">
        <v>6</v>
      </c>
      <c r="G490" s="497"/>
      <c r="H490" s="496"/>
      <c r="I490" s="496"/>
      <c r="J490" s="496"/>
    </row>
    <row r="491" spans="1:10">
      <c r="A491" s="504">
        <v>44147</v>
      </c>
      <c r="B491" s="500">
        <v>10</v>
      </c>
      <c r="C491" s="500" t="s">
        <v>416</v>
      </c>
      <c r="D491" s="500" t="s">
        <v>348</v>
      </c>
      <c r="E491" s="500">
        <v>1</v>
      </c>
      <c r="F491" s="500">
        <v>6</v>
      </c>
      <c r="G491" s="501"/>
      <c r="H491" s="500"/>
      <c r="I491" s="500"/>
      <c r="J491" s="500"/>
    </row>
    <row r="492" spans="1:10" ht="23.25">
      <c r="A492" s="503">
        <v>44151</v>
      </c>
      <c r="B492" s="496">
        <v>10</v>
      </c>
      <c r="C492" s="496" t="s">
        <v>416</v>
      </c>
      <c r="D492" s="496" t="s">
        <v>148</v>
      </c>
      <c r="E492" s="496">
        <v>1</v>
      </c>
      <c r="F492" s="496">
        <v>6</v>
      </c>
      <c r="G492" s="497" t="s">
        <v>432</v>
      </c>
      <c r="H492" s="496"/>
      <c r="I492" s="496"/>
      <c r="J492" s="496"/>
    </row>
    <row r="493" spans="1:10">
      <c r="A493" s="504">
        <v>44152</v>
      </c>
      <c r="B493" s="500">
        <v>9</v>
      </c>
      <c r="C493" s="500" t="s">
        <v>416</v>
      </c>
      <c r="D493" s="500" t="s">
        <v>348</v>
      </c>
      <c r="E493" s="500">
        <v>1</v>
      </c>
      <c r="F493" s="500">
        <v>6</v>
      </c>
      <c r="G493" s="501"/>
      <c r="H493" s="500"/>
      <c r="I493" s="500"/>
      <c r="J493" s="500"/>
    </row>
    <row r="494" spans="1:10" ht="23.25">
      <c r="A494" s="503">
        <v>44154</v>
      </c>
      <c r="B494" s="496">
        <v>8</v>
      </c>
      <c r="C494" s="496" t="s">
        <v>416</v>
      </c>
      <c r="D494" s="496" t="s">
        <v>146</v>
      </c>
      <c r="E494" s="496">
        <v>1</v>
      </c>
      <c r="F494" s="496">
        <v>6</v>
      </c>
      <c r="G494" s="497" t="s">
        <v>438</v>
      </c>
      <c r="H494" s="496"/>
      <c r="I494" s="496"/>
      <c r="J494" s="496"/>
    </row>
    <row r="495" spans="1:10">
      <c r="A495" s="504">
        <v>44155</v>
      </c>
      <c r="B495" s="500">
        <v>10</v>
      </c>
      <c r="C495" s="500" t="s">
        <v>416</v>
      </c>
      <c r="D495" s="500" t="s">
        <v>348</v>
      </c>
      <c r="E495" s="500">
        <v>1</v>
      </c>
      <c r="F495" s="500">
        <v>6</v>
      </c>
      <c r="G495" s="501"/>
      <c r="H495" s="500"/>
      <c r="I495" s="500"/>
      <c r="J495" s="500"/>
    </row>
    <row r="496" spans="1:10">
      <c r="A496" s="503">
        <v>44157</v>
      </c>
      <c r="B496" s="496">
        <v>14</v>
      </c>
      <c r="C496" s="496" t="s">
        <v>416</v>
      </c>
      <c r="D496" s="496" t="s">
        <v>148</v>
      </c>
      <c r="E496" s="496">
        <v>2</v>
      </c>
      <c r="F496" s="496">
        <v>6</v>
      </c>
      <c r="G496" s="497"/>
      <c r="H496" s="496"/>
      <c r="I496" s="496"/>
      <c r="J496" s="496"/>
    </row>
    <row r="497" spans="1:10">
      <c r="A497" s="504">
        <v>44158</v>
      </c>
      <c r="B497" s="500">
        <v>9</v>
      </c>
      <c r="C497" s="500" t="s">
        <v>416</v>
      </c>
      <c r="D497" s="500" t="s">
        <v>348</v>
      </c>
      <c r="E497" s="500">
        <v>2</v>
      </c>
      <c r="F497" s="500">
        <v>6</v>
      </c>
      <c r="G497" s="501"/>
      <c r="H497" s="500"/>
      <c r="I497" s="500"/>
      <c r="J497" s="500"/>
    </row>
    <row r="498" spans="1:10">
      <c r="A498" s="503">
        <v>44159</v>
      </c>
      <c r="B498" s="496">
        <v>11</v>
      </c>
      <c r="C498" s="496" t="s">
        <v>416</v>
      </c>
      <c r="D498" s="496" t="s">
        <v>348</v>
      </c>
      <c r="E498" s="496">
        <v>2</v>
      </c>
      <c r="F498" s="496">
        <v>6</v>
      </c>
      <c r="G498" s="497"/>
      <c r="H498" s="496"/>
      <c r="I498" s="496"/>
      <c r="J498" s="496"/>
    </row>
    <row r="499" spans="1:10" ht="46.5">
      <c r="A499" s="504">
        <v>44160</v>
      </c>
      <c r="B499" s="500">
        <v>7</v>
      </c>
      <c r="C499" s="500" t="s">
        <v>416</v>
      </c>
      <c r="D499" s="500" t="s">
        <v>148</v>
      </c>
      <c r="E499" s="500"/>
      <c r="F499" s="500"/>
      <c r="G499" s="501" t="s">
        <v>452</v>
      </c>
      <c r="H499" s="500"/>
      <c r="I499" s="500"/>
      <c r="J499" s="500"/>
    </row>
    <row r="500" spans="1:10">
      <c r="A500" s="503">
        <v>44164</v>
      </c>
      <c r="B500" s="496">
        <v>13</v>
      </c>
      <c r="C500" s="496" t="s">
        <v>416</v>
      </c>
      <c r="D500" s="496" t="s">
        <v>276</v>
      </c>
      <c r="E500" s="496">
        <v>1</v>
      </c>
      <c r="F500" s="496"/>
      <c r="G500" s="497"/>
      <c r="H500" s="496"/>
      <c r="I500" s="496"/>
      <c r="J500" s="496"/>
    </row>
    <row r="501" spans="1:10">
      <c r="A501" s="504">
        <v>44168</v>
      </c>
      <c r="B501" s="500">
        <v>11</v>
      </c>
      <c r="C501" s="500" t="s">
        <v>416</v>
      </c>
      <c r="D501" s="500" t="s">
        <v>440</v>
      </c>
      <c r="E501" s="500"/>
      <c r="F501" s="500"/>
      <c r="G501" s="501" t="s">
        <v>457</v>
      </c>
      <c r="H501" s="500"/>
      <c r="I501" s="500"/>
      <c r="J501" s="500"/>
    </row>
    <row r="502" spans="1:10">
      <c r="A502" s="503">
        <v>44207</v>
      </c>
      <c r="B502" s="496">
        <v>13</v>
      </c>
      <c r="C502" s="496" t="s">
        <v>416</v>
      </c>
      <c r="D502" s="496" t="s">
        <v>146</v>
      </c>
      <c r="E502" s="496">
        <v>1</v>
      </c>
      <c r="F502" s="496">
        <v>6</v>
      </c>
      <c r="G502" s="497"/>
      <c r="H502" s="496"/>
      <c r="I502" s="496" t="s">
        <v>469</v>
      </c>
      <c r="J502" s="496" t="s">
        <v>470</v>
      </c>
    </row>
    <row r="503" spans="1:10">
      <c r="A503" s="504">
        <v>44208</v>
      </c>
      <c r="B503" s="500">
        <v>11</v>
      </c>
      <c r="C503" s="500" t="s">
        <v>416</v>
      </c>
      <c r="D503" s="500" t="s">
        <v>348</v>
      </c>
      <c r="E503" s="500">
        <v>1</v>
      </c>
      <c r="F503" s="500">
        <v>6</v>
      </c>
      <c r="G503" s="501"/>
      <c r="H503" s="500"/>
      <c r="I503" s="500" t="s">
        <v>469</v>
      </c>
      <c r="J503" s="500" t="s">
        <v>470</v>
      </c>
    </row>
    <row r="504" spans="1:10" ht="23.25">
      <c r="A504" s="503">
        <v>44209</v>
      </c>
      <c r="B504" s="496">
        <v>14</v>
      </c>
      <c r="C504" s="496" t="s">
        <v>416</v>
      </c>
      <c r="D504" s="496" t="s">
        <v>148</v>
      </c>
      <c r="E504" s="496"/>
      <c r="F504" s="496"/>
      <c r="G504" s="497" t="s">
        <v>499</v>
      </c>
      <c r="H504" s="496"/>
      <c r="I504" s="496" t="s">
        <v>506</v>
      </c>
      <c r="J504" s="496" t="s">
        <v>507</v>
      </c>
    </row>
    <row r="505" spans="1:10">
      <c r="A505" s="504">
        <v>44209</v>
      </c>
      <c r="B505" s="500">
        <v>19</v>
      </c>
      <c r="C505" s="500" t="s">
        <v>416</v>
      </c>
      <c r="D505" s="500" t="s">
        <v>440</v>
      </c>
      <c r="E505" s="500"/>
      <c r="F505" s="500"/>
      <c r="G505" s="501" t="s">
        <v>500</v>
      </c>
      <c r="H505" s="500"/>
      <c r="I505" s="500" t="s">
        <v>506</v>
      </c>
      <c r="J505" s="500" t="s">
        <v>507</v>
      </c>
    </row>
    <row r="506" spans="1:10">
      <c r="A506" s="503">
        <v>44212</v>
      </c>
      <c r="B506" s="496">
        <v>9</v>
      </c>
      <c r="C506" s="496" t="s">
        <v>416</v>
      </c>
      <c r="D506" s="496" t="s">
        <v>146</v>
      </c>
      <c r="E506" s="496">
        <v>1</v>
      </c>
      <c r="F506" s="496">
        <v>6</v>
      </c>
      <c r="G506" s="497" t="s">
        <v>509</v>
      </c>
      <c r="H506" s="496"/>
      <c r="I506" s="496" t="s">
        <v>469</v>
      </c>
      <c r="J506" s="496" t="s">
        <v>470</v>
      </c>
    </row>
    <row r="507" spans="1:10">
      <c r="A507" s="504">
        <v>44214</v>
      </c>
      <c r="B507" s="500">
        <v>13</v>
      </c>
      <c r="C507" s="500" t="s">
        <v>416</v>
      </c>
      <c r="D507" s="500" t="s">
        <v>148</v>
      </c>
      <c r="E507" s="500">
        <v>1</v>
      </c>
      <c r="F507" s="500">
        <v>6</v>
      </c>
      <c r="G507" s="501" t="s">
        <v>502</v>
      </c>
      <c r="H507" s="500"/>
      <c r="I507" s="500" t="s">
        <v>469</v>
      </c>
      <c r="J507" s="500" t="s">
        <v>470</v>
      </c>
    </row>
    <row r="508" spans="1:10">
      <c r="A508" s="503">
        <v>44216</v>
      </c>
      <c r="B508" s="496">
        <v>12</v>
      </c>
      <c r="C508" s="496" t="s">
        <v>416</v>
      </c>
      <c r="D508" s="496" t="s">
        <v>348</v>
      </c>
      <c r="E508" s="496">
        <v>1</v>
      </c>
      <c r="F508" s="496">
        <v>6</v>
      </c>
      <c r="G508" s="497"/>
      <c r="H508" s="496"/>
      <c r="I508" s="496" t="s">
        <v>469</v>
      </c>
      <c r="J508" s="496" t="s">
        <v>470</v>
      </c>
    </row>
    <row r="509" spans="1:10" ht="23.25">
      <c r="A509" s="504">
        <v>44217</v>
      </c>
      <c r="B509" s="500">
        <v>11</v>
      </c>
      <c r="C509" s="500" t="s">
        <v>416</v>
      </c>
      <c r="D509" s="500" t="s">
        <v>148</v>
      </c>
      <c r="E509" s="500"/>
      <c r="F509" s="500"/>
      <c r="G509" s="501" t="s">
        <v>503</v>
      </c>
      <c r="H509" s="500"/>
      <c r="I509" s="500" t="s">
        <v>469</v>
      </c>
      <c r="J509" s="500" t="s">
        <v>470</v>
      </c>
    </row>
    <row r="510" spans="1:10">
      <c r="A510" s="503">
        <v>43890</v>
      </c>
      <c r="B510" s="496">
        <v>14</v>
      </c>
      <c r="C510" s="496" t="s">
        <v>299</v>
      </c>
      <c r="D510" s="496" t="s">
        <v>148</v>
      </c>
      <c r="E510" s="496">
        <v>1</v>
      </c>
      <c r="F510" s="496">
        <v>24</v>
      </c>
      <c r="G510" s="497"/>
      <c r="H510" s="496"/>
      <c r="I510" s="496"/>
      <c r="J510" s="496"/>
    </row>
    <row r="511" spans="1:10">
      <c r="A511" s="504">
        <v>43891</v>
      </c>
      <c r="B511" s="500">
        <v>12</v>
      </c>
      <c r="C511" s="500" t="s">
        <v>299</v>
      </c>
      <c r="D511" s="500" t="s">
        <v>153</v>
      </c>
      <c r="E511" s="500">
        <v>1</v>
      </c>
      <c r="F511" s="500">
        <v>24</v>
      </c>
      <c r="G511" s="501"/>
      <c r="H511" s="500"/>
      <c r="I511" s="500"/>
      <c r="J511" s="500"/>
    </row>
    <row r="512" spans="1:10">
      <c r="A512" s="503">
        <v>43893</v>
      </c>
      <c r="B512" s="496">
        <v>10</v>
      </c>
      <c r="C512" s="496" t="s">
        <v>299</v>
      </c>
      <c r="D512" s="496" t="s">
        <v>147</v>
      </c>
      <c r="E512" s="496">
        <v>1</v>
      </c>
      <c r="F512" s="496">
        <v>24</v>
      </c>
      <c r="G512" s="497"/>
      <c r="H512" s="496"/>
      <c r="I512" s="496"/>
      <c r="J512" s="496"/>
    </row>
    <row r="513" spans="1:10">
      <c r="A513" s="504">
        <v>43893</v>
      </c>
      <c r="B513" s="500">
        <v>14</v>
      </c>
      <c r="C513" s="500" t="s">
        <v>299</v>
      </c>
      <c r="D513" s="500" t="s">
        <v>148</v>
      </c>
      <c r="E513" s="500">
        <v>1</v>
      </c>
      <c r="F513" s="500">
        <v>6</v>
      </c>
      <c r="G513" s="501"/>
      <c r="H513" s="500"/>
      <c r="I513" s="500"/>
      <c r="J513" s="500"/>
    </row>
    <row r="514" spans="1:10">
      <c r="A514" s="503">
        <v>43894</v>
      </c>
      <c r="B514" s="496">
        <v>10</v>
      </c>
      <c r="C514" s="496" t="s">
        <v>299</v>
      </c>
      <c r="D514" s="496" t="s">
        <v>153</v>
      </c>
      <c r="E514" s="496">
        <v>1</v>
      </c>
      <c r="F514" s="496">
        <v>6</v>
      </c>
      <c r="G514" s="497"/>
      <c r="H514" s="496"/>
      <c r="I514" s="496"/>
      <c r="J514" s="496"/>
    </row>
    <row r="515" spans="1:10">
      <c r="A515" s="504">
        <v>43897</v>
      </c>
      <c r="B515" s="500">
        <v>10</v>
      </c>
      <c r="C515" s="500" t="s">
        <v>299</v>
      </c>
      <c r="D515" s="500" t="s">
        <v>148</v>
      </c>
      <c r="E515" s="500">
        <v>5</v>
      </c>
      <c r="F515" s="500">
        <v>6</v>
      </c>
      <c r="G515" s="501"/>
      <c r="H515" s="500"/>
      <c r="I515" s="500"/>
      <c r="J515" s="500"/>
    </row>
    <row r="516" spans="1:10">
      <c r="A516" s="503">
        <v>43900</v>
      </c>
      <c r="B516" s="496">
        <v>9</v>
      </c>
      <c r="C516" s="496" t="s">
        <v>299</v>
      </c>
      <c r="D516" s="496" t="s">
        <v>152</v>
      </c>
      <c r="E516" s="496"/>
      <c r="F516" s="496"/>
      <c r="G516" s="497" t="s">
        <v>272</v>
      </c>
      <c r="H516" s="496"/>
      <c r="I516" s="496"/>
      <c r="J516" s="496"/>
    </row>
    <row r="517" spans="1:10">
      <c r="A517" s="504">
        <v>43900</v>
      </c>
      <c r="B517" s="500">
        <v>12</v>
      </c>
      <c r="C517" s="500" t="s">
        <v>299</v>
      </c>
      <c r="D517" s="500" t="s">
        <v>154</v>
      </c>
      <c r="E517" s="500">
        <v>1</v>
      </c>
      <c r="F517" s="500">
        <v>96</v>
      </c>
      <c r="G517" s="501"/>
      <c r="H517" s="500" t="s">
        <v>260</v>
      </c>
      <c r="I517" s="500"/>
      <c r="J517" s="500"/>
    </row>
    <row r="518" spans="1:10">
      <c r="A518" s="503">
        <v>43901</v>
      </c>
      <c r="B518" s="496">
        <v>9</v>
      </c>
      <c r="C518" s="496" t="s">
        <v>299</v>
      </c>
      <c r="D518" s="496" t="s">
        <v>153</v>
      </c>
      <c r="E518" s="496">
        <v>1</v>
      </c>
      <c r="F518" s="496">
        <v>96</v>
      </c>
      <c r="G518" s="497"/>
      <c r="H518" s="496"/>
      <c r="I518" s="496"/>
      <c r="J518" s="496"/>
    </row>
    <row r="519" spans="1:10">
      <c r="A519" s="504">
        <v>43901</v>
      </c>
      <c r="B519" s="500">
        <v>12</v>
      </c>
      <c r="C519" s="500" t="s">
        <v>304</v>
      </c>
      <c r="D519" s="500" t="s">
        <v>147</v>
      </c>
      <c r="E519" s="500"/>
      <c r="F519" s="500"/>
      <c r="G519" s="501"/>
      <c r="H519" s="500"/>
      <c r="I519" s="500"/>
      <c r="J519" s="500"/>
    </row>
    <row r="520" spans="1:10">
      <c r="A520" s="503">
        <v>43903</v>
      </c>
      <c r="B520" s="496">
        <v>9</v>
      </c>
      <c r="C520" s="496" t="s">
        <v>304</v>
      </c>
      <c r="D520" s="496" t="s">
        <v>147</v>
      </c>
      <c r="E520" s="496">
        <v>1</v>
      </c>
      <c r="F520" s="496">
        <v>96</v>
      </c>
      <c r="G520" s="497"/>
      <c r="H520" s="496"/>
      <c r="I520" s="496"/>
      <c r="J520" s="496"/>
    </row>
    <row r="521" spans="1:10">
      <c r="A521" s="504">
        <v>43907</v>
      </c>
      <c r="B521" s="500">
        <v>11</v>
      </c>
      <c r="C521" s="500" t="s">
        <v>304</v>
      </c>
      <c r="D521" s="500" t="s">
        <v>147</v>
      </c>
      <c r="E521" s="500">
        <v>1</v>
      </c>
      <c r="F521" s="500">
        <v>96</v>
      </c>
      <c r="G521" s="501"/>
      <c r="H521" s="500"/>
      <c r="I521" s="500"/>
      <c r="J521" s="500"/>
    </row>
    <row r="522" spans="1:10">
      <c r="A522" s="503">
        <v>43908</v>
      </c>
      <c r="B522" s="496">
        <v>10</v>
      </c>
      <c r="C522" s="496" t="s">
        <v>304</v>
      </c>
      <c r="D522" s="496" t="s">
        <v>148</v>
      </c>
      <c r="E522" s="496">
        <v>1</v>
      </c>
      <c r="F522" s="496">
        <v>24</v>
      </c>
      <c r="G522" s="497"/>
      <c r="H522" s="496"/>
      <c r="I522" s="496"/>
      <c r="J522" s="496"/>
    </row>
    <row r="523" spans="1:10">
      <c r="A523" s="504">
        <v>43909</v>
      </c>
      <c r="B523" s="500">
        <v>7</v>
      </c>
      <c r="C523" s="500" t="s">
        <v>304</v>
      </c>
      <c r="D523" s="500" t="s">
        <v>153</v>
      </c>
      <c r="E523" s="500">
        <v>1</v>
      </c>
      <c r="F523" s="500">
        <v>24</v>
      </c>
      <c r="G523" s="501"/>
      <c r="H523" s="500"/>
      <c r="I523" s="500"/>
      <c r="J523" s="500"/>
    </row>
    <row r="524" spans="1:10">
      <c r="A524" s="503">
        <v>43912</v>
      </c>
      <c r="B524" s="496">
        <v>10</v>
      </c>
      <c r="C524" s="496" t="s">
        <v>304</v>
      </c>
      <c r="D524" s="496" t="s">
        <v>148</v>
      </c>
      <c r="E524" s="496">
        <v>1</v>
      </c>
      <c r="F524" s="496">
        <v>6</v>
      </c>
      <c r="G524" s="497"/>
      <c r="H524" s="496"/>
      <c r="I524" s="496"/>
      <c r="J524" s="496"/>
    </row>
    <row r="525" spans="1:10">
      <c r="A525" s="504">
        <v>43913</v>
      </c>
      <c r="B525" s="500">
        <v>10</v>
      </c>
      <c r="C525" s="500" t="s">
        <v>304</v>
      </c>
      <c r="D525" s="500" t="s">
        <v>153</v>
      </c>
      <c r="E525" s="500">
        <v>1</v>
      </c>
      <c r="F525" s="500">
        <v>6</v>
      </c>
      <c r="G525" s="501"/>
      <c r="H525" s="500"/>
      <c r="I525" s="500"/>
      <c r="J525" s="500"/>
    </row>
    <row r="526" spans="1:10">
      <c r="A526" s="503">
        <v>43914</v>
      </c>
      <c r="B526" s="496">
        <v>9</v>
      </c>
      <c r="C526" s="496" t="s">
        <v>304</v>
      </c>
      <c r="D526" s="496" t="s">
        <v>148</v>
      </c>
      <c r="E526" s="496">
        <v>5</v>
      </c>
      <c r="F526" s="496">
        <v>6</v>
      </c>
      <c r="G526" s="497"/>
      <c r="H526" s="496"/>
      <c r="I526" s="496"/>
      <c r="J526" s="496"/>
    </row>
    <row r="527" spans="1:10">
      <c r="A527" s="504">
        <v>43915</v>
      </c>
      <c r="B527" s="500">
        <v>11</v>
      </c>
      <c r="C527" s="500" t="s">
        <v>304</v>
      </c>
      <c r="D527" s="500" t="s">
        <v>153</v>
      </c>
      <c r="E527" s="500">
        <v>5</v>
      </c>
      <c r="F527" s="500">
        <v>6</v>
      </c>
      <c r="G527" s="501"/>
      <c r="H527" s="500"/>
      <c r="I527" s="500"/>
      <c r="J527" s="500"/>
    </row>
    <row r="528" spans="1:10">
      <c r="A528" s="503">
        <v>44104</v>
      </c>
      <c r="B528" s="496">
        <v>11</v>
      </c>
      <c r="C528" s="496" t="s">
        <v>304</v>
      </c>
      <c r="D528" s="496" t="s">
        <v>146</v>
      </c>
      <c r="E528" s="496">
        <v>1</v>
      </c>
      <c r="F528" s="496">
        <v>6</v>
      </c>
      <c r="G528" s="497" t="s">
        <v>364</v>
      </c>
      <c r="H528" s="496"/>
      <c r="I528" s="496"/>
      <c r="J528" s="496"/>
    </row>
    <row r="529" spans="1:10">
      <c r="A529" s="504">
        <v>44105</v>
      </c>
      <c r="B529" s="500">
        <v>10</v>
      </c>
      <c r="C529" s="500" t="s">
        <v>304</v>
      </c>
      <c r="D529" s="500" t="s">
        <v>348</v>
      </c>
      <c r="E529" s="500">
        <v>1</v>
      </c>
      <c r="F529" s="500">
        <v>6</v>
      </c>
      <c r="G529" s="501"/>
      <c r="H529" s="500"/>
      <c r="I529" s="500"/>
      <c r="J529" s="500"/>
    </row>
    <row r="530" spans="1:10">
      <c r="A530" s="503">
        <v>44106</v>
      </c>
      <c r="B530" s="496">
        <v>10</v>
      </c>
      <c r="C530" s="496" t="s">
        <v>304</v>
      </c>
      <c r="D530" s="496" t="s">
        <v>148</v>
      </c>
      <c r="E530" s="496">
        <v>5</v>
      </c>
      <c r="F530" s="496">
        <v>6</v>
      </c>
      <c r="G530" s="497"/>
      <c r="H530" s="496"/>
      <c r="I530" s="496"/>
      <c r="J530" s="496"/>
    </row>
    <row r="531" spans="1:10">
      <c r="A531" s="504">
        <v>44107</v>
      </c>
      <c r="B531" s="500">
        <v>10</v>
      </c>
      <c r="C531" s="500" t="s">
        <v>304</v>
      </c>
      <c r="D531" s="500" t="s">
        <v>348</v>
      </c>
      <c r="E531" s="500">
        <v>5</v>
      </c>
      <c r="F531" s="500">
        <v>6</v>
      </c>
      <c r="G531" s="501"/>
      <c r="H531" s="500"/>
      <c r="I531" s="500"/>
      <c r="J531" s="500"/>
    </row>
    <row r="532" spans="1:10">
      <c r="A532" s="503">
        <v>44109</v>
      </c>
      <c r="B532" s="496">
        <v>10</v>
      </c>
      <c r="C532" s="496" t="s">
        <v>304</v>
      </c>
      <c r="D532" s="496" t="s">
        <v>348</v>
      </c>
      <c r="E532" s="496">
        <v>5</v>
      </c>
      <c r="F532" s="496">
        <v>6</v>
      </c>
      <c r="G532" s="497"/>
      <c r="H532" s="496"/>
      <c r="I532" s="496"/>
      <c r="J532" s="496"/>
    </row>
    <row r="533" spans="1:10">
      <c r="A533" s="504">
        <v>44110</v>
      </c>
      <c r="B533" s="500">
        <v>12</v>
      </c>
      <c r="C533" s="500" t="s">
        <v>304</v>
      </c>
      <c r="D533" s="500" t="s">
        <v>348</v>
      </c>
      <c r="E533" s="500">
        <v>5</v>
      </c>
      <c r="F533" s="500">
        <v>6</v>
      </c>
      <c r="G533" s="501"/>
      <c r="H533" s="500"/>
      <c r="I533" s="500"/>
      <c r="J533" s="500"/>
    </row>
    <row r="534" spans="1:10" ht="139.5">
      <c r="A534" s="503">
        <v>44111</v>
      </c>
      <c r="B534" s="496">
        <v>10</v>
      </c>
      <c r="C534" s="496" t="s">
        <v>304</v>
      </c>
      <c r="D534" s="496" t="s">
        <v>154</v>
      </c>
      <c r="E534" s="496">
        <v>1</v>
      </c>
      <c r="F534" s="496">
        <v>96</v>
      </c>
      <c r="G534" s="497" t="s">
        <v>372</v>
      </c>
      <c r="H534" s="496" t="s">
        <v>263</v>
      </c>
      <c r="I534" s="496"/>
      <c r="J534" s="496"/>
    </row>
    <row r="535" spans="1:10">
      <c r="A535" s="504">
        <v>44111</v>
      </c>
      <c r="B535" s="500">
        <v>11</v>
      </c>
      <c r="C535" s="500" t="s">
        <v>304</v>
      </c>
      <c r="D535" s="500" t="s">
        <v>152</v>
      </c>
      <c r="E535" s="500"/>
      <c r="F535" s="500"/>
      <c r="G535" s="501" t="s">
        <v>262</v>
      </c>
      <c r="H535" s="500"/>
      <c r="I535" s="500"/>
      <c r="J535" s="500"/>
    </row>
    <row r="536" spans="1:10">
      <c r="A536" s="503">
        <v>44112</v>
      </c>
      <c r="B536" s="496">
        <v>9</v>
      </c>
      <c r="C536" s="496" t="s">
        <v>371</v>
      </c>
      <c r="D536" s="496" t="s">
        <v>338</v>
      </c>
      <c r="E536" s="496">
        <v>1</v>
      </c>
      <c r="F536" s="496">
        <v>96</v>
      </c>
      <c r="G536" s="497"/>
      <c r="H536" s="496"/>
      <c r="I536" s="496"/>
      <c r="J536" s="496"/>
    </row>
    <row r="537" spans="1:10">
      <c r="A537" s="504">
        <v>44112</v>
      </c>
      <c r="B537" s="500">
        <v>12</v>
      </c>
      <c r="C537" s="500" t="s">
        <v>371</v>
      </c>
      <c r="D537" s="500" t="s">
        <v>147</v>
      </c>
      <c r="E537" s="500">
        <v>1</v>
      </c>
      <c r="F537" s="500">
        <v>96</v>
      </c>
      <c r="G537" s="501"/>
      <c r="H537" s="500"/>
      <c r="I537" s="500"/>
      <c r="J537" s="500"/>
    </row>
    <row r="538" spans="1:10">
      <c r="A538" s="503">
        <v>44113</v>
      </c>
      <c r="B538" s="496">
        <v>9</v>
      </c>
      <c r="C538" s="496" t="s">
        <v>371</v>
      </c>
      <c r="D538" s="496" t="s">
        <v>338</v>
      </c>
      <c r="E538" s="496">
        <v>1</v>
      </c>
      <c r="F538" s="496">
        <v>96</v>
      </c>
      <c r="G538" s="497"/>
      <c r="H538" s="496"/>
      <c r="I538" s="496"/>
      <c r="J538" s="496"/>
    </row>
    <row r="539" spans="1:10">
      <c r="A539" s="504">
        <v>44116</v>
      </c>
      <c r="B539" s="500">
        <v>9</v>
      </c>
      <c r="C539" s="500" t="s">
        <v>371</v>
      </c>
      <c r="D539" s="500" t="s">
        <v>148</v>
      </c>
      <c r="E539" s="500">
        <v>1</v>
      </c>
      <c r="F539" s="500">
        <v>12</v>
      </c>
      <c r="G539" s="501" t="s">
        <v>377</v>
      </c>
      <c r="H539" s="500"/>
      <c r="I539" s="500"/>
      <c r="J539" s="500"/>
    </row>
    <row r="540" spans="1:10">
      <c r="A540" s="503">
        <v>44117</v>
      </c>
      <c r="B540" s="496">
        <v>10</v>
      </c>
      <c r="C540" s="496" t="s">
        <v>371</v>
      </c>
      <c r="D540" s="496" t="s">
        <v>348</v>
      </c>
      <c r="E540" s="496">
        <v>1</v>
      </c>
      <c r="F540" s="496">
        <v>12</v>
      </c>
      <c r="G540" s="497"/>
      <c r="H540" s="496"/>
      <c r="I540" s="496"/>
      <c r="J540" s="496"/>
    </row>
    <row r="541" spans="1:10">
      <c r="A541" s="504">
        <v>44118</v>
      </c>
      <c r="B541" s="500">
        <v>10</v>
      </c>
      <c r="C541" s="500" t="s">
        <v>371</v>
      </c>
      <c r="D541" s="500" t="s">
        <v>348</v>
      </c>
      <c r="E541" s="500">
        <v>1</v>
      </c>
      <c r="F541" s="500">
        <v>12</v>
      </c>
      <c r="G541" s="501"/>
      <c r="H541" s="500"/>
      <c r="I541" s="500"/>
      <c r="J541" s="500"/>
    </row>
    <row r="542" spans="1:10">
      <c r="A542" s="503">
        <v>44118</v>
      </c>
      <c r="B542" s="496">
        <v>15</v>
      </c>
      <c r="C542" s="496" t="s">
        <v>371</v>
      </c>
      <c r="D542" s="496" t="s">
        <v>147</v>
      </c>
      <c r="E542" s="496">
        <v>1</v>
      </c>
      <c r="F542" s="496">
        <v>12</v>
      </c>
      <c r="G542" s="497"/>
      <c r="H542" s="496"/>
      <c r="I542" s="496"/>
      <c r="J542" s="496"/>
    </row>
    <row r="543" spans="1:10">
      <c r="A543" s="504">
        <v>44119</v>
      </c>
      <c r="B543" s="500">
        <v>11</v>
      </c>
      <c r="C543" s="500" t="s">
        <v>371</v>
      </c>
      <c r="D543" s="500" t="s">
        <v>148</v>
      </c>
      <c r="E543" s="500">
        <v>1</v>
      </c>
      <c r="F543" s="500">
        <v>6</v>
      </c>
      <c r="G543" s="501" t="s">
        <v>380</v>
      </c>
      <c r="H543" s="500"/>
      <c r="I543" s="500"/>
      <c r="J543" s="500"/>
    </row>
    <row r="544" spans="1:10">
      <c r="A544" s="503">
        <v>44120</v>
      </c>
      <c r="B544" s="496">
        <v>11</v>
      </c>
      <c r="C544" s="496" t="s">
        <v>371</v>
      </c>
      <c r="D544" s="496" t="s">
        <v>338</v>
      </c>
      <c r="E544" s="496">
        <v>1</v>
      </c>
      <c r="F544" s="496">
        <v>6</v>
      </c>
      <c r="G544" s="497"/>
      <c r="H544" s="496"/>
      <c r="I544" s="496"/>
      <c r="J544" s="496"/>
    </row>
    <row r="545" spans="1:10">
      <c r="A545" s="504">
        <v>44121</v>
      </c>
      <c r="B545" s="500">
        <v>11</v>
      </c>
      <c r="C545" s="500" t="s">
        <v>371</v>
      </c>
      <c r="D545" s="500" t="s">
        <v>148</v>
      </c>
      <c r="E545" s="500">
        <v>5</v>
      </c>
      <c r="F545" s="500">
        <v>6</v>
      </c>
      <c r="G545" s="501"/>
      <c r="H545" s="500"/>
      <c r="I545" s="500"/>
      <c r="J545" s="500"/>
    </row>
    <row r="546" spans="1:10">
      <c r="A546" s="503">
        <v>44123</v>
      </c>
      <c r="B546" s="496">
        <v>11</v>
      </c>
      <c r="C546" s="496" t="s">
        <v>371</v>
      </c>
      <c r="D546" s="496" t="s">
        <v>348</v>
      </c>
      <c r="E546" s="496">
        <v>5</v>
      </c>
      <c r="F546" s="496">
        <v>6</v>
      </c>
      <c r="G546" s="497"/>
      <c r="H546" s="496"/>
      <c r="I546" s="496"/>
      <c r="J546" s="496"/>
    </row>
    <row r="547" spans="1:10">
      <c r="A547" s="504">
        <v>44124</v>
      </c>
      <c r="B547" s="500">
        <v>10</v>
      </c>
      <c r="C547" s="500" t="s">
        <v>371</v>
      </c>
      <c r="D547" s="500" t="s">
        <v>348</v>
      </c>
      <c r="E547" s="500">
        <v>5</v>
      </c>
      <c r="F547" s="500">
        <v>6</v>
      </c>
      <c r="G547" s="501"/>
      <c r="H547" s="500"/>
      <c r="I547" s="500" t="s">
        <v>469</v>
      </c>
      <c r="J547" s="500" t="s">
        <v>470</v>
      </c>
    </row>
    <row r="548" spans="1:10" ht="93">
      <c r="A548" s="503">
        <v>44125</v>
      </c>
      <c r="B548" s="496">
        <v>11</v>
      </c>
      <c r="C548" s="496" t="s">
        <v>371</v>
      </c>
      <c r="D548" s="496" t="s">
        <v>154</v>
      </c>
      <c r="E548" s="496">
        <v>1</v>
      </c>
      <c r="F548" s="496">
        <v>12</v>
      </c>
      <c r="G548" s="497" t="s">
        <v>392</v>
      </c>
      <c r="H548" s="496" t="s">
        <v>317</v>
      </c>
      <c r="I548" s="496"/>
      <c r="J548" s="496"/>
    </row>
    <row r="549" spans="1:10">
      <c r="A549" s="504">
        <v>44126</v>
      </c>
      <c r="B549" s="500">
        <v>10</v>
      </c>
      <c r="C549" s="500" t="s">
        <v>371</v>
      </c>
      <c r="D549" s="500" t="s">
        <v>152</v>
      </c>
      <c r="E549" s="500">
        <v>4</v>
      </c>
      <c r="F549" s="500">
        <v>6</v>
      </c>
      <c r="G549" s="501" t="s">
        <v>262</v>
      </c>
      <c r="H549" s="500"/>
      <c r="I549" s="500"/>
      <c r="J549" s="500"/>
    </row>
    <row r="550" spans="1:10">
      <c r="A550" s="503">
        <v>44227</v>
      </c>
      <c r="B550" s="496">
        <v>13</v>
      </c>
      <c r="C550" s="496" t="s">
        <v>371</v>
      </c>
      <c r="D550" s="496" t="s">
        <v>146</v>
      </c>
      <c r="E550" s="496">
        <v>2</v>
      </c>
      <c r="F550" s="496">
        <v>6</v>
      </c>
      <c r="G550" s="497"/>
      <c r="H550" s="496"/>
      <c r="I550" s="496" t="s">
        <v>469</v>
      </c>
      <c r="J550" s="496" t="s">
        <v>470</v>
      </c>
    </row>
    <row r="551" spans="1:10">
      <c r="A551" s="504">
        <v>44228</v>
      </c>
      <c r="B551" s="500">
        <v>12</v>
      </c>
      <c r="C551" s="500" t="s">
        <v>371</v>
      </c>
      <c r="D551" s="500" t="s">
        <v>348</v>
      </c>
      <c r="E551" s="500">
        <v>2</v>
      </c>
      <c r="F551" s="500">
        <v>6</v>
      </c>
      <c r="G551" s="501"/>
      <c r="H551" s="500"/>
      <c r="I551" s="500" t="s">
        <v>469</v>
      </c>
      <c r="J551" s="500" t="s">
        <v>470</v>
      </c>
    </row>
    <row r="552" spans="1:10" ht="93">
      <c r="A552" s="503">
        <v>44229</v>
      </c>
      <c r="B552" s="496">
        <v>10</v>
      </c>
      <c r="C552" s="496" t="s">
        <v>371</v>
      </c>
      <c r="D552" s="496" t="s">
        <v>154</v>
      </c>
      <c r="E552" s="496">
        <v>2</v>
      </c>
      <c r="F552" s="496">
        <v>12</v>
      </c>
      <c r="G552" s="497" t="s">
        <v>522</v>
      </c>
      <c r="H552" s="496" t="s">
        <v>317</v>
      </c>
      <c r="I552" s="496" t="s">
        <v>469</v>
      </c>
      <c r="J552" s="496" t="s">
        <v>470</v>
      </c>
    </row>
    <row r="553" spans="1:10">
      <c r="A553" s="504">
        <v>44126</v>
      </c>
      <c r="B553" s="500">
        <v>11</v>
      </c>
      <c r="C553" s="500" t="s">
        <v>387</v>
      </c>
      <c r="D553" s="500" t="s">
        <v>338</v>
      </c>
      <c r="E553" s="500">
        <v>1</v>
      </c>
      <c r="F553" s="500">
        <v>12</v>
      </c>
      <c r="G553" s="501"/>
      <c r="H553" s="500"/>
      <c r="I553" s="500"/>
      <c r="J553" s="500"/>
    </row>
    <row r="554" spans="1:10">
      <c r="A554" s="503">
        <v>44127</v>
      </c>
      <c r="B554" s="496">
        <v>9</v>
      </c>
      <c r="C554" s="496" t="s">
        <v>387</v>
      </c>
      <c r="D554" s="496" t="s">
        <v>338</v>
      </c>
      <c r="E554" s="496">
        <v>1</v>
      </c>
      <c r="F554" s="496">
        <v>12</v>
      </c>
      <c r="G554" s="497"/>
      <c r="H554" s="496"/>
      <c r="I554" s="496"/>
      <c r="J554" s="496"/>
    </row>
    <row r="555" spans="1:10">
      <c r="A555" s="504">
        <v>44129</v>
      </c>
      <c r="B555" s="500">
        <v>10</v>
      </c>
      <c r="C555" s="500" t="s">
        <v>387</v>
      </c>
      <c r="D555" s="500" t="s">
        <v>338</v>
      </c>
      <c r="E555" s="500">
        <v>1</v>
      </c>
      <c r="F555" s="500">
        <v>12</v>
      </c>
      <c r="G555" s="501"/>
      <c r="H555" s="500"/>
      <c r="I555" s="500"/>
      <c r="J555" s="500"/>
    </row>
    <row r="556" spans="1:10">
      <c r="A556" s="503">
        <v>44131</v>
      </c>
      <c r="B556" s="496">
        <v>11</v>
      </c>
      <c r="C556" s="496" t="s">
        <v>387</v>
      </c>
      <c r="D556" s="496" t="s">
        <v>348</v>
      </c>
      <c r="E556" s="496">
        <v>1</v>
      </c>
      <c r="F556" s="496">
        <v>12</v>
      </c>
      <c r="G556" s="497"/>
      <c r="H556" s="496"/>
      <c r="I556" s="496"/>
      <c r="J556" s="496"/>
    </row>
    <row r="557" spans="1:10">
      <c r="A557" s="504">
        <v>44132</v>
      </c>
      <c r="B557" s="500">
        <v>9</v>
      </c>
      <c r="C557" s="500" t="s">
        <v>387</v>
      </c>
      <c r="D557" s="500" t="s">
        <v>348</v>
      </c>
      <c r="E557" s="500">
        <v>1</v>
      </c>
      <c r="F557" s="500">
        <v>12</v>
      </c>
      <c r="G557" s="501"/>
      <c r="H557" s="500"/>
      <c r="I557" s="500"/>
      <c r="J557" s="500"/>
    </row>
    <row r="558" spans="1:10">
      <c r="A558" s="503">
        <v>44133</v>
      </c>
      <c r="B558" s="496">
        <v>9</v>
      </c>
      <c r="C558" s="496" t="s">
        <v>387</v>
      </c>
      <c r="D558" s="496" t="s">
        <v>348</v>
      </c>
      <c r="E558" s="496">
        <v>1</v>
      </c>
      <c r="F558" s="496">
        <v>12</v>
      </c>
      <c r="G558" s="497"/>
      <c r="H558" s="496"/>
      <c r="I558" s="496"/>
      <c r="J558" s="496"/>
    </row>
    <row r="559" spans="1:10">
      <c r="A559" s="504">
        <v>44134</v>
      </c>
      <c r="B559" s="500">
        <v>9</v>
      </c>
      <c r="C559" s="500" t="s">
        <v>387</v>
      </c>
      <c r="D559" s="500" t="s">
        <v>348</v>
      </c>
      <c r="E559" s="500">
        <v>1</v>
      </c>
      <c r="F559" s="500">
        <v>12</v>
      </c>
      <c r="G559" s="501"/>
      <c r="H559" s="500"/>
      <c r="I559" s="500"/>
      <c r="J559" s="500"/>
    </row>
    <row r="560" spans="1:10">
      <c r="A560" s="503">
        <v>44135</v>
      </c>
      <c r="B560" s="496">
        <v>9</v>
      </c>
      <c r="C560" s="496" t="s">
        <v>387</v>
      </c>
      <c r="D560" s="496" t="s">
        <v>148</v>
      </c>
      <c r="E560" s="496">
        <v>1</v>
      </c>
      <c r="F560" s="496">
        <v>6</v>
      </c>
      <c r="G560" s="497"/>
      <c r="H560" s="496"/>
      <c r="I560" s="496"/>
      <c r="J560" s="496"/>
    </row>
    <row r="561" spans="1:10">
      <c r="A561" s="504">
        <v>44137</v>
      </c>
      <c r="B561" s="500">
        <v>9</v>
      </c>
      <c r="C561" s="500" t="s">
        <v>387</v>
      </c>
      <c r="D561" s="500" t="s">
        <v>348</v>
      </c>
      <c r="E561" s="500">
        <v>1</v>
      </c>
      <c r="F561" s="500">
        <v>6</v>
      </c>
      <c r="G561" s="501"/>
      <c r="H561" s="500"/>
      <c r="I561" s="500"/>
      <c r="J561" s="500"/>
    </row>
    <row r="562" spans="1:10" ht="151.15">
      <c r="A562" s="503">
        <v>44138</v>
      </c>
      <c r="B562" s="496">
        <v>8</v>
      </c>
      <c r="C562" s="496" t="s">
        <v>387</v>
      </c>
      <c r="D562" s="496" t="s">
        <v>154</v>
      </c>
      <c r="E562" s="496">
        <v>1</v>
      </c>
      <c r="F562" s="496">
        <v>12</v>
      </c>
      <c r="G562" s="497" t="s">
        <v>402</v>
      </c>
      <c r="H562" s="496" t="s">
        <v>334</v>
      </c>
      <c r="I562" s="496"/>
      <c r="J562" s="496"/>
    </row>
    <row r="563" spans="1:10">
      <c r="A563" s="504">
        <v>44139</v>
      </c>
      <c r="B563" s="500">
        <v>9</v>
      </c>
      <c r="C563" s="500" t="s">
        <v>387</v>
      </c>
      <c r="D563" s="500" t="s">
        <v>348</v>
      </c>
      <c r="E563" s="500">
        <v>1</v>
      </c>
      <c r="F563" s="500">
        <v>6</v>
      </c>
      <c r="G563" s="501"/>
      <c r="H563" s="500"/>
      <c r="I563" s="500"/>
      <c r="J563" s="500"/>
    </row>
    <row r="564" spans="1:10">
      <c r="A564" s="503">
        <v>44140</v>
      </c>
      <c r="B564" s="496">
        <v>9</v>
      </c>
      <c r="C564" s="496" t="s">
        <v>387</v>
      </c>
      <c r="D564" s="496" t="s">
        <v>338</v>
      </c>
      <c r="E564" s="496">
        <v>1</v>
      </c>
      <c r="F564" s="496">
        <v>6</v>
      </c>
      <c r="G564" s="497"/>
      <c r="H564" s="496"/>
      <c r="I564" s="496"/>
      <c r="J564" s="496"/>
    </row>
    <row r="565" spans="1:10">
      <c r="A565" s="504">
        <v>44141</v>
      </c>
      <c r="B565" s="500">
        <v>9</v>
      </c>
      <c r="C565" s="500" t="s">
        <v>387</v>
      </c>
      <c r="D565" s="500" t="s">
        <v>348</v>
      </c>
      <c r="E565" s="500">
        <v>1</v>
      </c>
      <c r="F565" s="500">
        <v>6</v>
      </c>
      <c r="G565" s="501"/>
      <c r="H565" s="500"/>
      <c r="I565" s="500"/>
      <c r="J565" s="500"/>
    </row>
    <row r="566" spans="1:10">
      <c r="A566" s="503">
        <v>44142</v>
      </c>
      <c r="B566" s="496">
        <v>9</v>
      </c>
      <c r="C566" s="496" t="s">
        <v>387</v>
      </c>
      <c r="D566" s="496" t="s">
        <v>348</v>
      </c>
      <c r="E566" s="496"/>
      <c r="F566" s="496"/>
      <c r="G566" s="497"/>
      <c r="H566" s="496"/>
      <c r="I566" s="496"/>
      <c r="J566" s="496"/>
    </row>
    <row r="567" spans="1:10">
      <c r="A567" s="504">
        <v>44144</v>
      </c>
      <c r="B567" s="500">
        <v>9</v>
      </c>
      <c r="C567" s="500" t="s">
        <v>387</v>
      </c>
      <c r="D567" s="500" t="s">
        <v>153</v>
      </c>
      <c r="E567" s="500">
        <v>1</v>
      </c>
      <c r="F567" s="500">
        <v>6</v>
      </c>
      <c r="G567" s="501"/>
      <c r="H567" s="500"/>
      <c r="I567" s="500"/>
      <c r="J567" s="500"/>
    </row>
    <row r="568" spans="1:10">
      <c r="A568" s="503">
        <v>44145</v>
      </c>
      <c r="B568" s="496">
        <v>10</v>
      </c>
      <c r="C568" s="496" t="s">
        <v>387</v>
      </c>
      <c r="D568" s="496"/>
      <c r="E568" s="496"/>
      <c r="F568" s="496"/>
      <c r="G568" s="497" t="s">
        <v>425</v>
      </c>
      <c r="H568" s="496"/>
      <c r="I568" s="496"/>
      <c r="J568" s="496"/>
    </row>
    <row r="569" spans="1:10">
      <c r="A569" s="504">
        <v>44230</v>
      </c>
      <c r="B569" s="500">
        <v>11</v>
      </c>
      <c r="C569" s="500" t="s">
        <v>387</v>
      </c>
      <c r="D569" s="500" t="s">
        <v>338</v>
      </c>
      <c r="E569" s="500">
        <v>2</v>
      </c>
      <c r="F569" s="500">
        <v>12</v>
      </c>
      <c r="G569" s="501"/>
      <c r="H569" s="500"/>
      <c r="I569" s="500" t="s">
        <v>469</v>
      </c>
      <c r="J569" s="500" t="s">
        <v>470</v>
      </c>
    </row>
    <row r="570" spans="1:10">
      <c r="A570" s="503">
        <v>44231</v>
      </c>
      <c r="B570" s="496">
        <v>9</v>
      </c>
      <c r="C570" s="496" t="s">
        <v>387</v>
      </c>
      <c r="D570" s="496" t="s">
        <v>338</v>
      </c>
      <c r="E570" s="496">
        <v>2</v>
      </c>
      <c r="F570" s="496">
        <v>12</v>
      </c>
      <c r="G570" s="497"/>
      <c r="H570" s="496"/>
      <c r="I570" s="496" t="s">
        <v>469</v>
      </c>
      <c r="J570" s="496" t="s">
        <v>470</v>
      </c>
    </row>
    <row r="571" spans="1:10">
      <c r="A571" s="504">
        <v>44139</v>
      </c>
      <c r="B571" s="500">
        <v>10</v>
      </c>
      <c r="C571" s="500" t="s">
        <v>400</v>
      </c>
      <c r="D571" s="500" t="s">
        <v>338</v>
      </c>
      <c r="E571" s="500">
        <v>1</v>
      </c>
      <c r="F571" s="500">
        <v>12</v>
      </c>
      <c r="G571" s="501"/>
      <c r="H571" s="500"/>
      <c r="I571" s="500"/>
      <c r="J571" s="500"/>
    </row>
    <row r="572" spans="1:10">
      <c r="A572" s="503">
        <v>44140</v>
      </c>
      <c r="B572" s="496">
        <v>10</v>
      </c>
      <c r="C572" s="496" t="s">
        <v>400</v>
      </c>
      <c r="D572" s="496" t="s">
        <v>338</v>
      </c>
      <c r="E572" s="496">
        <v>1</v>
      </c>
      <c r="F572" s="496">
        <v>12</v>
      </c>
      <c r="G572" s="497"/>
      <c r="H572" s="496"/>
      <c r="I572" s="496"/>
      <c r="J572" s="496"/>
    </row>
    <row r="573" spans="1:10">
      <c r="A573" s="504">
        <v>44141</v>
      </c>
      <c r="B573" s="500">
        <v>10</v>
      </c>
      <c r="C573" s="500" t="s">
        <v>400</v>
      </c>
      <c r="D573" s="500" t="s">
        <v>348</v>
      </c>
      <c r="E573" s="500">
        <v>1</v>
      </c>
      <c r="F573" s="500">
        <v>12</v>
      </c>
      <c r="G573" s="501"/>
      <c r="H573" s="500"/>
      <c r="I573" s="500"/>
      <c r="J573" s="500"/>
    </row>
    <row r="574" spans="1:10">
      <c r="A574" s="503">
        <v>44142</v>
      </c>
      <c r="B574" s="496">
        <v>10</v>
      </c>
      <c r="C574" s="496" t="s">
        <v>400</v>
      </c>
      <c r="D574" s="496" t="s">
        <v>348</v>
      </c>
      <c r="E574" s="496"/>
      <c r="F574" s="496"/>
      <c r="G574" s="497"/>
      <c r="H574" s="496"/>
      <c r="I574" s="496"/>
      <c r="J574" s="496"/>
    </row>
    <row r="575" spans="1:10">
      <c r="A575" s="504">
        <v>44144</v>
      </c>
      <c r="B575" s="500">
        <v>10</v>
      </c>
      <c r="C575" s="500" t="s">
        <v>400</v>
      </c>
      <c r="D575" s="500" t="s">
        <v>348</v>
      </c>
      <c r="E575" s="500">
        <v>1</v>
      </c>
      <c r="F575" s="500">
        <v>12</v>
      </c>
      <c r="G575" s="501"/>
      <c r="H575" s="500"/>
      <c r="I575" s="500"/>
      <c r="J575" s="500"/>
    </row>
    <row r="576" spans="1:10">
      <c r="A576" s="503">
        <v>44145</v>
      </c>
      <c r="B576" s="496">
        <v>13</v>
      </c>
      <c r="C576" s="496" t="s">
        <v>400</v>
      </c>
      <c r="D576" s="496" t="s">
        <v>348</v>
      </c>
      <c r="E576" s="496">
        <v>1</v>
      </c>
      <c r="F576" s="496">
        <v>12</v>
      </c>
      <c r="G576" s="497"/>
      <c r="H576" s="496"/>
      <c r="I576" s="496"/>
      <c r="J576" s="496"/>
    </row>
    <row r="577" spans="1:10">
      <c r="A577" s="504">
        <v>44147</v>
      </c>
      <c r="B577" s="500">
        <v>12</v>
      </c>
      <c r="C577" s="500" t="s">
        <v>400</v>
      </c>
      <c r="D577" s="500" t="s">
        <v>148</v>
      </c>
      <c r="E577" s="500">
        <v>1</v>
      </c>
      <c r="F577" s="500">
        <v>6</v>
      </c>
      <c r="G577" s="501" t="s">
        <v>426</v>
      </c>
      <c r="H577" s="500"/>
      <c r="I577" s="500"/>
      <c r="J577" s="500"/>
    </row>
    <row r="578" spans="1:10">
      <c r="A578" s="503">
        <v>44148</v>
      </c>
      <c r="B578" s="496">
        <v>7</v>
      </c>
      <c r="C578" s="496" t="s">
        <v>400</v>
      </c>
      <c r="D578" s="496" t="s">
        <v>348</v>
      </c>
      <c r="E578" s="496">
        <v>1</v>
      </c>
      <c r="F578" s="496">
        <v>6</v>
      </c>
      <c r="G578" s="497"/>
      <c r="H578" s="496"/>
      <c r="I578" s="496"/>
      <c r="J578" s="496"/>
    </row>
    <row r="579" spans="1:10">
      <c r="A579" s="504">
        <v>44149</v>
      </c>
      <c r="B579" s="500">
        <v>12</v>
      </c>
      <c r="C579" s="500" t="s">
        <v>400</v>
      </c>
      <c r="D579" s="500" t="s">
        <v>148</v>
      </c>
      <c r="E579" s="500">
        <v>5</v>
      </c>
      <c r="F579" s="500">
        <v>6</v>
      </c>
      <c r="G579" s="501" t="s">
        <v>429</v>
      </c>
      <c r="H579" s="500"/>
      <c r="I579" s="500"/>
      <c r="J579" s="500"/>
    </row>
    <row r="580" spans="1:10">
      <c r="A580" s="503">
        <v>44151</v>
      </c>
      <c r="B580" s="496">
        <v>12</v>
      </c>
      <c r="C580" s="496" t="s">
        <v>400</v>
      </c>
      <c r="D580" s="496" t="s">
        <v>348</v>
      </c>
      <c r="E580" s="496">
        <v>5</v>
      </c>
      <c r="F580" s="496">
        <v>6</v>
      </c>
      <c r="G580" s="497"/>
      <c r="H580" s="496"/>
      <c r="I580" s="496"/>
      <c r="J580" s="496"/>
    </row>
    <row r="581" spans="1:10">
      <c r="A581" s="504">
        <v>44153</v>
      </c>
      <c r="B581" s="500">
        <v>10</v>
      </c>
      <c r="C581" s="500" t="s">
        <v>400</v>
      </c>
      <c r="D581" s="500" t="s">
        <v>348</v>
      </c>
      <c r="E581" s="500">
        <v>5</v>
      </c>
      <c r="F581" s="500">
        <v>6</v>
      </c>
      <c r="G581" s="501"/>
      <c r="H581" s="500"/>
      <c r="I581" s="500"/>
      <c r="J581" s="500"/>
    </row>
    <row r="582" spans="1:10">
      <c r="A582" s="503">
        <v>44154</v>
      </c>
      <c r="B582" s="496">
        <v>7</v>
      </c>
      <c r="C582" s="496" t="s">
        <v>400</v>
      </c>
      <c r="D582" s="496" t="s">
        <v>148</v>
      </c>
      <c r="E582" s="496">
        <v>5</v>
      </c>
      <c r="F582" s="496">
        <v>10</v>
      </c>
      <c r="G582" s="497" t="s">
        <v>439</v>
      </c>
      <c r="H582" s="496"/>
      <c r="I582" s="496"/>
      <c r="J582" s="496"/>
    </row>
    <row r="583" spans="1:10">
      <c r="A583" s="504">
        <v>44155</v>
      </c>
      <c r="B583" s="500">
        <v>13</v>
      </c>
      <c r="C583" s="500" t="s">
        <v>400</v>
      </c>
      <c r="D583" s="500" t="s">
        <v>348</v>
      </c>
      <c r="E583" s="500">
        <v>5</v>
      </c>
      <c r="F583" s="500">
        <v>10</v>
      </c>
      <c r="G583" s="501"/>
      <c r="H583" s="500"/>
      <c r="I583" s="500"/>
      <c r="J583" s="500"/>
    </row>
    <row r="584" spans="1:10">
      <c r="A584" s="503">
        <v>44157</v>
      </c>
      <c r="B584" s="496">
        <v>13</v>
      </c>
      <c r="C584" s="496" t="s">
        <v>400</v>
      </c>
      <c r="D584" s="496" t="s">
        <v>348</v>
      </c>
      <c r="E584" s="496">
        <v>5</v>
      </c>
      <c r="F584" s="496">
        <v>10</v>
      </c>
      <c r="G584" s="497"/>
      <c r="H584" s="496"/>
      <c r="I584" s="496"/>
      <c r="J584" s="496"/>
    </row>
    <row r="585" spans="1:10" ht="58.15">
      <c r="A585" s="504">
        <v>44159</v>
      </c>
      <c r="B585" s="500">
        <v>7</v>
      </c>
      <c r="C585" s="500" t="s">
        <v>400</v>
      </c>
      <c r="D585" s="500" t="s">
        <v>152</v>
      </c>
      <c r="E585" s="500">
        <v>40</v>
      </c>
      <c r="F585" s="500" t="s">
        <v>411</v>
      </c>
      <c r="G585" s="501" t="s">
        <v>450</v>
      </c>
      <c r="H585" s="500"/>
      <c r="I585" s="500"/>
      <c r="J585" s="500"/>
    </row>
    <row r="586" spans="1:10">
      <c r="A586" s="503">
        <v>44164</v>
      </c>
      <c r="B586" s="496">
        <v>12</v>
      </c>
      <c r="C586" s="496" t="s">
        <v>400</v>
      </c>
      <c r="D586" s="496" t="s">
        <v>276</v>
      </c>
      <c r="E586" s="496">
        <v>1</v>
      </c>
      <c r="F586" s="496"/>
      <c r="G586" s="497"/>
      <c r="H586" s="496"/>
      <c r="I586" s="496"/>
      <c r="J586" s="496"/>
    </row>
    <row r="587" spans="1:10">
      <c r="A587" s="504">
        <v>44168</v>
      </c>
      <c r="B587" s="500">
        <v>10</v>
      </c>
      <c r="C587" s="500" t="s">
        <v>400</v>
      </c>
      <c r="D587" s="500" t="s">
        <v>440</v>
      </c>
      <c r="E587" s="500"/>
      <c r="F587" s="500"/>
      <c r="G587" s="501" t="s">
        <v>457</v>
      </c>
      <c r="H587" s="500"/>
      <c r="I587" s="500"/>
      <c r="J587" s="500"/>
    </row>
    <row r="588" spans="1:10">
      <c r="A588" s="503">
        <v>44207</v>
      </c>
      <c r="B588" s="496">
        <v>15</v>
      </c>
      <c r="C588" s="496" t="s">
        <v>400</v>
      </c>
      <c r="D588" s="496" t="s">
        <v>146</v>
      </c>
      <c r="E588" s="496">
        <v>1</v>
      </c>
      <c r="F588" s="496">
        <v>6</v>
      </c>
      <c r="G588" s="497"/>
      <c r="H588" s="496"/>
      <c r="I588" s="496" t="s">
        <v>469</v>
      </c>
      <c r="J588" s="496" t="s">
        <v>470</v>
      </c>
    </row>
    <row r="589" spans="1:10">
      <c r="A589" s="504">
        <v>44208</v>
      </c>
      <c r="B589" s="500">
        <v>13</v>
      </c>
      <c r="C589" s="500" t="s">
        <v>400</v>
      </c>
      <c r="D589" s="500" t="s">
        <v>348</v>
      </c>
      <c r="E589" s="500">
        <v>1</v>
      </c>
      <c r="F589" s="500">
        <v>6</v>
      </c>
      <c r="G589" s="501"/>
      <c r="H589" s="500"/>
      <c r="I589" s="500" t="s">
        <v>469</v>
      </c>
      <c r="J589" s="500" t="s">
        <v>470</v>
      </c>
    </row>
    <row r="590" spans="1:10" ht="23.25">
      <c r="A590" s="503">
        <v>44209</v>
      </c>
      <c r="B590" s="496">
        <v>16</v>
      </c>
      <c r="C590" s="496" t="s">
        <v>400</v>
      </c>
      <c r="D590" s="496" t="s">
        <v>148</v>
      </c>
      <c r="E590" s="496"/>
      <c r="F590" s="496"/>
      <c r="G590" s="497" t="s">
        <v>499</v>
      </c>
      <c r="H590" s="496"/>
      <c r="I590" s="496" t="s">
        <v>506</v>
      </c>
      <c r="J590" s="496" t="s">
        <v>507</v>
      </c>
    </row>
    <row r="591" spans="1:10">
      <c r="A591" s="504">
        <v>44209</v>
      </c>
      <c r="B591" s="500">
        <v>21</v>
      </c>
      <c r="C591" s="500" t="s">
        <v>400</v>
      </c>
      <c r="D591" s="500" t="s">
        <v>440</v>
      </c>
      <c r="E591" s="500"/>
      <c r="F591" s="500"/>
      <c r="G591" s="501" t="s">
        <v>500</v>
      </c>
      <c r="H591" s="500"/>
      <c r="I591" s="500" t="s">
        <v>506</v>
      </c>
      <c r="J591" s="500" t="s">
        <v>507</v>
      </c>
    </row>
    <row r="592" spans="1:10">
      <c r="A592" s="503">
        <v>44212</v>
      </c>
      <c r="B592" s="496">
        <v>11</v>
      </c>
      <c r="C592" s="496" t="s">
        <v>400</v>
      </c>
      <c r="D592" s="496" t="s">
        <v>146</v>
      </c>
      <c r="E592" s="496">
        <v>1</v>
      </c>
      <c r="F592" s="496">
        <v>6</v>
      </c>
      <c r="G592" s="497" t="s">
        <v>509</v>
      </c>
      <c r="H592" s="496"/>
      <c r="I592" s="496" t="s">
        <v>469</v>
      </c>
      <c r="J592" s="496" t="s">
        <v>470</v>
      </c>
    </row>
    <row r="593" spans="1:10">
      <c r="A593" s="504">
        <v>44214</v>
      </c>
      <c r="B593" s="500">
        <v>15</v>
      </c>
      <c r="C593" s="500" t="s">
        <v>400</v>
      </c>
      <c r="D593" s="500" t="s">
        <v>148</v>
      </c>
      <c r="E593" s="500">
        <v>1</v>
      </c>
      <c r="F593" s="500">
        <v>6</v>
      </c>
      <c r="G593" s="501" t="s">
        <v>502</v>
      </c>
      <c r="H593" s="500"/>
      <c r="I593" s="500" t="s">
        <v>469</v>
      </c>
      <c r="J593" s="500" t="s">
        <v>470</v>
      </c>
    </row>
    <row r="594" spans="1:10">
      <c r="A594" s="503">
        <v>44216</v>
      </c>
      <c r="B594" s="496">
        <v>14</v>
      </c>
      <c r="C594" s="496" t="s">
        <v>400</v>
      </c>
      <c r="D594" s="496" t="s">
        <v>348</v>
      </c>
      <c r="E594" s="496">
        <v>1</v>
      </c>
      <c r="F594" s="496">
        <v>6</v>
      </c>
      <c r="G594" s="497"/>
      <c r="H594" s="496"/>
      <c r="I594" s="496" t="s">
        <v>469</v>
      </c>
      <c r="J594" s="496" t="s">
        <v>470</v>
      </c>
    </row>
    <row r="595" spans="1:10">
      <c r="A595" s="504">
        <v>44217</v>
      </c>
      <c r="B595" s="500">
        <v>14</v>
      </c>
      <c r="C595" s="500" t="s">
        <v>400</v>
      </c>
      <c r="D595" s="500" t="s">
        <v>348</v>
      </c>
      <c r="E595" s="500">
        <v>1</v>
      </c>
      <c r="F595" s="500">
        <v>6</v>
      </c>
      <c r="G595" s="501"/>
      <c r="H595" s="500"/>
      <c r="I595" s="500" t="s">
        <v>469</v>
      </c>
      <c r="J595" s="500" t="s">
        <v>470</v>
      </c>
    </row>
    <row r="596" spans="1:10" ht="34.9">
      <c r="A596" s="503">
        <v>44218</v>
      </c>
      <c r="B596" s="496">
        <v>11</v>
      </c>
      <c r="C596" s="496" t="s">
        <v>400</v>
      </c>
      <c r="D596" s="496"/>
      <c r="E596" s="496">
        <v>1</v>
      </c>
      <c r="F596" s="496">
        <v>6</v>
      </c>
      <c r="G596" s="497" t="s">
        <v>510</v>
      </c>
      <c r="H596" s="496"/>
      <c r="I596" s="496" t="s">
        <v>469</v>
      </c>
      <c r="J596" s="496" t="s">
        <v>470</v>
      </c>
    </row>
    <row r="597" spans="1:10">
      <c r="A597" s="504">
        <v>44219</v>
      </c>
      <c r="B597" s="500">
        <v>7</v>
      </c>
      <c r="C597" s="500" t="s">
        <v>400</v>
      </c>
      <c r="D597" s="500" t="s">
        <v>146</v>
      </c>
      <c r="E597" s="500">
        <v>1</v>
      </c>
      <c r="F597" s="500">
        <v>6</v>
      </c>
      <c r="G597" s="501" t="s">
        <v>515</v>
      </c>
      <c r="H597" s="500"/>
      <c r="I597" s="500" t="s">
        <v>469</v>
      </c>
      <c r="J597" s="500" t="s">
        <v>470</v>
      </c>
    </row>
    <row r="598" spans="1:10">
      <c r="A598" s="503">
        <v>44221</v>
      </c>
      <c r="B598" s="496">
        <v>9</v>
      </c>
      <c r="C598" s="496" t="s">
        <v>400</v>
      </c>
      <c r="D598" s="496" t="s">
        <v>148</v>
      </c>
      <c r="E598" s="496">
        <v>2</v>
      </c>
      <c r="F598" s="496">
        <v>6</v>
      </c>
      <c r="G598" s="497" t="s">
        <v>498</v>
      </c>
      <c r="H598" s="496"/>
      <c r="I598" s="496" t="s">
        <v>469</v>
      </c>
      <c r="J598" s="496" t="s">
        <v>470</v>
      </c>
    </row>
    <row r="599" spans="1:10">
      <c r="A599" s="504">
        <v>44222</v>
      </c>
      <c r="B599" s="500">
        <v>10</v>
      </c>
      <c r="C599" s="500" t="s">
        <v>400</v>
      </c>
      <c r="D599" s="500" t="s">
        <v>338</v>
      </c>
      <c r="E599" s="500">
        <v>2</v>
      </c>
      <c r="F599" s="500">
        <v>6</v>
      </c>
      <c r="G599" s="501"/>
      <c r="H599" s="500"/>
      <c r="I599" s="500" t="s">
        <v>469</v>
      </c>
      <c r="J599" s="500" t="s">
        <v>470</v>
      </c>
    </row>
    <row r="600" spans="1:10">
      <c r="A600" s="503">
        <v>44223</v>
      </c>
      <c r="B600" s="496">
        <v>7</v>
      </c>
      <c r="C600" s="496" t="s">
        <v>400</v>
      </c>
      <c r="D600" s="496" t="s">
        <v>348</v>
      </c>
      <c r="E600" s="496">
        <v>2</v>
      </c>
      <c r="F600" s="496">
        <v>6</v>
      </c>
      <c r="G600" s="497"/>
      <c r="H600" s="496"/>
      <c r="I600" s="496" t="s">
        <v>469</v>
      </c>
      <c r="J600" s="496" t="s">
        <v>470</v>
      </c>
    </row>
    <row r="601" spans="1:10" ht="58.15">
      <c r="A601" s="504">
        <v>44225</v>
      </c>
      <c r="B601" s="500">
        <v>11</v>
      </c>
      <c r="C601" s="500" t="s">
        <v>400</v>
      </c>
      <c r="D601" s="500" t="s">
        <v>348</v>
      </c>
      <c r="E601" s="500">
        <v>2</v>
      </c>
      <c r="F601" s="500">
        <v>6</v>
      </c>
      <c r="G601" s="501" t="s">
        <v>519</v>
      </c>
      <c r="H601" s="500"/>
      <c r="I601" s="500" t="s">
        <v>469</v>
      </c>
      <c r="J601" s="500" t="s">
        <v>470</v>
      </c>
    </row>
    <row r="602" spans="1:10">
      <c r="A602" s="503">
        <v>43890</v>
      </c>
      <c r="B602" s="496">
        <v>12</v>
      </c>
      <c r="C602" s="496" t="s">
        <v>297</v>
      </c>
      <c r="D602" s="496" t="s">
        <v>148</v>
      </c>
      <c r="E602" s="496">
        <v>1</v>
      </c>
      <c r="F602" s="496">
        <v>24</v>
      </c>
      <c r="G602" s="497"/>
      <c r="H602" s="496"/>
      <c r="I602" s="496"/>
      <c r="J602" s="496"/>
    </row>
    <row r="603" spans="1:10">
      <c r="A603" s="504">
        <v>43891</v>
      </c>
      <c r="B603" s="500">
        <v>10</v>
      </c>
      <c r="C603" s="500" t="s">
        <v>297</v>
      </c>
      <c r="D603" s="500" t="s">
        <v>153</v>
      </c>
      <c r="E603" s="500">
        <v>1</v>
      </c>
      <c r="F603" s="500">
        <v>24</v>
      </c>
      <c r="G603" s="501"/>
      <c r="H603" s="500"/>
      <c r="I603" s="500"/>
      <c r="J603" s="500"/>
    </row>
    <row r="604" spans="1:10">
      <c r="A604" s="503">
        <v>43893</v>
      </c>
      <c r="B604" s="496">
        <v>8</v>
      </c>
      <c r="C604" s="496" t="s">
        <v>297</v>
      </c>
      <c r="D604" s="496" t="s">
        <v>147</v>
      </c>
      <c r="E604" s="496">
        <v>1</v>
      </c>
      <c r="F604" s="496">
        <v>24</v>
      </c>
      <c r="G604" s="497"/>
      <c r="H604" s="496"/>
      <c r="I604" s="496"/>
      <c r="J604" s="496"/>
    </row>
    <row r="605" spans="1:10">
      <c r="A605" s="504">
        <v>43893</v>
      </c>
      <c r="B605" s="500">
        <v>12</v>
      </c>
      <c r="C605" s="500" t="s">
        <v>297</v>
      </c>
      <c r="D605" s="500" t="s">
        <v>148</v>
      </c>
      <c r="E605" s="500">
        <v>1</v>
      </c>
      <c r="F605" s="500">
        <v>6</v>
      </c>
      <c r="G605" s="501"/>
      <c r="H605" s="500"/>
      <c r="I605" s="500"/>
      <c r="J605" s="500"/>
    </row>
    <row r="606" spans="1:10">
      <c r="A606" s="503">
        <v>43894</v>
      </c>
      <c r="B606" s="496">
        <v>8</v>
      </c>
      <c r="C606" s="496" t="s">
        <v>297</v>
      </c>
      <c r="D606" s="496" t="s">
        <v>153</v>
      </c>
      <c r="E606" s="496">
        <v>1</v>
      </c>
      <c r="F606" s="496">
        <v>6</v>
      </c>
      <c r="G606" s="497"/>
      <c r="H606" s="496"/>
      <c r="I606" s="496"/>
      <c r="J606" s="496"/>
    </row>
    <row r="607" spans="1:10">
      <c r="A607" s="504">
        <v>43897</v>
      </c>
      <c r="B607" s="500">
        <v>8</v>
      </c>
      <c r="C607" s="500" t="s">
        <v>297</v>
      </c>
      <c r="D607" s="500" t="s">
        <v>148</v>
      </c>
      <c r="E607" s="500">
        <v>5</v>
      </c>
      <c r="F607" s="500">
        <v>6</v>
      </c>
      <c r="G607" s="501"/>
      <c r="H607" s="500"/>
      <c r="I607" s="500"/>
      <c r="J607" s="500"/>
    </row>
    <row r="608" spans="1:10">
      <c r="A608" s="503">
        <v>43901</v>
      </c>
      <c r="B608" s="496">
        <v>7</v>
      </c>
      <c r="C608" s="496" t="s">
        <v>297</v>
      </c>
      <c r="D608" s="496" t="s">
        <v>152</v>
      </c>
      <c r="E608" s="496"/>
      <c r="F608" s="496"/>
      <c r="G608" s="497" t="s">
        <v>272</v>
      </c>
      <c r="H608" s="496"/>
      <c r="I608" s="496"/>
      <c r="J608" s="496"/>
    </row>
    <row r="609" spans="1:10">
      <c r="A609" s="504">
        <v>43901</v>
      </c>
      <c r="B609" s="500">
        <v>10</v>
      </c>
      <c r="C609" s="500" t="s">
        <v>297</v>
      </c>
      <c r="D609" s="500" t="s">
        <v>154</v>
      </c>
      <c r="E609" s="500">
        <v>1</v>
      </c>
      <c r="F609" s="500">
        <v>96</v>
      </c>
      <c r="G609" s="501"/>
      <c r="H609" s="500" t="s">
        <v>260</v>
      </c>
      <c r="I609" s="500"/>
      <c r="J609" s="500"/>
    </row>
    <row r="610" spans="1:10">
      <c r="A610" s="503">
        <v>43902</v>
      </c>
      <c r="B610" s="496">
        <v>10</v>
      </c>
      <c r="C610" s="496" t="s">
        <v>302</v>
      </c>
      <c r="D610" s="496" t="s">
        <v>153</v>
      </c>
      <c r="E610" s="496">
        <v>1</v>
      </c>
      <c r="F610" s="496">
        <v>96</v>
      </c>
      <c r="G610" s="497"/>
      <c r="H610" s="496"/>
      <c r="I610" s="496"/>
      <c r="J610" s="496"/>
    </row>
    <row r="611" spans="1:10">
      <c r="A611" s="504">
        <v>43904</v>
      </c>
      <c r="B611" s="500">
        <v>7</v>
      </c>
      <c r="C611" s="500" t="s">
        <v>302</v>
      </c>
      <c r="D611" s="500" t="s">
        <v>147</v>
      </c>
      <c r="E611" s="500">
        <v>1</v>
      </c>
      <c r="F611" s="500">
        <v>96</v>
      </c>
      <c r="G611" s="501"/>
      <c r="H611" s="500"/>
      <c r="I611" s="500"/>
      <c r="J611" s="500"/>
    </row>
    <row r="612" spans="1:10">
      <c r="A612" s="503">
        <v>43907</v>
      </c>
      <c r="B612" s="496">
        <v>9</v>
      </c>
      <c r="C612" s="496" t="s">
        <v>302</v>
      </c>
      <c r="D612" s="496" t="s">
        <v>147</v>
      </c>
      <c r="E612" s="496">
        <v>1</v>
      </c>
      <c r="F612" s="496">
        <v>96</v>
      </c>
      <c r="G612" s="497"/>
      <c r="H612" s="496"/>
      <c r="I612" s="496"/>
      <c r="J612" s="496"/>
    </row>
    <row r="613" spans="1:10">
      <c r="A613" s="504">
        <v>43909</v>
      </c>
      <c r="B613" s="500">
        <v>8</v>
      </c>
      <c r="C613" s="500" t="s">
        <v>302</v>
      </c>
      <c r="D613" s="500" t="s">
        <v>148</v>
      </c>
      <c r="E613" s="500">
        <v>1</v>
      </c>
      <c r="F613" s="500">
        <v>24</v>
      </c>
      <c r="G613" s="501"/>
      <c r="H613" s="500"/>
      <c r="I613" s="500"/>
      <c r="J613" s="500"/>
    </row>
    <row r="614" spans="1:10">
      <c r="A614" s="503">
        <v>43910</v>
      </c>
      <c r="B614" s="496">
        <v>9</v>
      </c>
      <c r="C614" s="496" t="s">
        <v>302</v>
      </c>
      <c r="D614" s="496" t="s">
        <v>153</v>
      </c>
      <c r="E614" s="496">
        <v>1</v>
      </c>
      <c r="F614" s="496">
        <v>24</v>
      </c>
      <c r="G614" s="497"/>
      <c r="H614" s="496"/>
      <c r="I614" s="496"/>
      <c r="J614" s="496"/>
    </row>
    <row r="615" spans="1:10">
      <c r="A615" s="504">
        <v>43912</v>
      </c>
      <c r="B615" s="500">
        <v>9</v>
      </c>
      <c r="C615" s="500" t="s">
        <v>302</v>
      </c>
      <c r="D615" s="500" t="s">
        <v>148</v>
      </c>
      <c r="E615" s="500">
        <v>1</v>
      </c>
      <c r="F615" s="500">
        <v>6</v>
      </c>
      <c r="G615" s="501"/>
      <c r="H615" s="500"/>
      <c r="I615" s="500"/>
      <c r="J615" s="500"/>
    </row>
    <row r="616" spans="1:10">
      <c r="A616" s="503">
        <v>43913</v>
      </c>
      <c r="B616" s="496">
        <v>9</v>
      </c>
      <c r="C616" s="496" t="s">
        <v>302</v>
      </c>
      <c r="D616" s="496" t="s">
        <v>153</v>
      </c>
      <c r="E616" s="496">
        <v>1</v>
      </c>
      <c r="F616" s="496">
        <v>6</v>
      </c>
      <c r="G616" s="497"/>
      <c r="H616" s="496"/>
      <c r="I616" s="496"/>
      <c r="J616" s="496"/>
    </row>
    <row r="617" spans="1:10">
      <c r="A617" s="504">
        <v>43914</v>
      </c>
      <c r="B617" s="500">
        <v>8</v>
      </c>
      <c r="C617" s="500" t="s">
        <v>302</v>
      </c>
      <c r="D617" s="500" t="s">
        <v>148</v>
      </c>
      <c r="E617" s="500">
        <v>5</v>
      </c>
      <c r="F617" s="500">
        <v>6</v>
      </c>
      <c r="G617" s="501"/>
      <c r="H617" s="500"/>
      <c r="I617" s="500"/>
      <c r="J617" s="500"/>
    </row>
    <row r="618" spans="1:10">
      <c r="A618" s="503">
        <v>43915</v>
      </c>
      <c r="B618" s="496">
        <v>10</v>
      </c>
      <c r="C618" s="496" t="s">
        <v>302</v>
      </c>
      <c r="D618" s="496" t="s">
        <v>153</v>
      </c>
      <c r="E618" s="496">
        <v>5</v>
      </c>
      <c r="F618" s="496">
        <v>6</v>
      </c>
      <c r="G618" s="497"/>
      <c r="H618" s="496"/>
      <c r="I618" s="496"/>
      <c r="J618" s="496"/>
    </row>
    <row r="619" spans="1:10">
      <c r="A619" s="504">
        <v>44104</v>
      </c>
      <c r="B619" s="500">
        <v>10</v>
      </c>
      <c r="C619" s="500" t="s">
        <v>302</v>
      </c>
      <c r="D619" s="500" t="s">
        <v>146</v>
      </c>
      <c r="E619" s="500">
        <v>1</v>
      </c>
      <c r="F619" s="500">
        <v>6</v>
      </c>
      <c r="G619" s="501" t="s">
        <v>364</v>
      </c>
      <c r="H619" s="500"/>
      <c r="I619" s="500"/>
      <c r="J619" s="500"/>
    </row>
    <row r="620" spans="1:10">
      <c r="A620" s="503">
        <v>44105</v>
      </c>
      <c r="B620" s="496">
        <v>9</v>
      </c>
      <c r="C620" s="496" t="s">
        <v>302</v>
      </c>
      <c r="D620" s="496" t="s">
        <v>348</v>
      </c>
      <c r="E620" s="496">
        <v>1</v>
      </c>
      <c r="F620" s="496">
        <v>6</v>
      </c>
      <c r="G620" s="497"/>
      <c r="H620" s="496"/>
      <c r="I620" s="496"/>
      <c r="J620" s="496"/>
    </row>
    <row r="621" spans="1:10">
      <c r="A621" s="504">
        <v>44106</v>
      </c>
      <c r="B621" s="500">
        <v>9</v>
      </c>
      <c r="C621" s="500" t="s">
        <v>302</v>
      </c>
      <c r="D621" s="500" t="s">
        <v>148</v>
      </c>
      <c r="E621" s="500">
        <v>5</v>
      </c>
      <c r="F621" s="500">
        <v>6</v>
      </c>
      <c r="G621" s="501"/>
      <c r="H621" s="500"/>
      <c r="I621" s="500"/>
      <c r="J621" s="500"/>
    </row>
    <row r="622" spans="1:10">
      <c r="A622" s="503">
        <v>44107</v>
      </c>
      <c r="B622" s="496">
        <v>9</v>
      </c>
      <c r="C622" s="496" t="s">
        <v>302</v>
      </c>
      <c r="D622" s="496" t="s">
        <v>348</v>
      </c>
      <c r="E622" s="496">
        <v>5</v>
      </c>
      <c r="F622" s="496">
        <v>6</v>
      </c>
      <c r="G622" s="497"/>
      <c r="H622" s="496"/>
      <c r="I622" s="496"/>
      <c r="J622" s="496"/>
    </row>
    <row r="623" spans="1:10" ht="81.400000000000006">
      <c r="A623" s="504">
        <v>44109</v>
      </c>
      <c r="B623" s="500">
        <v>9</v>
      </c>
      <c r="C623" s="500" t="s">
        <v>302</v>
      </c>
      <c r="D623" s="500" t="s">
        <v>154</v>
      </c>
      <c r="E623" s="500"/>
      <c r="F623" s="500"/>
      <c r="G623" s="501" t="s">
        <v>369</v>
      </c>
      <c r="H623" s="500" t="s">
        <v>263</v>
      </c>
      <c r="I623" s="500"/>
      <c r="J623" s="500"/>
    </row>
    <row r="624" spans="1:10">
      <c r="A624" s="503">
        <v>44109</v>
      </c>
      <c r="B624" s="496">
        <v>14</v>
      </c>
      <c r="C624" s="496" t="s">
        <v>302</v>
      </c>
      <c r="D624" s="496" t="s">
        <v>152</v>
      </c>
      <c r="E624" s="496"/>
      <c r="F624" s="496"/>
      <c r="G624" s="497" t="s">
        <v>262</v>
      </c>
      <c r="H624" s="496"/>
      <c r="I624" s="496"/>
      <c r="J624" s="496"/>
    </row>
    <row r="625" spans="1:10">
      <c r="A625" s="504">
        <v>44110</v>
      </c>
      <c r="B625" s="500">
        <v>9</v>
      </c>
      <c r="C625" s="500" t="s">
        <v>367</v>
      </c>
      <c r="D625" s="500" t="s">
        <v>338</v>
      </c>
      <c r="E625" s="500">
        <v>1</v>
      </c>
      <c r="F625" s="500">
        <v>96</v>
      </c>
      <c r="G625" s="501"/>
      <c r="H625" s="500"/>
      <c r="I625" s="500"/>
      <c r="J625" s="500"/>
    </row>
    <row r="626" spans="1:10">
      <c r="A626" s="503">
        <v>44110</v>
      </c>
      <c r="B626" s="496">
        <v>11</v>
      </c>
      <c r="C626" s="496" t="s">
        <v>367</v>
      </c>
      <c r="D626" s="496" t="s">
        <v>147</v>
      </c>
      <c r="E626" s="496">
        <v>1</v>
      </c>
      <c r="F626" s="496">
        <v>96</v>
      </c>
      <c r="G626" s="497"/>
      <c r="H626" s="496"/>
      <c r="I626" s="496"/>
      <c r="J626" s="496"/>
    </row>
    <row r="627" spans="1:10">
      <c r="A627" s="504">
        <v>44111</v>
      </c>
      <c r="B627" s="500">
        <v>9</v>
      </c>
      <c r="C627" s="500" t="s">
        <v>367</v>
      </c>
      <c r="D627" s="500" t="s">
        <v>338</v>
      </c>
      <c r="E627" s="500">
        <v>1</v>
      </c>
      <c r="F627" s="500">
        <v>96</v>
      </c>
      <c r="G627" s="501"/>
      <c r="H627" s="500"/>
      <c r="I627" s="500"/>
      <c r="J627" s="500"/>
    </row>
    <row r="628" spans="1:10">
      <c r="A628" s="503">
        <v>44112</v>
      </c>
      <c r="B628" s="496">
        <v>8</v>
      </c>
      <c r="C628" s="496" t="s">
        <v>367</v>
      </c>
      <c r="D628" s="496" t="s">
        <v>348</v>
      </c>
      <c r="E628" s="496">
        <v>1</v>
      </c>
      <c r="F628" s="496">
        <v>96</v>
      </c>
      <c r="G628" s="497"/>
      <c r="H628" s="496"/>
      <c r="I628" s="496"/>
      <c r="J628" s="496"/>
    </row>
    <row r="629" spans="1:10">
      <c r="A629" s="504">
        <v>44113</v>
      </c>
      <c r="B629" s="500">
        <v>8</v>
      </c>
      <c r="C629" s="500" t="s">
        <v>367</v>
      </c>
      <c r="D629" s="500" t="s">
        <v>348</v>
      </c>
      <c r="E629" s="500">
        <v>1</v>
      </c>
      <c r="F629" s="500">
        <v>96</v>
      </c>
      <c r="G629" s="501"/>
      <c r="H629" s="500"/>
      <c r="I629" s="500"/>
      <c r="J629" s="500"/>
    </row>
    <row r="630" spans="1:10">
      <c r="A630" s="503">
        <v>44116</v>
      </c>
      <c r="B630" s="496">
        <v>8</v>
      </c>
      <c r="C630" s="496" t="s">
        <v>367</v>
      </c>
      <c r="D630" s="496" t="s">
        <v>148</v>
      </c>
      <c r="E630" s="496">
        <v>1</v>
      </c>
      <c r="F630" s="496">
        <v>12</v>
      </c>
      <c r="G630" s="497" t="s">
        <v>377</v>
      </c>
      <c r="H630" s="496"/>
      <c r="I630" s="496"/>
      <c r="J630" s="496"/>
    </row>
    <row r="631" spans="1:10">
      <c r="A631" s="504">
        <v>44117</v>
      </c>
      <c r="B631" s="500">
        <v>9</v>
      </c>
      <c r="C631" s="500" t="s">
        <v>367</v>
      </c>
      <c r="D631" s="500" t="s">
        <v>348</v>
      </c>
      <c r="E631" s="500">
        <v>1</v>
      </c>
      <c r="F631" s="500">
        <v>12</v>
      </c>
      <c r="G631" s="501"/>
      <c r="H631" s="500"/>
      <c r="I631" s="500"/>
      <c r="J631" s="500"/>
    </row>
    <row r="632" spans="1:10">
      <c r="A632" s="503">
        <v>44118</v>
      </c>
      <c r="B632" s="496">
        <v>9</v>
      </c>
      <c r="C632" s="496" t="s">
        <v>367</v>
      </c>
      <c r="D632" s="496" t="s">
        <v>348</v>
      </c>
      <c r="E632" s="496">
        <v>1</v>
      </c>
      <c r="F632" s="496">
        <v>12</v>
      </c>
      <c r="G632" s="497"/>
      <c r="H632" s="496"/>
      <c r="I632" s="496"/>
      <c r="J632" s="496"/>
    </row>
    <row r="633" spans="1:10">
      <c r="A633" s="504">
        <v>44118</v>
      </c>
      <c r="B633" s="500">
        <v>14</v>
      </c>
      <c r="C633" s="500" t="s">
        <v>367</v>
      </c>
      <c r="D633" s="500" t="s">
        <v>147</v>
      </c>
      <c r="E633" s="500">
        <v>1</v>
      </c>
      <c r="F633" s="500">
        <v>12</v>
      </c>
      <c r="G633" s="501"/>
      <c r="H633" s="500"/>
      <c r="I633" s="500"/>
      <c r="J633" s="500"/>
    </row>
    <row r="634" spans="1:10">
      <c r="A634" s="503">
        <v>44119</v>
      </c>
      <c r="B634" s="496">
        <v>10</v>
      </c>
      <c r="C634" s="496" t="s">
        <v>367</v>
      </c>
      <c r="D634" s="496" t="s">
        <v>148</v>
      </c>
      <c r="E634" s="496">
        <v>1</v>
      </c>
      <c r="F634" s="496">
        <v>6</v>
      </c>
      <c r="G634" s="497" t="s">
        <v>380</v>
      </c>
      <c r="H634" s="496"/>
      <c r="I634" s="496"/>
      <c r="J634" s="496"/>
    </row>
    <row r="635" spans="1:10">
      <c r="A635" s="504">
        <v>44120</v>
      </c>
      <c r="B635" s="500">
        <v>10</v>
      </c>
      <c r="C635" s="500" t="s">
        <v>367</v>
      </c>
      <c r="D635" s="500" t="s">
        <v>338</v>
      </c>
      <c r="E635" s="500">
        <v>1</v>
      </c>
      <c r="F635" s="500">
        <v>6</v>
      </c>
      <c r="G635" s="501"/>
      <c r="H635" s="500"/>
      <c r="I635" s="500"/>
      <c r="J635" s="500"/>
    </row>
    <row r="636" spans="1:10">
      <c r="A636" s="503">
        <v>44121</v>
      </c>
      <c r="B636" s="496">
        <v>10</v>
      </c>
      <c r="C636" s="496" t="s">
        <v>367</v>
      </c>
      <c r="D636" s="496" t="s">
        <v>148</v>
      </c>
      <c r="E636" s="496">
        <v>5</v>
      </c>
      <c r="F636" s="496">
        <v>6</v>
      </c>
      <c r="G636" s="497"/>
      <c r="H636" s="496"/>
      <c r="I636" s="496"/>
      <c r="J636" s="496"/>
    </row>
    <row r="637" spans="1:10">
      <c r="A637" s="504">
        <v>44123</v>
      </c>
      <c r="B637" s="500">
        <v>10</v>
      </c>
      <c r="C637" s="500" t="s">
        <v>367</v>
      </c>
      <c r="D637" s="500" t="s">
        <v>348</v>
      </c>
      <c r="E637" s="500">
        <v>5</v>
      </c>
      <c r="F637" s="500">
        <v>6</v>
      </c>
      <c r="G637" s="501"/>
      <c r="H637" s="500"/>
      <c r="I637" s="500"/>
      <c r="J637" s="500"/>
    </row>
    <row r="638" spans="1:10">
      <c r="A638" s="503">
        <v>44124</v>
      </c>
      <c r="B638" s="496">
        <v>11</v>
      </c>
      <c r="C638" s="496" t="s">
        <v>367</v>
      </c>
      <c r="D638" s="496" t="s">
        <v>348</v>
      </c>
      <c r="E638" s="496">
        <v>5</v>
      </c>
      <c r="F638" s="496">
        <v>6</v>
      </c>
      <c r="G638" s="497"/>
      <c r="H638" s="496"/>
      <c r="I638" s="496" t="s">
        <v>469</v>
      </c>
      <c r="J638" s="496" t="s">
        <v>470</v>
      </c>
    </row>
    <row r="639" spans="1:10" ht="81.400000000000006">
      <c r="A639" s="504">
        <v>44125</v>
      </c>
      <c r="B639" s="500">
        <v>10</v>
      </c>
      <c r="C639" s="500" t="s">
        <v>367</v>
      </c>
      <c r="D639" s="500" t="s">
        <v>154</v>
      </c>
      <c r="E639" s="500">
        <v>1</v>
      </c>
      <c r="F639" s="500">
        <v>12</v>
      </c>
      <c r="G639" s="501" t="s">
        <v>391</v>
      </c>
      <c r="H639" s="500" t="s">
        <v>317</v>
      </c>
      <c r="I639" s="500"/>
      <c r="J639" s="500"/>
    </row>
    <row r="640" spans="1:10">
      <c r="A640" s="503">
        <v>44126</v>
      </c>
      <c r="B640" s="496">
        <v>12</v>
      </c>
      <c r="C640" s="496" t="s">
        <v>367</v>
      </c>
      <c r="D640" s="496" t="s">
        <v>152</v>
      </c>
      <c r="E640" s="496">
        <v>4</v>
      </c>
      <c r="F640" s="496">
        <v>6</v>
      </c>
      <c r="G640" s="497" t="s">
        <v>262</v>
      </c>
      <c r="H640" s="496"/>
      <c r="I640" s="496"/>
      <c r="J640" s="496"/>
    </row>
    <row r="641" spans="1:10">
      <c r="A641" s="504">
        <v>44126</v>
      </c>
      <c r="B641" s="500">
        <v>13</v>
      </c>
      <c r="C641" s="500" t="s">
        <v>386</v>
      </c>
      <c r="D641" s="500" t="s">
        <v>338</v>
      </c>
      <c r="E641" s="500">
        <v>1</v>
      </c>
      <c r="F641" s="500">
        <v>12</v>
      </c>
      <c r="G641" s="501"/>
      <c r="H641" s="500"/>
      <c r="I641" s="500"/>
      <c r="J641" s="500"/>
    </row>
    <row r="642" spans="1:10">
      <c r="A642" s="503">
        <v>44127</v>
      </c>
      <c r="B642" s="496">
        <v>10</v>
      </c>
      <c r="C642" s="496" t="s">
        <v>386</v>
      </c>
      <c r="D642" s="496" t="s">
        <v>338</v>
      </c>
      <c r="E642" s="496">
        <v>1</v>
      </c>
      <c r="F642" s="496">
        <v>12</v>
      </c>
      <c r="G642" s="497"/>
      <c r="H642" s="496"/>
      <c r="I642" s="496"/>
      <c r="J642" s="496"/>
    </row>
    <row r="643" spans="1:10">
      <c r="A643" s="504">
        <v>44129</v>
      </c>
      <c r="B643" s="500">
        <v>11</v>
      </c>
      <c r="C643" s="500" t="s">
        <v>386</v>
      </c>
      <c r="D643" s="500" t="s">
        <v>338</v>
      </c>
      <c r="E643" s="500">
        <v>1</v>
      </c>
      <c r="F643" s="500">
        <v>12</v>
      </c>
      <c r="G643" s="501"/>
      <c r="H643" s="500"/>
      <c r="I643" s="500"/>
      <c r="J643" s="500"/>
    </row>
    <row r="644" spans="1:10">
      <c r="A644" s="503">
        <v>44131</v>
      </c>
      <c r="B644" s="496">
        <v>12</v>
      </c>
      <c r="C644" s="496" t="s">
        <v>386</v>
      </c>
      <c r="D644" s="496" t="s">
        <v>348</v>
      </c>
      <c r="E644" s="496">
        <v>1</v>
      </c>
      <c r="F644" s="496">
        <v>12</v>
      </c>
      <c r="G644" s="497"/>
      <c r="H644" s="496"/>
      <c r="I644" s="496"/>
      <c r="J644" s="496"/>
    </row>
    <row r="645" spans="1:10">
      <c r="A645" s="504">
        <v>44132</v>
      </c>
      <c r="B645" s="500">
        <v>10</v>
      </c>
      <c r="C645" s="500" t="s">
        <v>386</v>
      </c>
      <c r="D645" s="500" t="s">
        <v>348</v>
      </c>
      <c r="E645" s="500">
        <v>1</v>
      </c>
      <c r="F645" s="500">
        <v>12</v>
      </c>
      <c r="G645" s="501"/>
      <c r="H645" s="500"/>
      <c r="I645" s="500"/>
      <c r="J645" s="500"/>
    </row>
    <row r="646" spans="1:10">
      <c r="A646" s="503">
        <v>44133</v>
      </c>
      <c r="B646" s="496">
        <v>10</v>
      </c>
      <c r="C646" s="496" t="s">
        <v>386</v>
      </c>
      <c r="D646" s="496" t="s">
        <v>348</v>
      </c>
      <c r="E646" s="496">
        <v>1</v>
      </c>
      <c r="F646" s="496">
        <v>12</v>
      </c>
      <c r="G646" s="497"/>
      <c r="H646" s="496"/>
      <c r="I646" s="496"/>
      <c r="J646" s="496"/>
    </row>
    <row r="647" spans="1:10">
      <c r="A647" s="504">
        <v>44134</v>
      </c>
      <c r="B647" s="500">
        <v>10</v>
      </c>
      <c r="C647" s="500" t="s">
        <v>386</v>
      </c>
      <c r="D647" s="500" t="s">
        <v>348</v>
      </c>
      <c r="E647" s="500">
        <v>1</v>
      </c>
      <c r="F647" s="500">
        <v>12</v>
      </c>
      <c r="G647" s="501"/>
      <c r="H647" s="500"/>
      <c r="I647" s="500"/>
      <c r="J647" s="500"/>
    </row>
    <row r="648" spans="1:10">
      <c r="A648" s="503">
        <v>44135</v>
      </c>
      <c r="B648" s="496">
        <v>10</v>
      </c>
      <c r="C648" s="496" t="s">
        <v>386</v>
      </c>
      <c r="D648" s="496" t="s">
        <v>148</v>
      </c>
      <c r="E648" s="496">
        <v>1</v>
      </c>
      <c r="F648" s="496">
        <v>6</v>
      </c>
      <c r="G648" s="497"/>
      <c r="H648" s="496"/>
      <c r="I648" s="496"/>
      <c r="J648" s="496"/>
    </row>
    <row r="649" spans="1:10">
      <c r="A649" s="504">
        <v>44137</v>
      </c>
      <c r="B649" s="500">
        <v>10</v>
      </c>
      <c r="C649" s="500" t="s">
        <v>386</v>
      </c>
      <c r="D649" s="500" t="s">
        <v>348</v>
      </c>
      <c r="E649" s="500">
        <v>1</v>
      </c>
      <c r="F649" s="500">
        <v>6</v>
      </c>
      <c r="G649" s="501"/>
      <c r="H649" s="500"/>
      <c r="I649" s="500"/>
      <c r="J649" s="500"/>
    </row>
    <row r="650" spans="1:10">
      <c r="A650" s="503">
        <v>44138</v>
      </c>
      <c r="B650" s="496">
        <v>9</v>
      </c>
      <c r="C650" s="496" t="s">
        <v>386</v>
      </c>
      <c r="D650" s="496"/>
      <c r="E650" s="496">
        <v>1</v>
      </c>
      <c r="F650" s="496">
        <v>6</v>
      </c>
      <c r="G650" s="497"/>
      <c r="H650" s="496"/>
      <c r="I650" s="496"/>
      <c r="J650" s="496"/>
    </row>
    <row r="651" spans="1:10">
      <c r="A651" s="504">
        <v>44139</v>
      </c>
      <c r="B651" s="500">
        <v>11</v>
      </c>
      <c r="C651" s="500" t="s">
        <v>386</v>
      </c>
      <c r="D651" s="500" t="s">
        <v>348</v>
      </c>
      <c r="E651" s="500">
        <v>1</v>
      </c>
      <c r="F651" s="500">
        <v>6</v>
      </c>
      <c r="G651" s="501"/>
      <c r="H651" s="500"/>
      <c r="I651" s="500"/>
      <c r="J651" s="500"/>
    </row>
    <row r="652" spans="1:10" ht="186">
      <c r="A652" s="503">
        <v>44140</v>
      </c>
      <c r="B652" s="496">
        <v>11</v>
      </c>
      <c r="C652" s="496" t="s">
        <v>386</v>
      </c>
      <c r="D652" s="496" t="s">
        <v>154</v>
      </c>
      <c r="E652" s="496">
        <v>1</v>
      </c>
      <c r="F652" s="496">
        <v>6</v>
      </c>
      <c r="G652" s="497" t="s">
        <v>406</v>
      </c>
      <c r="H652" s="496" t="s">
        <v>334</v>
      </c>
      <c r="I652" s="496"/>
      <c r="J652" s="496"/>
    </row>
    <row r="653" spans="1:10">
      <c r="A653" s="504">
        <v>44140</v>
      </c>
      <c r="B653" s="500">
        <v>12</v>
      </c>
      <c r="C653" s="500" t="s">
        <v>386</v>
      </c>
      <c r="D653" s="500" t="s">
        <v>148</v>
      </c>
      <c r="E653" s="500">
        <v>1</v>
      </c>
      <c r="F653" s="500">
        <v>6</v>
      </c>
      <c r="G653" s="501" t="s">
        <v>404</v>
      </c>
      <c r="H653" s="500"/>
      <c r="I653" s="500"/>
      <c r="J653" s="500"/>
    </row>
    <row r="654" spans="1:10">
      <c r="A654" s="503">
        <v>44141</v>
      </c>
      <c r="B654" s="496">
        <v>11</v>
      </c>
      <c r="C654" s="496" t="s">
        <v>386</v>
      </c>
      <c r="D654" s="496" t="s">
        <v>348</v>
      </c>
      <c r="E654" s="496">
        <v>1</v>
      </c>
      <c r="F654" s="496">
        <v>6</v>
      </c>
      <c r="G654" s="497"/>
      <c r="H654" s="496"/>
      <c r="I654" s="496"/>
      <c r="J654" s="496"/>
    </row>
    <row r="655" spans="1:10">
      <c r="A655" s="504">
        <v>44141</v>
      </c>
      <c r="B655" s="500">
        <v>12</v>
      </c>
      <c r="C655" s="500" t="s">
        <v>386</v>
      </c>
      <c r="D655" s="500" t="s">
        <v>348</v>
      </c>
      <c r="E655" s="500">
        <v>1</v>
      </c>
      <c r="F655" s="500">
        <v>6</v>
      </c>
      <c r="G655" s="501"/>
      <c r="H655" s="500"/>
      <c r="I655" s="500"/>
      <c r="J655" s="500"/>
    </row>
    <row r="656" spans="1:10">
      <c r="A656" s="503">
        <v>44142</v>
      </c>
      <c r="B656" s="496">
        <v>11</v>
      </c>
      <c r="C656" s="496" t="s">
        <v>386</v>
      </c>
      <c r="D656" s="496" t="s">
        <v>348</v>
      </c>
      <c r="E656" s="496"/>
      <c r="F656" s="496"/>
      <c r="G656" s="497"/>
      <c r="H656" s="496"/>
      <c r="I656" s="496"/>
      <c r="J656" s="496"/>
    </row>
    <row r="657" spans="1:10">
      <c r="A657" s="504">
        <v>44144</v>
      </c>
      <c r="B657" s="500">
        <v>11</v>
      </c>
      <c r="C657" s="500" t="s">
        <v>386</v>
      </c>
      <c r="D657" s="500"/>
      <c r="E657" s="500"/>
      <c r="F657" s="500"/>
      <c r="G657" s="501" t="s">
        <v>408</v>
      </c>
      <c r="H657" s="500"/>
      <c r="I657" s="500"/>
      <c r="J657" s="500"/>
    </row>
    <row r="658" spans="1:10">
      <c r="A658" s="503">
        <v>44142</v>
      </c>
      <c r="B658" s="496">
        <v>12</v>
      </c>
      <c r="C658" s="496" t="s">
        <v>405</v>
      </c>
      <c r="D658" s="496" t="s">
        <v>348</v>
      </c>
      <c r="E658" s="496"/>
      <c r="F658" s="496"/>
      <c r="G658" s="497"/>
      <c r="H658" s="496"/>
      <c r="I658" s="496"/>
      <c r="J658" s="496"/>
    </row>
    <row r="659" spans="1:10">
      <c r="A659" s="504">
        <v>44144</v>
      </c>
      <c r="B659" s="500">
        <v>12</v>
      </c>
      <c r="C659" s="500" t="s">
        <v>405</v>
      </c>
      <c r="D659" s="500" t="s">
        <v>348</v>
      </c>
      <c r="E659" s="500">
        <v>5</v>
      </c>
      <c r="F659" s="500">
        <v>6</v>
      </c>
      <c r="G659" s="501"/>
      <c r="H659" s="500"/>
      <c r="I659" s="500"/>
      <c r="J659" s="500"/>
    </row>
    <row r="660" spans="1:10">
      <c r="A660" s="503">
        <v>44145</v>
      </c>
      <c r="B660" s="496">
        <v>14</v>
      </c>
      <c r="C660" s="496" t="s">
        <v>405</v>
      </c>
      <c r="D660" s="496" t="s">
        <v>148</v>
      </c>
      <c r="E660" s="496">
        <v>5</v>
      </c>
      <c r="F660" s="496">
        <v>10</v>
      </c>
      <c r="G660" s="497"/>
      <c r="H660" s="496"/>
      <c r="I660" s="496"/>
      <c r="J660" s="496"/>
    </row>
    <row r="661" spans="1:10">
      <c r="A661" s="504">
        <v>44148</v>
      </c>
      <c r="B661" s="500">
        <v>8</v>
      </c>
      <c r="C661" s="500" t="s">
        <v>405</v>
      </c>
      <c r="D661" s="500" t="s">
        <v>152</v>
      </c>
      <c r="E661" s="500">
        <v>40</v>
      </c>
      <c r="F661" s="500" t="s">
        <v>411</v>
      </c>
      <c r="G661" s="501" t="s">
        <v>427</v>
      </c>
      <c r="H661" s="500"/>
      <c r="I661" s="500"/>
      <c r="J661" s="500"/>
    </row>
    <row r="662" spans="1:10" ht="23.25">
      <c r="A662" s="503">
        <v>44154</v>
      </c>
      <c r="B662" s="496">
        <v>9</v>
      </c>
      <c r="C662" s="496" t="s">
        <v>405</v>
      </c>
      <c r="D662" s="496" t="s">
        <v>146</v>
      </c>
      <c r="E662" s="496">
        <v>1</v>
      </c>
      <c r="F662" s="496">
        <v>6</v>
      </c>
      <c r="G662" s="497" t="s">
        <v>438</v>
      </c>
      <c r="H662" s="496"/>
      <c r="I662" s="496"/>
      <c r="J662" s="496"/>
    </row>
    <row r="663" spans="1:10">
      <c r="A663" s="504">
        <v>44155</v>
      </c>
      <c r="B663" s="500">
        <v>7</v>
      </c>
      <c r="C663" s="500" t="s">
        <v>405</v>
      </c>
      <c r="D663" s="500" t="s">
        <v>148</v>
      </c>
      <c r="E663" s="500">
        <v>5</v>
      </c>
      <c r="F663" s="500">
        <v>6</v>
      </c>
      <c r="G663" s="501"/>
      <c r="H663" s="500"/>
      <c r="I663" s="500"/>
      <c r="J663" s="500"/>
    </row>
    <row r="664" spans="1:10">
      <c r="A664" s="503">
        <v>44157</v>
      </c>
      <c r="B664" s="496">
        <v>7</v>
      </c>
      <c r="C664" s="496" t="s">
        <v>405</v>
      </c>
      <c r="D664" s="496" t="s">
        <v>348</v>
      </c>
      <c r="E664" s="496">
        <v>5</v>
      </c>
      <c r="F664" s="496">
        <v>6</v>
      </c>
      <c r="G664" s="497"/>
      <c r="H664" s="496"/>
      <c r="I664" s="496"/>
      <c r="J664" s="496"/>
    </row>
    <row r="665" spans="1:10" ht="46.5">
      <c r="A665" s="504">
        <v>44158</v>
      </c>
      <c r="B665" s="500">
        <v>10</v>
      </c>
      <c r="C665" s="500" t="s">
        <v>405</v>
      </c>
      <c r="D665" s="500" t="s">
        <v>148</v>
      </c>
      <c r="E665" s="500"/>
      <c r="F665" s="500"/>
      <c r="G665" s="501" t="s">
        <v>449</v>
      </c>
      <c r="H665" s="500"/>
      <c r="I665" s="500"/>
      <c r="J665" s="500"/>
    </row>
    <row r="666" spans="1:10">
      <c r="A666" s="503">
        <v>44164</v>
      </c>
      <c r="B666" s="496">
        <v>11</v>
      </c>
      <c r="C666" s="496" t="s">
        <v>405</v>
      </c>
      <c r="D666" s="496" t="s">
        <v>276</v>
      </c>
      <c r="E666" s="496">
        <v>1</v>
      </c>
      <c r="F666" s="496"/>
      <c r="G666" s="497"/>
      <c r="H666" s="496"/>
      <c r="I666" s="496"/>
      <c r="J666" s="496"/>
    </row>
    <row r="667" spans="1:10">
      <c r="A667" s="504">
        <v>44168</v>
      </c>
      <c r="B667" s="500">
        <v>9</v>
      </c>
      <c r="C667" s="500" t="s">
        <v>405</v>
      </c>
      <c r="D667" s="500" t="s">
        <v>440</v>
      </c>
      <c r="E667" s="500"/>
      <c r="F667" s="500"/>
      <c r="G667" s="501" t="s">
        <v>457</v>
      </c>
      <c r="H667" s="500"/>
      <c r="I667" s="500"/>
      <c r="J667" s="500"/>
    </row>
    <row r="668" spans="1:10">
      <c r="A668" s="503">
        <v>44207</v>
      </c>
      <c r="B668" s="496">
        <v>14</v>
      </c>
      <c r="C668" s="496" t="s">
        <v>405</v>
      </c>
      <c r="D668" s="496" t="s">
        <v>146</v>
      </c>
      <c r="E668" s="496">
        <v>1</v>
      </c>
      <c r="F668" s="496">
        <v>6</v>
      </c>
      <c r="G668" s="497"/>
      <c r="H668" s="496"/>
      <c r="I668" s="496" t="s">
        <v>469</v>
      </c>
      <c r="J668" s="496" t="s">
        <v>470</v>
      </c>
    </row>
    <row r="669" spans="1:10">
      <c r="A669" s="504">
        <v>44208</v>
      </c>
      <c r="B669" s="500">
        <v>12</v>
      </c>
      <c r="C669" s="500" t="s">
        <v>405</v>
      </c>
      <c r="D669" s="500" t="s">
        <v>348</v>
      </c>
      <c r="E669" s="500">
        <v>1</v>
      </c>
      <c r="F669" s="500">
        <v>6</v>
      </c>
      <c r="G669" s="501"/>
      <c r="H669" s="500"/>
      <c r="I669" s="500" t="s">
        <v>469</v>
      </c>
      <c r="J669" s="500" t="s">
        <v>470</v>
      </c>
    </row>
    <row r="670" spans="1:10" ht="23.25">
      <c r="A670" s="503">
        <v>44209</v>
      </c>
      <c r="B670" s="496">
        <v>15</v>
      </c>
      <c r="C670" s="496" t="s">
        <v>405</v>
      </c>
      <c r="D670" s="496" t="s">
        <v>148</v>
      </c>
      <c r="E670" s="496"/>
      <c r="F670" s="496"/>
      <c r="G670" s="497" t="s">
        <v>499</v>
      </c>
      <c r="H670" s="496"/>
      <c r="I670" s="496" t="s">
        <v>506</v>
      </c>
      <c r="J670" s="496" t="s">
        <v>507</v>
      </c>
    </row>
    <row r="671" spans="1:10">
      <c r="A671" s="504">
        <v>44209</v>
      </c>
      <c r="B671" s="500">
        <v>20</v>
      </c>
      <c r="C671" s="500" t="s">
        <v>405</v>
      </c>
      <c r="D671" s="500" t="s">
        <v>440</v>
      </c>
      <c r="E671" s="500"/>
      <c r="F671" s="500"/>
      <c r="G671" s="501" t="s">
        <v>500</v>
      </c>
      <c r="H671" s="500"/>
      <c r="I671" s="500" t="s">
        <v>506</v>
      </c>
      <c r="J671" s="500" t="s">
        <v>507</v>
      </c>
    </row>
    <row r="672" spans="1:10">
      <c r="A672" s="503">
        <v>44212</v>
      </c>
      <c r="B672" s="496">
        <v>10</v>
      </c>
      <c r="C672" s="496" t="s">
        <v>405</v>
      </c>
      <c r="D672" s="496" t="s">
        <v>146</v>
      </c>
      <c r="E672" s="496">
        <v>1</v>
      </c>
      <c r="F672" s="496">
        <v>6</v>
      </c>
      <c r="G672" s="497" t="s">
        <v>509</v>
      </c>
      <c r="H672" s="496"/>
      <c r="I672" s="496" t="s">
        <v>469</v>
      </c>
      <c r="J672" s="496" t="s">
        <v>470</v>
      </c>
    </row>
    <row r="673" spans="1:10">
      <c r="A673" s="504">
        <v>44214</v>
      </c>
      <c r="B673" s="500">
        <v>14</v>
      </c>
      <c r="C673" s="500" t="s">
        <v>405</v>
      </c>
      <c r="D673" s="500" t="s">
        <v>148</v>
      </c>
      <c r="E673" s="500">
        <v>1</v>
      </c>
      <c r="F673" s="500">
        <v>6</v>
      </c>
      <c r="G673" s="501" t="s">
        <v>502</v>
      </c>
      <c r="H673" s="500"/>
      <c r="I673" s="500" t="s">
        <v>469</v>
      </c>
      <c r="J673" s="500" t="s">
        <v>470</v>
      </c>
    </row>
    <row r="674" spans="1:10">
      <c r="A674" s="503">
        <v>44216</v>
      </c>
      <c r="B674" s="496">
        <v>13</v>
      </c>
      <c r="C674" s="496" t="s">
        <v>405</v>
      </c>
      <c r="D674" s="496" t="s">
        <v>348</v>
      </c>
      <c r="E674" s="496">
        <v>1</v>
      </c>
      <c r="F674" s="496">
        <v>6</v>
      </c>
      <c r="G674" s="497"/>
      <c r="H674" s="496"/>
      <c r="I674" s="496" t="s">
        <v>469</v>
      </c>
      <c r="J674" s="496" t="s">
        <v>470</v>
      </c>
    </row>
    <row r="675" spans="1:10" ht="23.25">
      <c r="A675" s="504">
        <v>44217</v>
      </c>
      <c r="B675" s="500">
        <v>12</v>
      </c>
      <c r="C675" s="500" t="s">
        <v>405</v>
      </c>
      <c r="D675" s="500" t="s">
        <v>148</v>
      </c>
      <c r="E675" s="500"/>
      <c r="F675" s="500"/>
      <c r="G675" s="501" t="s">
        <v>503</v>
      </c>
      <c r="H675" s="500"/>
      <c r="I675" s="500" t="s">
        <v>469</v>
      </c>
      <c r="J675" s="500" t="s">
        <v>470</v>
      </c>
    </row>
    <row r="676" spans="1:10" ht="23.25">
      <c r="A676" s="503">
        <v>44233</v>
      </c>
      <c r="B676" s="496">
        <v>8</v>
      </c>
      <c r="C676" s="496" t="s">
        <v>405</v>
      </c>
      <c r="D676" s="496" t="s">
        <v>146</v>
      </c>
      <c r="E676" s="496">
        <v>1</v>
      </c>
      <c r="F676" s="496">
        <v>6</v>
      </c>
      <c r="G676" s="497" t="s">
        <v>543</v>
      </c>
      <c r="H676" s="496"/>
      <c r="I676" s="496" t="s">
        <v>469</v>
      </c>
      <c r="J676" s="496" t="s">
        <v>552</v>
      </c>
    </row>
    <row r="677" spans="1:10" ht="34.9">
      <c r="A677" s="504">
        <v>44235</v>
      </c>
      <c r="B677" s="500">
        <v>12</v>
      </c>
      <c r="C677" s="500" t="s">
        <v>405</v>
      </c>
      <c r="D677" s="500" t="s">
        <v>276</v>
      </c>
      <c r="E677" s="500"/>
      <c r="F677" s="500"/>
      <c r="G677" s="501" t="s">
        <v>544</v>
      </c>
      <c r="H677" s="500"/>
      <c r="I677" s="500" t="s">
        <v>469</v>
      </c>
      <c r="J677" s="500" t="s">
        <v>470</v>
      </c>
    </row>
    <row r="678" spans="1:10">
      <c r="A678" s="503">
        <v>43890</v>
      </c>
      <c r="B678" s="496">
        <v>13</v>
      </c>
      <c r="C678" s="496" t="s">
        <v>298</v>
      </c>
      <c r="D678" s="496" t="s">
        <v>148</v>
      </c>
      <c r="E678" s="496">
        <v>1</v>
      </c>
      <c r="F678" s="496">
        <v>24</v>
      </c>
      <c r="G678" s="497"/>
      <c r="H678" s="496"/>
      <c r="I678" s="496"/>
      <c r="J678" s="496"/>
    </row>
    <row r="679" spans="1:10">
      <c r="A679" s="504">
        <v>43891</v>
      </c>
      <c r="B679" s="500">
        <v>11</v>
      </c>
      <c r="C679" s="500" t="s">
        <v>298</v>
      </c>
      <c r="D679" s="500" t="s">
        <v>153</v>
      </c>
      <c r="E679" s="500">
        <v>1</v>
      </c>
      <c r="F679" s="500">
        <v>24</v>
      </c>
      <c r="G679" s="501"/>
      <c r="H679" s="500"/>
      <c r="I679" s="500"/>
      <c r="J679" s="500"/>
    </row>
    <row r="680" spans="1:10">
      <c r="A680" s="503">
        <v>43893</v>
      </c>
      <c r="B680" s="496">
        <v>9</v>
      </c>
      <c r="C680" s="496" t="s">
        <v>298</v>
      </c>
      <c r="D680" s="496" t="s">
        <v>147</v>
      </c>
      <c r="E680" s="496">
        <v>1</v>
      </c>
      <c r="F680" s="496">
        <v>24</v>
      </c>
      <c r="G680" s="497"/>
      <c r="H680" s="496"/>
      <c r="I680" s="496"/>
      <c r="J680" s="496"/>
    </row>
    <row r="681" spans="1:10">
      <c r="A681" s="504">
        <v>43893</v>
      </c>
      <c r="B681" s="500">
        <v>13</v>
      </c>
      <c r="C681" s="500" t="s">
        <v>298</v>
      </c>
      <c r="D681" s="500" t="s">
        <v>148</v>
      </c>
      <c r="E681" s="500">
        <v>1</v>
      </c>
      <c r="F681" s="500">
        <v>6</v>
      </c>
      <c r="G681" s="501"/>
      <c r="H681" s="500"/>
      <c r="I681" s="500"/>
      <c r="J681" s="500"/>
    </row>
    <row r="682" spans="1:10">
      <c r="A682" s="503">
        <v>43894</v>
      </c>
      <c r="B682" s="496">
        <v>9</v>
      </c>
      <c r="C682" s="496" t="s">
        <v>298</v>
      </c>
      <c r="D682" s="496" t="s">
        <v>153</v>
      </c>
      <c r="E682" s="496">
        <v>1</v>
      </c>
      <c r="F682" s="496">
        <v>6</v>
      </c>
      <c r="G682" s="497"/>
      <c r="H682" s="496"/>
      <c r="I682" s="496"/>
      <c r="J682" s="496"/>
    </row>
    <row r="683" spans="1:10">
      <c r="A683" s="504">
        <v>43897</v>
      </c>
      <c r="B683" s="500">
        <v>9</v>
      </c>
      <c r="C683" s="500" t="s">
        <v>298</v>
      </c>
      <c r="D683" s="500" t="s">
        <v>148</v>
      </c>
      <c r="E683" s="500">
        <v>5</v>
      </c>
      <c r="F683" s="500">
        <v>6</v>
      </c>
      <c r="G683" s="501"/>
      <c r="H683" s="500"/>
      <c r="I683" s="500"/>
      <c r="J683" s="500"/>
    </row>
    <row r="684" spans="1:10">
      <c r="A684" s="503">
        <v>43900</v>
      </c>
      <c r="B684" s="496">
        <v>8</v>
      </c>
      <c r="C684" s="496" t="s">
        <v>298</v>
      </c>
      <c r="D684" s="496" t="s">
        <v>152</v>
      </c>
      <c r="E684" s="496"/>
      <c r="F684" s="496"/>
      <c r="G684" s="497" t="s">
        <v>272</v>
      </c>
      <c r="H684" s="496"/>
      <c r="I684" s="496"/>
      <c r="J684" s="496"/>
    </row>
    <row r="685" spans="1:10">
      <c r="A685" s="504">
        <v>43900</v>
      </c>
      <c r="B685" s="500">
        <v>11</v>
      </c>
      <c r="C685" s="500" t="s">
        <v>298</v>
      </c>
      <c r="D685" s="500" t="s">
        <v>154</v>
      </c>
      <c r="E685" s="500">
        <v>1</v>
      </c>
      <c r="F685" s="500">
        <v>96</v>
      </c>
      <c r="G685" s="501"/>
      <c r="H685" s="500" t="s">
        <v>260</v>
      </c>
      <c r="I685" s="500"/>
      <c r="J685" s="500"/>
    </row>
    <row r="686" spans="1:10">
      <c r="A686" s="503">
        <v>43901</v>
      </c>
      <c r="B686" s="496">
        <v>8</v>
      </c>
      <c r="C686" s="496" t="s">
        <v>298</v>
      </c>
      <c r="D686" s="496" t="s">
        <v>153</v>
      </c>
      <c r="E686" s="496">
        <v>1</v>
      </c>
      <c r="F686" s="496">
        <v>96</v>
      </c>
      <c r="G686" s="497"/>
      <c r="H686" s="496"/>
      <c r="I686" s="496"/>
      <c r="J686" s="496"/>
    </row>
    <row r="687" spans="1:10">
      <c r="A687" s="504">
        <v>43901</v>
      </c>
      <c r="B687" s="500">
        <v>11</v>
      </c>
      <c r="C687" s="500" t="s">
        <v>303</v>
      </c>
      <c r="D687" s="500" t="s">
        <v>147</v>
      </c>
      <c r="E687" s="500"/>
      <c r="F687" s="500"/>
      <c r="G687" s="501"/>
      <c r="H687" s="500"/>
      <c r="I687" s="500"/>
      <c r="J687" s="500"/>
    </row>
    <row r="688" spans="1:10">
      <c r="A688" s="503">
        <v>43903</v>
      </c>
      <c r="B688" s="496">
        <v>8</v>
      </c>
      <c r="C688" s="496" t="s">
        <v>303</v>
      </c>
      <c r="D688" s="496" t="s">
        <v>147</v>
      </c>
      <c r="E688" s="496">
        <v>1</v>
      </c>
      <c r="F688" s="496">
        <v>96</v>
      </c>
      <c r="G688" s="497"/>
      <c r="H688" s="496"/>
      <c r="I688" s="496"/>
      <c r="J688" s="496"/>
    </row>
    <row r="689" spans="1:10">
      <c r="A689" s="504">
        <v>43907</v>
      </c>
      <c r="B689" s="500">
        <v>10</v>
      </c>
      <c r="C689" s="500" t="s">
        <v>303</v>
      </c>
      <c r="D689" s="500" t="s">
        <v>147</v>
      </c>
      <c r="E689" s="500">
        <v>1</v>
      </c>
      <c r="F689" s="500">
        <v>96</v>
      </c>
      <c r="G689" s="501" t="s">
        <v>308</v>
      </c>
      <c r="H689" s="500"/>
      <c r="I689" s="500"/>
      <c r="J689" s="500"/>
    </row>
    <row r="690" spans="1:10">
      <c r="A690" s="503">
        <v>43909</v>
      </c>
      <c r="B690" s="496">
        <v>12</v>
      </c>
      <c r="C690" s="496" t="s">
        <v>303</v>
      </c>
      <c r="D690" s="496" t="s">
        <v>417</v>
      </c>
      <c r="E690" s="496"/>
      <c r="F690" s="496"/>
      <c r="G690" s="497" t="s">
        <v>435</v>
      </c>
      <c r="H690" s="496"/>
      <c r="I690" s="496"/>
      <c r="J690" s="496"/>
    </row>
    <row r="691" spans="1:10">
      <c r="A691" s="504">
        <v>43890</v>
      </c>
      <c r="B691" s="500">
        <v>15</v>
      </c>
      <c r="C691" s="500" t="s">
        <v>300</v>
      </c>
      <c r="D691" s="500" t="s">
        <v>148</v>
      </c>
      <c r="E691" s="500">
        <v>1</v>
      </c>
      <c r="F691" s="500">
        <v>24</v>
      </c>
      <c r="G691" s="501"/>
      <c r="H691" s="500"/>
      <c r="I691" s="500"/>
      <c r="J691" s="500"/>
    </row>
    <row r="692" spans="1:10">
      <c r="A692" s="503">
        <v>43891</v>
      </c>
      <c r="B692" s="496">
        <v>13</v>
      </c>
      <c r="C692" s="496" t="s">
        <v>300</v>
      </c>
      <c r="D692" s="496" t="s">
        <v>153</v>
      </c>
      <c r="E692" s="496">
        <v>1</v>
      </c>
      <c r="F692" s="496">
        <v>24</v>
      </c>
      <c r="G692" s="497"/>
      <c r="H692" s="496"/>
      <c r="I692" s="496"/>
      <c r="J692" s="496"/>
    </row>
    <row r="693" spans="1:10">
      <c r="A693" s="504">
        <v>43893</v>
      </c>
      <c r="B693" s="500">
        <v>11</v>
      </c>
      <c r="C693" s="500" t="s">
        <v>300</v>
      </c>
      <c r="D693" s="500" t="s">
        <v>147</v>
      </c>
      <c r="E693" s="500">
        <v>1</v>
      </c>
      <c r="F693" s="500">
        <v>24</v>
      </c>
      <c r="G693" s="501"/>
      <c r="H693" s="500"/>
      <c r="I693" s="500"/>
      <c r="J693" s="500"/>
    </row>
    <row r="694" spans="1:10">
      <c r="A694" s="503">
        <v>43893</v>
      </c>
      <c r="B694" s="496">
        <v>15</v>
      </c>
      <c r="C694" s="496" t="s">
        <v>300</v>
      </c>
      <c r="D694" s="496" t="s">
        <v>148</v>
      </c>
      <c r="E694" s="496">
        <v>1</v>
      </c>
      <c r="F694" s="496">
        <v>6</v>
      </c>
      <c r="G694" s="497"/>
      <c r="H694" s="496"/>
      <c r="I694" s="496"/>
      <c r="J694" s="496"/>
    </row>
    <row r="695" spans="1:10">
      <c r="A695" s="504">
        <v>43894</v>
      </c>
      <c r="B695" s="500">
        <v>11</v>
      </c>
      <c r="C695" s="500" t="s">
        <v>300</v>
      </c>
      <c r="D695" s="500" t="s">
        <v>153</v>
      </c>
      <c r="E695" s="500">
        <v>1</v>
      </c>
      <c r="F695" s="500">
        <v>6</v>
      </c>
      <c r="G695" s="501"/>
      <c r="H695" s="500"/>
      <c r="I695" s="500"/>
      <c r="J695" s="500"/>
    </row>
    <row r="696" spans="1:10">
      <c r="A696" s="503">
        <v>43895</v>
      </c>
      <c r="B696" s="496">
        <v>8</v>
      </c>
      <c r="C696" s="496" t="s">
        <v>300</v>
      </c>
      <c r="D696" s="496" t="s">
        <v>148</v>
      </c>
      <c r="E696" s="496">
        <v>5</v>
      </c>
      <c r="F696" s="496">
        <v>6</v>
      </c>
      <c r="G696" s="497"/>
      <c r="H696" s="496"/>
      <c r="I696" s="496"/>
      <c r="J696" s="496"/>
    </row>
    <row r="697" spans="1:10">
      <c r="A697" s="504">
        <v>43896</v>
      </c>
      <c r="B697" s="500">
        <v>8</v>
      </c>
      <c r="C697" s="500" t="s">
        <v>300</v>
      </c>
      <c r="D697" s="500" t="s">
        <v>153</v>
      </c>
      <c r="E697" s="500">
        <v>5</v>
      </c>
      <c r="F697" s="500">
        <v>6</v>
      </c>
      <c r="G697" s="501"/>
      <c r="H697" s="500"/>
      <c r="I697" s="500"/>
      <c r="J697" s="500"/>
    </row>
    <row r="698" spans="1:10">
      <c r="A698" s="503">
        <v>43898</v>
      </c>
      <c r="B698" s="496">
        <v>8</v>
      </c>
      <c r="C698" s="496" t="s">
        <v>300</v>
      </c>
      <c r="D698" s="496" t="s">
        <v>152</v>
      </c>
      <c r="E698" s="496"/>
      <c r="F698" s="496"/>
      <c r="G698" s="497" t="s">
        <v>272</v>
      </c>
      <c r="H698" s="496"/>
      <c r="I698" s="496"/>
      <c r="J698" s="496"/>
    </row>
    <row r="699" spans="1:10">
      <c r="A699" s="504">
        <v>43898</v>
      </c>
      <c r="B699" s="500">
        <v>9</v>
      </c>
      <c r="C699" s="500" t="s">
        <v>300</v>
      </c>
      <c r="D699" s="500" t="s">
        <v>154</v>
      </c>
      <c r="E699" s="500">
        <v>1</v>
      </c>
      <c r="F699" s="500">
        <v>96</v>
      </c>
      <c r="G699" s="501"/>
      <c r="H699" s="500" t="s">
        <v>260</v>
      </c>
      <c r="I699" s="500"/>
      <c r="J699" s="500"/>
    </row>
    <row r="700" spans="1:10">
      <c r="A700" s="503">
        <v>43899</v>
      </c>
      <c r="B700" s="496">
        <v>9</v>
      </c>
      <c r="C700" s="496" t="s">
        <v>301</v>
      </c>
      <c r="D700" s="496" t="s">
        <v>153</v>
      </c>
      <c r="E700" s="496">
        <v>1</v>
      </c>
      <c r="F700" s="496">
        <v>96</v>
      </c>
      <c r="G700" s="497"/>
      <c r="H700" s="496"/>
      <c r="I700" s="496"/>
      <c r="J700" s="496"/>
    </row>
    <row r="701" spans="1:10">
      <c r="A701" s="504">
        <v>43903</v>
      </c>
      <c r="B701" s="500">
        <v>7</v>
      </c>
      <c r="C701" s="500" t="s">
        <v>301</v>
      </c>
      <c r="D701" s="500" t="s">
        <v>147</v>
      </c>
      <c r="E701" s="500">
        <v>1</v>
      </c>
      <c r="F701" s="500">
        <v>96</v>
      </c>
      <c r="G701" s="501" t="s">
        <v>306</v>
      </c>
      <c r="H701" s="500"/>
      <c r="I701" s="500"/>
      <c r="J701" s="500"/>
    </row>
    <row r="702" spans="1:10">
      <c r="A702" s="503">
        <v>43906</v>
      </c>
      <c r="B702" s="496">
        <v>8</v>
      </c>
      <c r="C702" s="496" t="s">
        <v>301</v>
      </c>
      <c r="D702" s="496" t="s">
        <v>147</v>
      </c>
      <c r="E702" s="496">
        <v>1</v>
      </c>
      <c r="F702" s="496">
        <v>96</v>
      </c>
      <c r="G702" s="497" t="s">
        <v>307</v>
      </c>
      <c r="H702" s="496"/>
      <c r="I702" s="496"/>
      <c r="J702" s="496"/>
    </row>
    <row r="703" spans="1:10" ht="23.25">
      <c r="A703" s="504">
        <v>43907</v>
      </c>
      <c r="B703" s="500">
        <v>12</v>
      </c>
      <c r="C703" s="500" t="s">
        <v>301</v>
      </c>
      <c r="D703" s="500" t="s">
        <v>147</v>
      </c>
      <c r="E703" s="500">
        <v>1</v>
      </c>
      <c r="F703" s="500">
        <v>96</v>
      </c>
      <c r="G703" s="501" t="s">
        <v>309</v>
      </c>
      <c r="H703" s="500"/>
      <c r="I703" s="500"/>
      <c r="J703" s="500"/>
    </row>
    <row r="704" spans="1:10" ht="23.25">
      <c r="A704" s="503">
        <v>43909</v>
      </c>
      <c r="B704" s="496">
        <v>13</v>
      </c>
      <c r="C704" s="496" t="s">
        <v>301</v>
      </c>
      <c r="D704" s="496" t="s">
        <v>417</v>
      </c>
      <c r="E704" s="496"/>
      <c r="F704" s="496"/>
      <c r="G704" s="497" t="s">
        <v>437</v>
      </c>
      <c r="H704" s="496"/>
      <c r="I704" s="496"/>
      <c r="J704" s="496"/>
    </row>
    <row r="705" spans="1:10" ht="23.25">
      <c r="A705" s="504">
        <v>44070</v>
      </c>
      <c r="B705" s="500">
        <v>11</v>
      </c>
      <c r="C705" s="500" t="s">
        <v>42</v>
      </c>
      <c r="D705" s="500" t="s">
        <v>146</v>
      </c>
      <c r="E705" s="500">
        <v>1</v>
      </c>
      <c r="F705" s="500">
        <v>6</v>
      </c>
      <c r="G705" s="501" t="s">
        <v>361</v>
      </c>
      <c r="H705" s="500"/>
      <c r="I705" s="500"/>
      <c r="J705" s="500"/>
    </row>
    <row r="706" spans="1:10">
      <c r="A706" s="503">
        <v>44071</v>
      </c>
      <c r="B706" s="496">
        <v>7</v>
      </c>
      <c r="C706" s="496" t="s">
        <v>42</v>
      </c>
      <c r="D706" s="496" t="s">
        <v>338</v>
      </c>
      <c r="E706" s="496">
        <v>1</v>
      </c>
      <c r="F706" s="496">
        <v>6</v>
      </c>
      <c r="G706" s="497"/>
      <c r="H706" s="496"/>
      <c r="I706" s="496"/>
      <c r="J706" s="496"/>
    </row>
    <row r="707" spans="1:10" ht="81.400000000000006">
      <c r="A707" s="504">
        <v>44072</v>
      </c>
      <c r="B707" s="500">
        <v>8</v>
      </c>
      <c r="C707" s="500" t="s">
        <v>42</v>
      </c>
      <c r="D707" s="500" t="s">
        <v>148</v>
      </c>
      <c r="E707" s="500">
        <v>1</v>
      </c>
      <c r="F707" s="500">
        <v>6</v>
      </c>
      <c r="G707" s="501" t="s">
        <v>362</v>
      </c>
      <c r="H707" s="500"/>
      <c r="I707" s="500"/>
      <c r="J707" s="500"/>
    </row>
    <row r="708" spans="1:10" ht="23.25">
      <c r="A708" s="503">
        <v>44074</v>
      </c>
      <c r="B708" s="496">
        <v>7</v>
      </c>
      <c r="C708" s="496" t="s">
        <v>42</v>
      </c>
      <c r="D708" s="496"/>
      <c r="E708" s="496">
        <v>1</v>
      </c>
      <c r="F708" s="496">
        <v>6</v>
      </c>
      <c r="G708" s="497" t="s">
        <v>323</v>
      </c>
      <c r="H708" s="496"/>
      <c r="I708" s="496"/>
      <c r="J708" s="496"/>
    </row>
    <row r="709" spans="1:10">
      <c r="A709" s="504">
        <v>44075</v>
      </c>
      <c r="B709" s="500">
        <v>11</v>
      </c>
      <c r="C709" s="500" t="s">
        <v>42</v>
      </c>
      <c r="D709" s="500"/>
      <c r="E709" s="500">
        <v>1</v>
      </c>
      <c r="F709" s="500">
        <v>6</v>
      </c>
      <c r="G709" s="501" t="s">
        <v>327</v>
      </c>
      <c r="H709" s="500"/>
      <c r="I709" s="500"/>
      <c r="J709" s="500"/>
    </row>
    <row r="710" spans="1:10">
      <c r="A710" s="503">
        <v>44076</v>
      </c>
      <c r="B710" s="496">
        <v>7</v>
      </c>
      <c r="C710" s="496" t="s">
        <v>42</v>
      </c>
      <c r="D710" s="496" t="s">
        <v>148</v>
      </c>
      <c r="E710" s="496">
        <v>1</v>
      </c>
      <c r="F710" s="496">
        <v>6</v>
      </c>
      <c r="G710" s="497" t="s">
        <v>326</v>
      </c>
      <c r="H710" s="496"/>
      <c r="I710" s="496"/>
      <c r="J710" s="496"/>
    </row>
    <row r="711" spans="1:10">
      <c r="A711" s="504">
        <v>44077</v>
      </c>
      <c r="B711" s="500">
        <v>7</v>
      </c>
      <c r="C711" s="500" t="s">
        <v>42</v>
      </c>
      <c r="D711" s="500"/>
      <c r="E711" s="500"/>
      <c r="F711" s="500"/>
      <c r="G711" s="501" t="s">
        <v>328</v>
      </c>
      <c r="H711" s="500"/>
      <c r="I711" s="500"/>
      <c r="J711" s="500"/>
    </row>
    <row r="712" spans="1:10">
      <c r="A712" s="503">
        <v>44078</v>
      </c>
      <c r="B712" s="496">
        <v>7</v>
      </c>
      <c r="C712" s="496" t="s">
        <v>42</v>
      </c>
      <c r="D712" s="496"/>
      <c r="E712" s="496">
        <v>1</v>
      </c>
      <c r="F712" s="496">
        <v>6</v>
      </c>
      <c r="G712" s="497" t="s">
        <v>329</v>
      </c>
      <c r="H712" s="496"/>
      <c r="I712" s="496"/>
      <c r="J712" s="496"/>
    </row>
    <row r="713" spans="1:10">
      <c r="A713" s="504">
        <v>44079</v>
      </c>
      <c r="B713" s="500">
        <v>7</v>
      </c>
      <c r="C713" s="500" t="s">
        <v>42</v>
      </c>
      <c r="D713" s="500"/>
      <c r="E713" s="500">
        <v>1</v>
      </c>
      <c r="F713" s="500">
        <v>6</v>
      </c>
      <c r="G713" s="501" t="s">
        <v>329</v>
      </c>
      <c r="H713" s="500"/>
      <c r="I713" s="500"/>
      <c r="J713" s="500"/>
    </row>
    <row r="714" spans="1:10">
      <c r="A714" s="503">
        <v>44080</v>
      </c>
      <c r="B714" s="496">
        <v>7</v>
      </c>
      <c r="C714" s="496" t="s">
        <v>42</v>
      </c>
      <c r="D714" s="496"/>
      <c r="E714" s="496">
        <v>1</v>
      </c>
      <c r="F714" s="496">
        <v>6</v>
      </c>
      <c r="G714" s="497" t="s">
        <v>329</v>
      </c>
      <c r="H714" s="496"/>
      <c r="I714" s="496"/>
      <c r="J714" s="496"/>
    </row>
    <row r="715" spans="1:10">
      <c r="A715" s="504">
        <v>44081</v>
      </c>
      <c r="B715" s="500">
        <v>7</v>
      </c>
      <c r="C715" s="500" t="s">
        <v>42</v>
      </c>
      <c r="D715" s="500"/>
      <c r="E715" s="500">
        <v>1</v>
      </c>
      <c r="F715" s="500">
        <v>6</v>
      </c>
      <c r="G715" s="501" t="s">
        <v>329</v>
      </c>
      <c r="H715" s="500"/>
      <c r="I715" s="500"/>
      <c r="J715" s="500"/>
    </row>
    <row r="716" spans="1:10" ht="23.25">
      <c r="A716" s="503">
        <v>44082</v>
      </c>
      <c r="B716" s="496">
        <v>7</v>
      </c>
      <c r="C716" s="496" t="s">
        <v>42</v>
      </c>
      <c r="D716" s="496" t="s">
        <v>148</v>
      </c>
      <c r="E716" s="496">
        <v>1</v>
      </c>
      <c r="F716" s="496">
        <v>6</v>
      </c>
      <c r="G716" s="497" t="s">
        <v>332</v>
      </c>
      <c r="H716" s="496"/>
      <c r="I716" s="496"/>
      <c r="J716" s="496"/>
    </row>
    <row r="717" spans="1:10">
      <c r="A717" s="504">
        <v>44083</v>
      </c>
      <c r="B717" s="500">
        <v>7</v>
      </c>
      <c r="C717" s="500" t="s">
        <v>42</v>
      </c>
      <c r="D717" s="500"/>
      <c r="E717" s="500">
        <v>1</v>
      </c>
      <c r="F717" s="500">
        <v>6</v>
      </c>
      <c r="G717" s="501" t="s">
        <v>339</v>
      </c>
      <c r="H717" s="500"/>
      <c r="I717" s="500"/>
      <c r="J717" s="500"/>
    </row>
    <row r="718" spans="1:10">
      <c r="A718" s="503">
        <v>44086</v>
      </c>
      <c r="B718" s="496">
        <v>7</v>
      </c>
      <c r="C718" s="496" t="s">
        <v>42</v>
      </c>
      <c r="D718" s="496"/>
      <c r="E718" s="496">
        <v>1</v>
      </c>
      <c r="F718" s="496">
        <v>6</v>
      </c>
      <c r="G718" s="497"/>
      <c r="H718" s="496"/>
      <c r="I718" s="496"/>
      <c r="J718" s="496"/>
    </row>
    <row r="719" spans="1:10">
      <c r="A719" s="504">
        <v>44088</v>
      </c>
      <c r="B719" s="500">
        <v>7</v>
      </c>
      <c r="C719" s="500" t="s">
        <v>42</v>
      </c>
      <c r="D719" s="500"/>
      <c r="E719" s="500">
        <v>1</v>
      </c>
      <c r="F719" s="500">
        <v>6</v>
      </c>
      <c r="G719" s="501" t="s">
        <v>329</v>
      </c>
      <c r="H719" s="500"/>
      <c r="I719" s="500"/>
      <c r="J719" s="500"/>
    </row>
    <row r="720" spans="1:10">
      <c r="A720" s="503">
        <v>44089</v>
      </c>
      <c r="B720" s="496">
        <v>10</v>
      </c>
      <c r="C720" s="496" t="s">
        <v>42</v>
      </c>
      <c r="D720" s="496" t="s">
        <v>146</v>
      </c>
      <c r="E720" s="496">
        <v>1</v>
      </c>
      <c r="F720" s="496">
        <v>6</v>
      </c>
      <c r="G720" s="497" t="s">
        <v>344</v>
      </c>
      <c r="H720" s="496"/>
      <c r="I720" s="496"/>
      <c r="J720" s="496"/>
    </row>
    <row r="721" spans="1:10">
      <c r="A721" s="504">
        <v>44090</v>
      </c>
      <c r="B721" s="500">
        <v>10</v>
      </c>
      <c r="C721" s="500" t="s">
        <v>42</v>
      </c>
      <c r="D721" s="500" t="s">
        <v>153</v>
      </c>
      <c r="E721" s="500">
        <v>1</v>
      </c>
      <c r="F721" s="500">
        <v>6</v>
      </c>
      <c r="G721" s="501"/>
      <c r="H721" s="500"/>
      <c r="I721" s="500"/>
      <c r="J721" s="500"/>
    </row>
    <row r="722" spans="1:10">
      <c r="A722" s="503">
        <v>44092</v>
      </c>
      <c r="B722" s="496">
        <v>10</v>
      </c>
      <c r="C722" s="496" t="s">
        <v>42</v>
      </c>
      <c r="D722" s="496" t="s">
        <v>148</v>
      </c>
      <c r="E722" s="496">
        <v>1</v>
      </c>
      <c r="F722" s="496">
        <v>6</v>
      </c>
      <c r="G722" s="497" t="s">
        <v>346</v>
      </c>
      <c r="H722" s="496"/>
      <c r="I722" s="496"/>
      <c r="J722" s="496"/>
    </row>
    <row r="723" spans="1:10">
      <c r="A723" s="504">
        <v>44094</v>
      </c>
      <c r="B723" s="500">
        <v>7</v>
      </c>
      <c r="C723" s="500" t="s">
        <v>42</v>
      </c>
      <c r="D723" s="500"/>
      <c r="E723" s="500">
        <v>1</v>
      </c>
      <c r="F723" s="500">
        <v>6</v>
      </c>
      <c r="G723" s="501"/>
      <c r="H723" s="500"/>
      <c r="I723" s="500"/>
      <c r="J723" s="500"/>
    </row>
    <row r="724" spans="1:10">
      <c r="A724" s="503">
        <v>44095</v>
      </c>
      <c r="B724" s="496">
        <v>7</v>
      </c>
      <c r="C724" s="496" t="s">
        <v>42</v>
      </c>
      <c r="D724" s="496"/>
      <c r="E724" s="496">
        <v>1</v>
      </c>
      <c r="F724" s="496">
        <v>6</v>
      </c>
      <c r="G724" s="497"/>
      <c r="H724" s="496"/>
      <c r="I724" s="496"/>
      <c r="J724" s="496"/>
    </row>
    <row r="725" spans="1:10">
      <c r="A725" s="504">
        <v>44097</v>
      </c>
      <c r="B725" s="500">
        <v>8</v>
      </c>
      <c r="C725" s="500" t="s">
        <v>42</v>
      </c>
      <c r="D725" s="500" t="s">
        <v>148</v>
      </c>
      <c r="E725" s="500">
        <v>1</v>
      </c>
      <c r="F725" s="500">
        <v>6</v>
      </c>
      <c r="G725" s="501" t="s">
        <v>351</v>
      </c>
      <c r="H725" s="500"/>
      <c r="I725" s="500"/>
      <c r="J725" s="500"/>
    </row>
    <row r="726" spans="1:10">
      <c r="A726" s="503">
        <v>44098</v>
      </c>
      <c r="B726" s="496">
        <v>7</v>
      </c>
      <c r="C726" s="496" t="s">
        <v>42</v>
      </c>
      <c r="D726" s="496" t="s">
        <v>353</v>
      </c>
      <c r="E726" s="496">
        <v>1</v>
      </c>
      <c r="F726" s="496">
        <v>6</v>
      </c>
      <c r="G726" s="497"/>
      <c r="H726" s="496"/>
      <c r="I726" s="496"/>
      <c r="J726" s="496"/>
    </row>
    <row r="727" spans="1:10">
      <c r="A727" s="504">
        <v>44099</v>
      </c>
      <c r="B727" s="500">
        <v>7</v>
      </c>
      <c r="C727" s="500" t="s">
        <v>42</v>
      </c>
      <c r="D727" s="500"/>
      <c r="E727" s="500">
        <v>1</v>
      </c>
      <c r="F727" s="500">
        <v>6</v>
      </c>
      <c r="G727" s="501" t="s">
        <v>72</v>
      </c>
      <c r="H727" s="500"/>
      <c r="I727" s="500"/>
      <c r="J727" s="500"/>
    </row>
    <row r="728" spans="1:10">
      <c r="A728" s="503">
        <v>44101</v>
      </c>
      <c r="B728" s="496">
        <v>7</v>
      </c>
      <c r="C728" s="496" t="s">
        <v>42</v>
      </c>
      <c r="D728" s="496"/>
      <c r="E728" s="496">
        <v>1</v>
      </c>
      <c r="F728" s="496">
        <v>6</v>
      </c>
      <c r="G728" s="497" t="s">
        <v>72</v>
      </c>
      <c r="H728" s="496"/>
      <c r="I728" s="496"/>
      <c r="J728" s="496"/>
    </row>
    <row r="729" spans="1:10" ht="34.9">
      <c r="A729" s="504">
        <v>44102</v>
      </c>
      <c r="B729" s="500">
        <v>9</v>
      </c>
      <c r="C729" s="500" t="s">
        <v>42</v>
      </c>
      <c r="D729" s="500" t="s">
        <v>148</v>
      </c>
      <c r="E729" s="500">
        <v>1</v>
      </c>
      <c r="F729" s="500">
        <v>6</v>
      </c>
      <c r="G729" s="501" t="s">
        <v>356</v>
      </c>
      <c r="H729" s="500"/>
      <c r="I729" s="500"/>
      <c r="J729" s="500"/>
    </row>
    <row r="730" spans="1:10">
      <c r="A730" s="503">
        <v>44103</v>
      </c>
      <c r="B730" s="496">
        <v>9</v>
      </c>
      <c r="C730" s="496" t="s">
        <v>42</v>
      </c>
      <c r="D730" s="496"/>
      <c r="E730" s="496">
        <v>1</v>
      </c>
      <c r="F730" s="496">
        <v>6</v>
      </c>
      <c r="G730" s="497"/>
      <c r="H730" s="496"/>
      <c r="I730" s="496"/>
      <c r="J730" s="496"/>
    </row>
    <row r="731" spans="1:10">
      <c r="A731" s="504">
        <v>44104</v>
      </c>
      <c r="B731" s="500">
        <v>12</v>
      </c>
      <c r="C731" s="500" t="s">
        <v>42</v>
      </c>
      <c r="D731" s="500"/>
      <c r="E731" s="500">
        <v>1</v>
      </c>
      <c r="F731" s="500">
        <v>6</v>
      </c>
      <c r="G731" s="501"/>
      <c r="H731" s="500"/>
      <c r="I731" s="500"/>
      <c r="J731" s="500"/>
    </row>
    <row r="732" spans="1:10">
      <c r="A732" s="503">
        <v>44105</v>
      </c>
      <c r="B732" s="496">
        <v>7</v>
      </c>
      <c r="C732" s="496" t="s">
        <v>42</v>
      </c>
      <c r="D732" s="496"/>
      <c r="E732" s="496">
        <v>1</v>
      </c>
      <c r="F732" s="496">
        <v>6</v>
      </c>
      <c r="G732" s="497"/>
      <c r="H732" s="496"/>
      <c r="I732" s="496"/>
      <c r="J732" s="496"/>
    </row>
    <row r="733" spans="1:10">
      <c r="A733" s="504">
        <v>44106</v>
      </c>
      <c r="B733" s="500">
        <v>7</v>
      </c>
      <c r="C733" s="500" t="s">
        <v>42</v>
      </c>
      <c r="D733" s="500"/>
      <c r="E733" s="500">
        <v>1</v>
      </c>
      <c r="F733" s="500">
        <v>6</v>
      </c>
      <c r="G733" s="501"/>
      <c r="H733" s="500"/>
      <c r="I733" s="500"/>
      <c r="J733" s="500"/>
    </row>
    <row r="734" spans="1:10">
      <c r="A734" s="503">
        <v>44107</v>
      </c>
      <c r="B734" s="496">
        <v>7</v>
      </c>
      <c r="C734" s="496" t="s">
        <v>42</v>
      </c>
      <c r="D734" s="496"/>
      <c r="E734" s="496">
        <v>1</v>
      </c>
      <c r="F734" s="496">
        <v>6</v>
      </c>
      <c r="G734" s="497"/>
      <c r="H734" s="496"/>
      <c r="I734" s="496"/>
      <c r="J734" s="496"/>
    </row>
    <row r="735" spans="1:10" ht="58.15">
      <c r="A735" s="504">
        <v>44109</v>
      </c>
      <c r="B735" s="500">
        <v>7</v>
      </c>
      <c r="C735" s="500" t="s">
        <v>42</v>
      </c>
      <c r="D735" s="500" t="s">
        <v>148</v>
      </c>
      <c r="E735" s="500">
        <v>1</v>
      </c>
      <c r="F735" s="500">
        <v>6</v>
      </c>
      <c r="G735" s="501" t="s">
        <v>368</v>
      </c>
      <c r="H735" s="500"/>
      <c r="I735" s="500"/>
      <c r="J735" s="500"/>
    </row>
    <row r="736" spans="1:10">
      <c r="A736" s="503">
        <v>44110</v>
      </c>
      <c r="B736" s="496">
        <v>7</v>
      </c>
      <c r="C736" s="496" t="s">
        <v>42</v>
      </c>
      <c r="D736" s="496"/>
      <c r="E736" s="496">
        <v>1</v>
      </c>
      <c r="F736" s="496">
        <v>6</v>
      </c>
      <c r="G736" s="497"/>
      <c r="H736" s="496"/>
      <c r="I736" s="496"/>
      <c r="J736" s="496"/>
    </row>
    <row r="737" spans="1:10" ht="23.25">
      <c r="A737" s="504">
        <v>44117</v>
      </c>
      <c r="B737" s="500">
        <v>7</v>
      </c>
      <c r="C737" s="500" t="s">
        <v>42</v>
      </c>
      <c r="D737" s="500" t="s">
        <v>146</v>
      </c>
      <c r="E737" s="500">
        <v>1</v>
      </c>
      <c r="F737" s="500">
        <v>6</v>
      </c>
      <c r="G737" s="501" t="s">
        <v>378</v>
      </c>
      <c r="H737" s="500"/>
      <c r="I737" s="500"/>
      <c r="J737" s="500"/>
    </row>
    <row r="738" spans="1:10">
      <c r="A738" s="503">
        <v>44118</v>
      </c>
      <c r="B738" s="496">
        <v>7</v>
      </c>
      <c r="C738" s="496" t="s">
        <v>42</v>
      </c>
      <c r="D738" s="496" t="s">
        <v>146</v>
      </c>
      <c r="E738" s="496">
        <v>1</v>
      </c>
      <c r="F738" s="496">
        <v>6</v>
      </c>
      <c r="G738" s="497"/>
      <c r="H738" s="496"/>
      <c r="I738" s="496"/>
      <c r="J738" s="496"/>
    </row>
    <row r="739" spans="1:10">
      <c r="A739" s="504">
        <v>44119</v>
      </c>
      <c r="B739" s="500">
        <v>7</v>
      </c>
      <c r="C739" s="500" t="s">
        <v>42</v>
      </c>
      <c r="D739" s="500"/>
      <c r="E739" s="500">
        <v>1</v>
      </c>
      <c r="F739" s="500">
        <v>6</v>
      </c>
      <c r="G739" s="501"/>
      <c r="H739" s="500"/>
      <c r="I739" s="500"/>
      <c r="J739" s="500"/>
    </row>
    <row r="740" spans="1:10">
      <c r="A740" s="503">
        <v>44120</v>
      </c>
      <c r="B740" s="496">
        <v>7</v>
      </c>
      <c r="C740" s="496" t="s">
        <v>42</v>
      </c>
      <c r="D740" s="496"/>
      <c r="E740" s="496">
        <v>1</v>
      </c>
      <c r="F740" s="496">
        <v>6</v>
      </c>
      <c r="G740" s="497"/>
      <c r="H740" s="496"/>
      <c r="I740" s="496"/>
      <c r="J740" s="496"/>
    </row>
    <row r="741" spans="1:10">
      <c r="A741" s="504">
        <v>44121</v>
      </c>
      <c r="B741" s="500">
        <v>7</v>
      </c>
      <c r="C741" s="500" t="s">
        <v>42</v>
      </c>
      <c r="D741" s="500" t="s">
        <v>148</v>
      </c>
      <c r="E741" s="500">
        <v>3</v>
      </c>
      <c r="F741" s="500">
        <v>6</v>
      </c>
      <c r="G741" s="501" t="s">
        <v>382</v>
      </c>
      <c r="H741" s="500"/>
      <c r="I741" s="500"/>
      <c r="J741" s="500"/>
    </row>
    <row r="742" spans="1:10">
      <c r="A742" s="503">
        <v>44123</v>
      </c>
      <c r="B742" s="496">
        <v>7</v>
      </c>
      <c r="C742" s="496" t="s">
        <v>42</v>
      </c>
      <c r="D742" s="496"/>
      <c r="E742" s="496">
        <v>3</v>
      </c>
      <c r="F742" s="496">
        <v>6</v>
      </c>
      <c r="G742" s="497"/>
      <c r="H742" s="496"/>
      <c r="I742" s="496"/>
      <c r="J742" s="496"/>
    </row>
    <row r="743" spans="1:10" ht="34.9">
      <c r="A743" s="504">
        <v>44124</v>
      </c>
      <c r="B743" s="500">
        <v>12</v>
      </c>
      <c r="C743" s="500" t="s">
        <v>42</v>
      </c>
      <c r="D743" s="500"/>
      <c r="E743" s="500">
        <v>1</v>
      </c>
      <c r="F743" s="500">
        <v>6</v>
      </c>
      <c r="G743" s="501" t="s">
        <v>388</v>
      </c>
      <c r="H743" s="500"/>
      <c r="I743" s="500" t="s">
        <v>469</v>
      </c>
      <c r="J743" s="500" t="s">
        <v>470</v>
      </c>
    </row>
    <row r="744" spans="1:10" ht="69.75">
      <c r="A744" s="503">
        <v>44125</v>
      </c>
      <c r="B744" s="496">
        <v>7</v>
      </c>
      <c r="C744" s="496" t="s">
        <v>42</v>
      </c>
      <c r="D744" s="496" t="s">
        <v>148</v>
      </c>
      <c r="E744" s="496">
        <v>1</v>
      </c>
      <c r="F744" s="496">
        <v>6</v>
      </c>
      <c r="G744" s="497" t="s">
        <v>389</v>
      </c>
      <c r="H744" s="496"/>
      <c r="I744" s="496"/>
      <c r="J744" s="496"/>
    </row>
    <row r="745" spans="1:10">
      <c r="A745" s="504">
        <v>44126</v>
      </c>
      <c r="B745" s="500">
        <v>14</v>
      </c>
      <c r="C745" s="500" t="s">
        <v>42</v>
      </c>
      <c r="D745" s="500"/>
      <c r="E745" s="500">
        <v>1</v>
      </c>
      <c r="F745" s="500">
        <v>6</v>
      </c>
      <c r="G745" s="501"/>
      <c r="H745" s="500"/>
      <c r="I745" s="500"/>
      <c r="J745" s="500"/>
    </row>
    <row r="746" spans="1:10">
      <c r="A746" s="503">
        <v>44127</v>
      </c>
      <c r="B746" s="496">
        <v>11</v>
      </c>
      <c r="C746" s="496" t="s">
        <v>42</v>
      </c>
      <c r="D746" s="496"/>
      <c r="E746" s="496">
        <v>1</v>
      </c>
      <c r="F746" s="496">
        <v>6</v>
      </c>
      <c r="G746" s="497"/>
      <c r="H746" s="496"/>
      <c r="I746" s="496"/>
      <c r="J746" s="496"/>
    </row>
    <row r="747" spans="1:10">
      <c r="A747" s="504">
        <v>44129</v>
      </c>
      <c r="B747" s="500">
        <v>12</v>
      </c>
      <c r="C747" s="500" t="s">
        <v>42</v>
      </c>
      <c r="D747" s="500"/>
      <c r="E747" s="500">
        <v>1</v>
      </c>
      <c r="F747" s="500">
        <v>6</v>
      </c>
      <c r="G747" s="501"/>
      <c r="H747" s="500"/>
      <c r="I747" s="500"/>
      <c r="J747" s="500"/>
    </row>
    <row r="748" spans="1:10">
      <c r="A748" s="503">
        <v>44131</v>
      </c>
      <c r="B748" s="496">
        <v>13</v>
      </c>
      <c r="C748" s="496" t="s">
        <v>42</v>
      </c>
      <c r="D748" s="496" t="s">
        <v>148</v>
      </c>
      <c r="E748" s="496">
        <v>3</v>
      </c>
      <c r="F748" s="496">
        <v>6</v>
      </c>
      <c r="G748" s="497" t="s">
        <v>397</v>
      </c>
      <c r="H748" s="496"/>
      <c r="I748" s="496"/>
      <c r="J748" s="496"/>
    </row>
    <row r="749" spans="1:10">
      <c r="A749" s="504">
        <v>44132</v>
      </c>
      <c r="B749" s="500">
        <v>11</v>
      </c>
      <c r="C749" s="500" t="s">
        <v>42</v>
      </c>
      <c r="D749" s="500"/>
      <c r="E749" s="500">
        <v>3</v>
      </c>
      <c r="F749" s="500">
        <v>6</v>
      </c>
      <c r="G749" s="501"/>
      <c r="H749" s="500"/>
      <c r="I749" s="500"/>
      <c r="J749" s="500"/>
    </row>
    <row r="750" spans="1:10">
      <c r="A750" s="503">
        <v>44133</v>
      </c>
      <c r="B750" s="496">
        <v>11</v>
      </c>
      <c r="C750" s="496" t="s">
        <v>42</v>
      </c>
      <c r="D750" s="496"/>
      <c r="E750" s="496">
        <v>3</v>
      </c>
      <c r="F750" s="496">
        <v>6</v>
      </c>
      <c r="G750" s="497"/>
      <c r="H750" s="496"/>
      <c r="I750" s="496"/>
      <c r="J750" s="496"/>
    </row>
    <row r="751" spans="1:10">
      <c r="A751" s="504">
        <v>44134</v>
      </c>
      <c r="B751" s="500">
        <v>12</v>
      </c>
      <c r="C751" s="500" t="s">
        <v>42</v>
      </c>
      <c r="D751" s="500"/>
      <c r="E751" s="500">
        <v>3</v>
      </c>
      <c r="F751" s="500">
        <v>6</v>
      </c>
      <c r="G751" s="501"/>
      <c r="H751" s="500"/>
      <c r="I751" s="500"/>
      <c r="J751" s="500"/>
    </row>
    <row r="752" spans="1:10">
      <c r="A752" s="503">
        <v>44135</v>
      </c>
      <c r="B752" s="496">
        <v>12</v>
      </c>
      <c r="C752" s="496" t="s">
        <v>42</v>
      </c>
      <c r="D752" s="496" t="s">
        <v>148</v>
      </c>
      <c r="E752" s="496">
        <v>3</v>
      </c>
      <c r="F752" s="496">
        <v>6</v>
      </c>
      <c r="G752" s="497" t="s">
        <v>399</v>
      </c>
      <c r="H752" s="496"/>
      <c r="I752" s="496"/>
      <c r="J752" s="496"/>
    </row>
    <row r="753" spans="1:10">
      <c r="A753" s="504">
        <v>44137</v>
      </c>
      <c r="B753" s="500">
        <v>12</v>
      </c>
      <c r="C753" s="500" t="s">
        <v>42</v>
      </c>
      <c r="D753" s="500"/>
      <c r="E753" s="500">
        <v>3</v>
      </c>
      <c r="F753" s="500">
        <v>6</v>
      </c>
      <c r="G753" s="501"/>
      <c r="H753" s="500"/>
      <c r="I753" s="500"/>
      <c r="J753" s="500"/>
    </row>
    <row r="754" spans="1:10" ht="58.15">
      <c r="A754" s="503">
        <v>44138</v>
      </c>
      <c r="B754" s="496">
        <v>11</v>
      </c>
      <c r="C754" s="496" t="s">
        <v>42</v>
      </c>
      <c r="D754" s="496"/>
      <c r="E754" s="496">
        <v>2</v>
      </c>
      <c r="F754" s="496">
        <v>6</v>
      </c>
      <c r="G754" s="497" t="s">
        <v>401</v>
      </c>
      <c r="H754" s="496"/>
      <c r="I754" s="496"/>
      <c r="J754" s="496"/>
    </row>
    <row r="755" spans="1:10">
      <c r="A755" s="504">
        <v>44138</v>
      </c>
      <c r="B755" s="500">
        <v>12</v>
      </c>
      <c r="C755" s="500" t="s">
        <v>42</v>
      </c>
      <c r="D755" s="500" t="s">
        <v>148</v>
      </c>
      <c r="E755" s="500">
        <v>1</v>
      </c>
      <c r="F755" s="500">
        <v>6</v>
      </c>
      <c r="G755" s="501" t="s">
        <v>398</v>
      </c>
      <c r="H755" s="500"/>
      <c r="I755" s="500"/>
      <c r="J755" s="500"/>
    </row>
    <row r="756" spans="1:10" ht="69.75">
      <c r="A756" s="503">
        <v>44140</v>
      </c>
      <c r="B756" s="496">
        <v>13</v>
      </c>
      <c r="C756" s="496" t="s">
        <v>42</v>
      </c>
      <c r="D756" s="496"/>
      <c r="E756" s="496"/>
      <c r="F756" s="496"/>
      <c r="G756" s="497" t="s">
        <v>403</v>
      </c>
      <c r="H756" s="496"/>
      <c r="I756" s="496"/>
      <c r="J756" s="496"/>
    </row>
    <row r="757" spans="1:10">
      <c r="A757" s="504">
        <v>44141</v>
      </c>
      <c r="B757" s="500">
        <v>13</v>
      </c>
      <c r="C757" s="500" t="s">
        <v>42</v>
      </c>
      <c r="D757" s="500"/>
      <c r="E757" s="500"/>
      <c r="F757" s="500"/>
      <c r="G757" s="501"/>
      <c r="H757" s="500"/>
      <c r="I757" s="500"/>
      <c r="J757" s="500"/>
    </row>
    <row r="758" spans="1:10">
      <c r="A758" s="503">
        <v>44142</v>
      </c>
      <c r="B758" s="496">
        <v>13</v>
      </c>
      <c r="C758" s="496" t="s">
        <v>42</v>
      </c>
      <c r="D758" s="496"/>
      <c r="E758" s="496"/>
      <c r="F758" s="496"/>
      <c r="G758" s="497"/>
      <c r="H758" s="496"/>
      <c r="I758" s="496"/>
      <c r="J758" s="496"/>
    </row>
    <row r="759" spans="1:10">
      <c r="A759" s="504">
        <v>44144</v>
      </c>
      <c r="B759" s="500">
        <v>13</v>
      </c>
      <c r="C759" s="500" t="s">
        <v>42</v>
      </c>
      <c r="D759" s="500"/>
      <c r="E759" s="500"/>
      <c r="F759" s="500"/>
      <c r="G759" s="501"/>
      <c r="H759" s="500"/>
      <c r="I759" s="500"/>
      <c r="J759" s="500"/>
    </row>
    <row r="760" spans="1:10">
      <c r="A760" s="503">
        <v>44145</v>
      </c>
      <c r="B760" s="496">
        <v>7</v>
      </c>
      <c r="C760" s="496" t="s">
        <v>42</v>
      </c>
      <c r="D760" s="496"/>
      <c r="E760" s="496"/>
      <c r="F760" s="496"/>
      <c r="G760" s="497"/>
      <c r="H760" s="496"/>
      <c r="I760" s="496"/>
      <c r="J760" s="496"/>
    </row>
    <row r="761" spans="1:10">
      <c r="A761" s="504">
        <v>44147</v>
      </c>
      <c r="B761" s="500">
        <v>8</v>
      </c>
      <c r="C761" s="500" t="s">
        <v>42</v>
      </c>
      <c r="D761" s="500"/>
      <c r="E761" s="500"/>
      <c r="F761" s="500"/>
      <c r="G761" s="501"/>
      <c r="H761" s="500"/>
      <c r="I761" s="500"/>
      <c r="J761" s="500"/>
    </row>
    <row r="762" spans="1:10">
      <c r="A762" s="503">
        <v>44149</v>
      </c>
      <c r="B762" s="496">
        <v>11</v>
      </c>
      <c r="C762" s="496" t="s">
        <v>42</v>
      </c>
      <c r="D762" s="496" t="s">
        <v>148</v>
      </c>
      <c r="E762" s="496">
        <v>2</v>
      </c>
      <c r="F762" s="496">
        <v>6</v>
      </c>
      <c r="G762" s="497" t="s">
        <v>428</v>
      </c>
      <c r="H762" s="496"/>
      <c r="I762" s="496"/>
      <c r="J762" s="496"/>
    </row>
    <row r="763" spans="1:10">
      <c r="A763" s="504">
        <v>44151</v>
      </c>
      <c r="B763" s="500">
        <v>7</v>
      </c>
      <c r="C763" s="500" t="s">
        <v>42</v>
      </c>
      <c r="D763" s="500"/>
      <c r="E763" s="500">
        <v>1</v>
      </c>
      <c r="F763" s="500">
        <v>6</v>
      </c>
      <c r="G763" s="501" t="s">
        <v>430</v>
      </c>
      <c r="H763" s="500"/>
      <c r="I763" s="500"/>
      <c r="J763" s="500"/>
    </row>
    <row r="764" spans="1:10" ht="23.25">
      <c r="A764" s="503">
        <v>44151</v>
      </c>
      <c r="B764" s="496">
        <v>8</v>
      </c>
      <c r="C764" s="496" t="s">
        <v>42</v>
      </c>
      <c r="D764" s="496" t="s">
        <v>148</v>
      </c>
      <c r="E764" s="496">
        <v>1</v>
      </c>
      <c r="F764" s="496">
        <v>6</v>
      </c>
      <c r="G764" s="497" t="s">
        <v>431</v>
      </c>
      <c r="H764" s="496"/>
      <c r="I764" s="496"/>
      <c r="J764" s="496"/>
    </row>
    <row r="765" spans="1:10">
      <c r="A765" s="504">
        <v>44152</v>
      </c>
      <c r="B765" s="500">
        <v>7</v>
      </c>
      <c r="C765" s="500" t="s">
        <v>42</v>
      </c>
      <c r="D765" s="500"/>
      <c r="E765" s="500"/>
      <c r="F765" s="500"/>
      <c r="G765" s="501"/>
      <c r="H765" s="500"/>
      <c r="I765" s="500"/>
      <c r="J765" s="500"/>
    </row>
    <row r="766" spans="1:10" ht="23.25">
      <c r="A766" s="503">
        <v>44154</v>
      </c>
      <c r="B766" s="496">
        <v>10</v>
      </c>
      <c r="C766" s="496" t="s">
        <v>42</v>
      </c>
      <c r="D766" s="496" t="s">
        <v>146</v>
      </c>
      <c r="E766" s="496">
        <v>1</v>
      </c>
      <c r="F766" s="496">
        <v>6</v>
      </c>
      <c r="G766" s="497" t="s">
        <v>438</v>
      </c>
      <c r="H766" s="496"/>
      <c r="I766" s="496"/>
      <c r="J766" s="496"/>
    </row>
    <row r="767" spans="1:10">
      <c r="A767" s="504">
        <v>44155</v>
      </c>
      <c r="B767" s="500">
        <v>9</v>
      </c>
      <c r="C767" s="500" t="s">
        <v>42</v>
      </c>
      <c r="D767" s="500" t="s">
        <v>148</v>
      </c>
      <c r="E767" s="500">
        <v>2</v>
      </c>
      <c r="F767" s="500">
        <v>6</v>
      </c>
      <c r="G767" s="501" t="s">
        <v>441</v>
      </c>
      <c r="H767" s="500"/>
      <c r="I767" s="500"/>
      <c r="J767" s="500"/>
    </row>
    <row r="768" spans="1:10">
      <c r="A768" s="503">
        <v>44155</v>
      </c>
      <c r="B768" s="496">
        <v>11</v>
      </c>
      <c r="C768" s="496" t="s">
        <v>42</v>
      </c>
      <c r="D768" s="496" t="s">
        <v>348</v>
      </c>
      <c r="E768" s="496">
        <v>1</v>
      </c>
      <c r="F768" s="496">
        <v>6</v>
      </c>
      <c r="G768" s="497"/>
      <c r="H768" s="496"/>
      <c r="I768" s="496"/>
      <c r="J768" s="496"/>
    </row>
    <row r="769" spans="1:10">
      <c r="A769" s="504">
        <v>44157</v>
      </c>
      <c r="B769" s="500">
        <v>9</v>
      </c>
      <c r="C769" s="500" t="s">
        <v>42</v>
      </c>
      <c r="D769" s="500" t="s">
        <v>148</v>
      </c>
      <c r="E769" s="500">
        <v>1</v>
      </c>
      <c r="F769" s="500">
        <v>6</v>
      </c>
      <c r="G769" s="501" t="s">
        <v>442</v>
      </c>
      <c r="H769" s="500"/>
      <c r="I769" s="500"/>
      <c r="J769" s="500"/>
    </row>
    <row r="770" spans="1:10">
      <c r="A770" s="503">
        <v>44157</v>
      </c>
      <c r="B770" s="496">
        <v>10</v>
      </c>
      <c r="C770" s="496" t="s">
        <v>42</v>
      </c>
      <c r="D770" s="496" t="s">
        <v>348</v>
      </c>
      <c r="E770" s="496"/>
      <c r="F770" s="496"/>
      <c r="G770" s="497"/>
      <c r="H770" s="496"/>
      <c r="I770" s="496"/>
      <c r="J770" s="496"/>
    </row>
    <row r="771" spans="1:10" ht="23.25">
      <c r="A771" s="504">
        <v>44157</v>
      </c>
      <c r="B771" s="500">
        <v>11</v>
      </c>
      <c r="C771" s="500" t="s">
        <v>42</v>
      </c>
      <c r="D771" s="500" t="s">
        <v>148</v>
      </c>
      <c r="E771" s="500">
        <v>2</v>
      </c>
      <c r="F771" s="500">
        <v>6</v>
      </c>
      <c r="G771" s="501" t="s">
        <v>443</v>
      </c>
      <c r="H771" s="500"/>
      <c r="I771" s="500"/>
      <c r="J771" s="500"/>
    </row>
    <row r="772" spans="1:10">
      <c r="A772" s="503">
        <v>44158</v>
      </c>
      <c r="B772" s="496">
        <v>7</v>
      </c>
      <c r="C772" s="496" t="s">
        <v>42</v>
      </c>
      <c r="D772" s="496" t="s">
        <v>348</v>
      </c>
      <c r="E772" s="496">
        <v>1</v>
      </c>
      <c r="F772" s="496">
        <v>6</v>
      </c>
      <c r="G772" s="497"/>
      <c r="H772" s="496"/>
      <c r="I772" s="496"/>
      <c r="J772" s="496"/>
    </row>
    <row r="773" spans="1:10" ht="23.25">
      <c r="A773" s="504">
        <v>44158</v>
      </c>
      <c r="B773" s="500">
        <v>8</v>
      </c>
      <c r="C773" s="500" t="s">
        <v>42</v>
      </c>
      <c r="D773" s="500" t="s">
        <v>153</v>
      </c>
      <c r="E773" s="500">
        <v>2</v>
      </c>
      <c r="F773" s="500">
        <v>6</v>
      </c>
      <c r="G773" s="501" t="s">
        <v>447</v>
      </c>
      <c r="H773" s="500"/>
      <c r="I773" s="500"/>
      <c r="J773" s="500"/>
    </row>
    <row r="774" spans="1:10">
      <c r="A774" s="503">
        <v>44160</v>
      </c>
      <c r="B774" s="496">
        <v>8</v>
      </c>
      <c r="C774" s="496" t="s">
        <v>42</v>
      </c>
      <c r="D774" s="496" t="s">
        <v>148</v>
      </c>
      <c r="E774" s="496">
        <v>2</v>
      </c>
      <c r="F774" s="496">
        <v>6</v>
      </c>
      <c r="G774" s="497" t="s">
        <v>453</v>
      </c>
      <c r="H774" s="496"/>
      <c r="I774" s="496"/>
      <c r="J774" s="496"/>
    </row>
    <row r="775" spans="1:10">
      <c r="A775" s="504">
        <v>44162</v>
      </c>
      <c r="B775" s="500">
        <v>7</v>
      </c>
      <c r="C775" s="500" t="s">
        <v>42</v>
      </c>
      <c r="D775" s="500" t="s">
        <v>153</v>
      </c>
      <c r="E775" s="500">
        <v>2</v>
      </c>
      <c r="F775" s="500">
        <v>6</v>
      </c>
      <c r="G775" s="501" t="s">
        <v>454</v>
      </c>
      <c r="H775" s="500"/>
      <c r="I775" s="500"/>
      <c r="J775" s="500"/>
    </row>
    <row r="776" spans="1:10" ht="46.5">
      <c r="A776" s="503">
        <v>44162</v>
      </c>
      <c r="B776" s="496">
        <v>8</v>
      </c>
      <c r="C776" s="496" t="s">
        <v>42</v>
      </c>
      <c r="D776" s="496" t="s">
        <v>148</v>
      </c>
      <c r="E776" s="496">
        <v>2</v>
      </c>
      <c r="F776" s="496">
        <v>6</v>
      </c>
      <c r="G776" s="497" t="s">
        <v>455</v>
      </c>
      <c r="H776" s="496"/>
      <c r="I776" s="496"/>
      <c r="J776" s="496"/>
    </row>
    <row r="777" spans="1:10">
      <c r="A777" s="504">
        <v>44164</v>
      </c>
      <c r="B777" s="500">
        <v>7</v>
      </c>
      <c r="C777" s="500" t="s">
        <v>42</v>
      </c>
      <c r="D777" s="500" t="s">
        <v>148</v>
      </c>
      <c r="E777" s="500">
        <v>2</v>
      </c>
      <c r="F777" s="500">
        <v>6</v>
      </c>
      <c r="G777" s="501" t="s">
        <v>456</v>
      </c>
      <c r="H777" s="500"/>
      <c r="I777" s="500"/>
      <c r="J777" s="500"/>
    </row>
    <row r="778" spans="1:10">
      <c r="A778" s="503">
        <v>44164</v>
      </c>
      <c r="B778" s="496">
        <v>10</v>
      </c>
      <c r="C778" s="496" t="s">
        <v>42</v>
      </c>
      <c r="D778" s="496" t="s">
        <v>276</v>
      </c>
      <c r="E778" s="496">
        <v>1</v>
      </c>
      <c r="F778" s="496"/>
      <c r="G778" s="497"/>
      <c r="H778" s="496"/>
      <c r="I778" s="496"/>
      <c r="J778" s="496"/>
    </row>
    <row r="779" spans="1:10">
      <c r="A779" s="504">
        <v>44168</v>
      </c>
      <c r="B779" s="500">
        <v>13</v>
      </c>
      <c r="C779" s="500" t="s">
        <v>42</v>
      </c>
      <c r="D779" s="500" t="s">
        <v>440</v>
      </c>
      <c r="E779" s="500"/>
      <c r="F779" s="500"/>
      <c r="G779" s="501" t="s">
        <v>457</v>
      </c>
      <c r="H779" s="500"/>
      <c r="I779" s="500"/>
      <c r="J779" s="500"/>
    </row>
    <row r="780" spans="1:10">
      <c r="A780" s="503">
        <v>44169</v>
      </c>
      <c r="B780" s="496">
        <v>8</v>
      </c>
      <c r="C780" s="496" t="s">
        <v>42</v>
      </c>
      <c r="D780" s="496" t="s">
        <v>148</v>
      </c>
      <c r="E780" s="496">
        <v>2</v>
      </c>
      <c r="F780" s="496">
        <v>6</v>
      </c>
      <c r="G780" s="497" t="s">
        <v>459</v>
      </c>
      <c r="H780" s="496"/>
      <c r="I780" s="496"/>
      <c r="J780" s="496"/>
    </row>
    <row r="781" spans="1:10">
      <c r="A781" s="504">
        <v>44208</v>
      </c>
      <c r="B781" s="500">
        <v>7</v>
      </c>
      <c r="C781" s="500" t="s">
        <v>42</v>
      </c>
      <c r="D781" s="500" t="s">
        <v>348</v>
      </c>
      <c r="E781" s="500">
        <v>2</v>
      </c>
      <c r="F781" s="500">
        <v>6</v>
      </c>
      <c r="G781" s="501"/>
      <c r="H781" s="500"/>
      <c r="I781" s="500" t="s">
        <v>469</v>
      </c>
      <c r="J781" s="500" t="s">
        <v>470</v>
      </c>
    </row>
    <row r="782" spans="1:10">
      <c r="A782" s="503">
        <v>44208</v>
      </c>
      <c r="B782" s="496">
        <v>14</v>
      </c>
      <c r="C782" s="496" t="s">
        <v>42</v>
      </c>
      <c r="D782" s="496"/>
      <c r="E782" s="496"/>
      <c r="F782" s="496"/>
      <c r="G782" s="497" t="s">
        <v>482</v>
      </c>
      <c r="H782" s="496"/>
      <c r="I782" s="496" t="s">
        <v>469</v>
      </c>
      <c r="J782" s="496" t="s">
        <v>470</v>
      </c>
    </row>
    <row r="783" spans="1:10">
      <c r="A783" s="504">
        <v>44210</v>
      </c>
      <c r="B783" s="500">
        <v>7</v>
      </c>
      <c r="C783" s="500" t="s">
        <v>42</v>
      </c>
      <c r="D783" s="500" t="s">
        <v>348</v>
      </c>
      <c r="E783" s="500">
        <v>4</v>
      </c>
      <c r="F783" s="500">
        <v>6</v>
      </c>
      <c r="G783" s="501"/>
      <c r="H783" s="500"/>
      <c r="I783" s="500" t="s">
        <v>469</v>
      </c>
      <c r="J783" s="500" t="s">
        <v>470</v>
      </c>
    </row>
    <row r="784" spans="1:10">
      <c r="A784" s="503">
        <v>44216</v>
      </c>
      <c r="B784" s="496">
        <v>7</v>
      </c>
      <c r="C784" s="496" t="s">
        <v>42</v>
      </c>
      <c r="D784" s="496" t="s">
        <v>348</v>
      </c>
      <c r="E784" s="496">
        <v>3</v>
      </c>
      <c r="F784" s="496">
        <v>6</v>
      </c>
      <c r="G784" s="497"/>
      <c r="H784" s="496"/>
      <c r="I784" s="496" t="s">
        <v>469</v>
      </c>
      <c r="J784" s="496" t="s">
        <v>470</v>
      </c>
    </row>
    <row r="785" spans="1:10">
      <c r="A785" s="504">
        <v>44217</v>
      </c>
      <c r="B785" s="500">
        <v>7</v>
      </c>
      <c r="C785" s="500" t="s">
        <v>42</v>
      </c>
      <c r="D785" s="500" t="s">
        <v>148</v>
      </c>
      <c r="E785" s="500"/>
      <c r="F785" s="500"/>
      <c r="G785" s="501" t="s">
        <v>501</v>
      </c>
      <c r="H785" s="500"/>
      <c r="I785" s="500" t="s">
        <v>469</v>
      </c>
      <c r="J785" s="500" t="s">
        <v>470</v>
      </c>
    </row>
    <row r="786" spans="1:10">
      <c r="A786" s="503">
        <v>44217</v>
      </c>
      <c r="B786" s="496">
        <v>9</v>
      </c>
      <c r="C786" s="496" t="s">
        <v>42</v>
      </c>
      <c r="D786" s="496" t="s">
        <v>348</v>
      </c>
      <c r="E786" s="496">
        <v>2</v>
      </c>
      <c r="F786" s="496">
        <v>6</v>
      </c>
      <c r="G786" s="497"/>
      <c r="H786" s="496"/>
      <c r="I786" s="496" t="s">
        <v>469</v>
      </c>
      <c r="J786" s="496" t="s">
        <v>470</v>
      </c>
    </row>
    <row r="787" spans="1:10">
      <c r="A787" s="504">
        <v>44218</v>
      </c>
      <c r="B787" s="500">
        <v>7</v>
      </c>
      <c r="C787" s="500" t="s">
        <v>42</v>
      </c>
      <c r="D787" s="500" t="s">
        <v>348</v>
      </c>
      <c r="E787" s="500">
        <v>2</v>
      </c>
      <c r="F787" s="500">
        <v>6</v>
      </c>
      <c r="G787" s="501"/>
      <c r="H787" s="500"/>
      <c r="I787" s="500" t="s">
        <v>469</v>
      </c>
      <c r="J787" s="500" t="s">
        <v>470</v>
      </c>
    </row>
    <row r="788" spans="1:10">
      <c r="A788" s="503">
        <v>44219</v>
      </c>
      <c r="B788" s="496">
        <v>9</v>
      </c>
      <c r="C788" s="496" t="s">
        <v>42</v>
      </c>
      <c r="D788" s="496" t="s">
        <v>348</v>
      </c>
      <c r="E788" s="496">
        <v>2</v>
      </c>
      <c r="F788" s="496">
        <v>6</v>
      </c>
      <c r="G788" s="497"/>
      <c r="H788" s="496"/>
      <c r="I788" s="496" t="s">
        <v>469</v>
      </c>
      <c r="J788" s="496" t="s">
        <v>470</v>
      </c>
    </row>
    <row r="789" spans="1:10">
      <c r="A789" s="504">
        <v>44221</v>
      </c>
      <c r="B789" s="500">
        <v>7</v>
      </c>
      <c r="C789" s="500" t="s">
        <v>42</v>
      </c>
      <c r="D789" s="500" t="s">
        <v>148</v>
      </c>
      <c r="E789" s="500">
        <v>3</v>
      </c>
      <c r="F789" s="500">
        <v>6</v>
      </c>
      <c r="G789" s="501" t="s">
        <v>516</v>
      </c>
      <c r="H789" s="500"/>
      <c r="I789" s="500" t="s">
        <v>469</v>
      </c>
      <c r="J789" s="500" t="s">
        <v>470</v>
      </c>
    </row>
    <row r="790" spans="1:10">
      <c r="A790" s="503">
        <v>44224</v>
      </c>
      <c r="B790" s="496">
        <v>7</v>
      </c>
      <c r="C790" s="496" t="s">
        <v>42</v>
      </c>
      <c r="D790" s="496" t="s">
        <v>518</v>
      </c>
      <c r="E790" s="496">
        <v>2</v>
      </c>
      <c r="F790" s="496">
        <v>6</v>
      </c>
      <c r="G790" s="497"/>
      <c r="H790" s="496"/>
      <c r="I790" s="496" t="s">
        <v>469</v>
      </c>
      <c r="J790" s="496" t="s">
        <v>470</v>
      </c>
    </row>
    <row r="791" spans="1:10" ht="23.25">
      <c r="A791" s="504">
        <v>44224</v>
      </c>
      <c r="B791" s="500">
        <v>8</v>
      </c>
      <c r="C791" s="500" t="s">
        <v>42</v>
      </c>
      <c r="D791" s="500" t="s">
        <v>148</v>
      </c>
      <c r="E791" s="500">
        <v>1</v>
      </c>
      <c r="F791" s="500">
        <v>6</v>
      </c>
      <c r="G791" s="501" t="s">
        <v>517</v>
      </c>
      <c r="H791" s="500"/>
      <c r="I791" s="500" t="s">
        <v>469</v>
      </c>
      <c r="J791" s="500" t="s">
        <v>470</v>
      </c>
    </row>
    <row r="792" spans="1:10">
      <c r="A792" s="503">
        <v>44225</v>
      </c>
      <c r="B792" s="496">
        <v>8</v>
      </c>
      <c r="C792" s="496" t="s">
        <v>42</v>
      </c>
      <c r="D792" s="496" t="s">
        <v>348</v>
      </c>
      <c r="E792" s="496">
        <v>1</v>
      </c>
      <c r="F792" s="496">
        <v>6</v>
      </c>
      <c r="G792" s="497"/>
      <c r="H792" s="496"/>
      <c r="I792" s="496" t="s">
        <v>469</v>
      </c>
      <c r="J792" s="496" t="s">
        <v>470</v>
      </c>
    </row>
    <row r="793" spans="1:10" ht="23.25">
      <c r="A793" s="504">
        <v>44225</v>
      </c>
      <c r="B793" s="500">
        <v>9</v>
      </c>
      <c r="C793" s="500" t="s">
        <v>42</v>
      </c>
      <c r="D793" s="500" t="s">
        <v>148</v>
      </c>
      <c r="E793" s="500"/>
      <c r="F793" s="500"/>
      <c r="G793" s="501" t="s">
        <v>520</v>
      </c>
      <c r="H793" s="500"/>
      <c r="I793" s="500" t="s">
        <v>469</v>
      </c>
      <c r="J793" s="500" t="s">
        <v>470</v>
      </c>
    </row>
    <row r="794" spans="1:10">
      <c r="A794" s="503">
        <v>44227</v>
      </c>
      <c r="B794" s="496">
        <v>10</v>
      </c>
      <c r="C794" s="496" t="s">
        <v>42</v>
      </c>
      <c r="D794" s="496" t="s">
        <v>348</v>
      </c>
      <c r="E794" s="496">
        <v>1</v>
      </c>
      <c r="F794" s="496">
        <v>6</v>
      </c>
      <c r="G794" s="497"/>
      <c r="H794" s="496"/>
      <c r="I794" s="496" t="s">
        <v>469</v>
      </c>
      <c r="J794" s="496" t="s">
        <v>470</v>
      </c>
    </row>
    <row r="795" spans="1:10">
      <c r="A795" s="504">
        <v>44227</v>
      </c>
      <c r="B795" s="500">
        <v>12</v>
      </c>
      <c r="C795" s="500" t="s">
        <v>42</v>
      </c>
      <c r="D795" s="500" t="s">
        <v>146</v>
      </c>
      <c r="E795" s="500">
        <v>2</v>
      </c>
      <c r="F795" s="500">
        <v>6</v>
      </c>
      <c r="G795" s="501"/>
      <c r="H795" s="500"/>
      <c r="I795" s="500" t="s">
        <v>469</v>
      </c>
      <c r="J795" s="500" t="s">
        <v>470</v>
      </c>
    </row>
    <row r="796" spans="1:10">
      <c r="A796" s="503">
        <v>44228</v>
      </c>
      <c r="B796" s="496">
        <v>10</v>
      </c>
      <c r="C796" s="496" t="s">
        <v>42</v>
      </c>
      <c r="D796" s="496" t="s">
        <v>148</v>
      </c>
      <c r="E796" s="496">
        <v>3</v>
      </c>
      <c r="F796" s="496">
        <v>6</v>
      </c>
      <c r="G796" s="497"/>
      <c r="H796" s="496"/>
      <c r="I796" s="496" t="s">
        <v>469</v>
      </c>
      <c r="J796" s="496" t="s">
        <v>470</v>
      </c>
    </row>
    <row r="797" spans="1:10">
      <c r="A797" s="504">
        <v>44228</v>
      </c>
      <c r="B797" s="500">
        <v>11</v>
      </c>
      <c r="C797" s="500" t="s">
        <v>42</v>
      </c>
      <c r="D797" s="500" t="s">
        <v>153</v>
      </c>
      <c r="E797" s="500">
        <v>2</v>
      </c>
      <c r="F797" s="500">
        <v>6</v>
      </c>
      <c r="G797" s="501"/>
      <c r="H797" s="500"/>
      <c r="I797" s="500" t="s">
        <v>469</v>
      </c>
      <c r="J797" s="500" t="s">
        <v>470</v>
      </c>
    </row>
    <row r="798" spans="1:10" ht="58.15">
      <c r="A798" s="503">
        <v>44229</v>
      </c>
      <c r="B798" s="496">
        <v>9</v>
      </c>
      <c r="C798" s="496" t="s">
        <v>42</v>
      </c>
      <c r="D798" s="496" t="s">
        <v>148</v>
      </c>
      <c r="E798" s="496">
        <v>2</v>
      </c>
      <c r="F798" s="496">
        <v>6</v>
      </c>
      <c r="G798" s="497" t="s">
        <v>521</v>
      </c>
      <c r="H798" s="496"/>
      <c r="I798" s="496" t="s">
        <v>469</v>
      </c>
      <c r="J798" s="496" t="s">
        <v>470</v>
      </c>
    </row>
    <row r="799" spans="1:10">
      <c r="A799" s="504">
        <v>44232</v>
      </c>
      <c r="B799" s="500">
        <v>10</v>
      </c>
      <c r="C799" s="500" t="s">
        <v>42</v>
      </c>
      <c r="D799" s="500" t="s">
        <v>348</v>
      </c>
      <c r="E799" s="500">
        <v>1</v>
      </c>
      <c r="F799" s="500">
        <v>6</v>
      </c>
      <c r="G799" s="501"/>
      <c r="H799" s="500"/>
      <c r="I799" s="500" t="s">
        <v>469</v>
      </c>
      <c r="J799" s="500" t="s">
        <v>470</v>
      </c>
    </row>
    <row r="800" spans="1:10">
      <c r="A800" s="503">
        <v>44233</v>
      </c>
      <c r="B800" s="496">
        <v>7</v>
      </c>
      <c r="C800" s="496" t="s">
        <v>42</v>
      </c>
      <c r="D800" s="496" t="s">
        <v>146</v>
      </c>
      <c r="E800" s="496">
        <v>2</v>
      </c>
      <c r="F800" s="496">
        <v>6</v>
      </c>
      <c r="G800" s="497" t="s">
        <v>542</v>
      </c>
      <c r="H800" s="496"/>
      <c r="I800" s="496" t="s">
        <v>469</v>
      </c>
      <c r="J800" s="496" t="s">
        <v>552</v>
      </c>
    </row>
    <row r="801" spans="1:10">
      <c r="A801" s="504"/>
      <c r="B801" s="500"/>
      <c r="C801" s="500"/>
      <c r="D801" s="500"/>
      <c r="E801" s="500"/>
      <c r="F801" s="500"/>
      <c r="G801" s="501"/>
      <c r="H801" s="500"/>
      <c r="I801" s="500"/>
      <c r="J801" s="500"/>
    </row>
    <row r="802" spans="1:10">
      <c r="A802" s="503"/>
      <c r="B802" s="496"/>
      <c r="C802" s="496"/>
      <c r="D802" s="496"/>
      <c r="E802" s="496"/>
      <c r="F802" s="496"/>
      <c r="G802" s="497"/>
      <c r="H802" s="496"/>
      <c r="I802" s="496"/>
      <c r="J802" s="496"/>
    </row>
    <row r="803" spans="1:10">
      <c r="A803" s="504"/>
      <c r="B803" s="500"/>
      <c r="C803" s="500"/>
      <c r="D803" s="500"/>
      <c r="E803" s="500"/>
      <c r="F803" s="500"/>
      <c r="G803" s="501"/>
      <c r="H803" s="500"/>
      <c r="I803" s="500"/>
      <c r="J803" s="500"/>
    </row>
    <row r="804" spans="1:10">
      <c r="A804" s="503"/>
      <c r="B804" s="496"/>
      <c r="C804" s="496"/>
      <c r="D804" s="496"/>
      <c r="E804" s="496"/>
      <c r="F804" s="496"/>
      <c r="G804" s="497"/>
      <c r="H804" s="496"/>
      <c r="I804" s="496"/>
      <c r="J804" s="496"/>
    </row>
    <row r="805" spans="1:10">
      <c r="A805" s="504"/>
      <c r="B805" s="500"/>
      <c r="C805" s="500"/>
      <c r="D805" s="500"/>
      <c r="E805" s="500"/>
      <c r="F805" s="500"/>
      <c r="G805" s="501"/>
      <c r="H805" s="500"/>
      <c r="I805" s="500"/>
      <c r="J805" s="500"/>
    </row>
    <row r="806" spans="1:10">
      <c r="A806" s="495"/>
      <c r="B806" s="496"/>
      <c r="C806" s="496"/>
      <c r="D806" s="496"/>
      <c r="E806" s="496"/>
      <c r="F806" s="496"/>
      <c r="G806" s="497"/>
      <c r="H806" s="496"/>
      <c r="I806" s="496"/>
      <c r="J806" s="498"/>
    </row>
    <row r="807" spans="1:10">
      <c r="A807" s="499"/>
      <c r="B807" s="500"/>
      <c r="C807" s="500"/>
      <c r="D807" s="500"/>
      <c r="E807" s="500"/>
      <c r="F807" s="500"/>
      <c r="G807" s="501"/>
      <c r="H807" s="500"/>
      <c r="I807" s="500"/>
      <c r="J807" s="502"/>
    </row>
    <row r="808" spans="1:10">
      <c r="A808" s="495"/>
      <c r="B808" s="496"/>
      <c r="C808" s="496"/>
      <c r="D808" s="496"/>
      <c r="E808" s="496"/>
      <c r="F808" s="496"/>
      <c r="G808" s="497"/>
      <c r="H808" s="496"/>
      <c r="I808" s="496"/>
      <c r="J808" s="498"/>
    </row>
    <row r="809" spans="1:10">
      <c r="A809" s="499"/>
      <c r="B809" s="500"/>
      <c r="C809" s="500"/>
      <c r="D809" s="500"/>
      <c r="E809" s="500"/>
      <c r="F809" s="500"/>
      <c r="G809" s="501"/>
      <c r="H809" s="500"/>
      <c r="I809" s="500"/>
      <c r="J809" s="502"/>
    </row>
    <row r="810" spans="1:10">
      <c r="A810" s="495"/>
      <c r="B810" s="496"/>
      <c r="C810" s="496"/>
      <c r="D810" s="496"/>
      <c r="E810" s="496"/>
      <c r="F810" s="496"/>
      <c r="G810" s="497"/>
      <c r="H810" s="496"/>
      <c r="I810" s="496"/>
      <c r="J810" s="498"/>
    </row>
    <row r="811" spans="1:10">
      <c r="A811" s="499"/>
      <c r="B811" s="500"/>
      <c r="C811" s="500"/>
      <c r="D811" s="500"/>
      <c r="E811" s="500"/>
      <c r="F811" s="500"/>
      <c r="G811" s="501"/>
      <c r="H811" s="500"/>
      <c r="I811" s="500"/>
      <c r="J811" s="502"/>
    </row>
    <row r="812" spans="1:10">
      <c r="A812" s="495"/>
      <c r="B812" s="496"/>
      <c r="C812" s="496"/>
      <c r="D812" s="496"/>
      <c r="E812" s="496"/>
      <c r="F812" s="496"/>
      <c r="G812" s="497"/>
      <c r="H812" s="496"/>
      <c r="I812" s="496"/>
      <c r="J812" s="498"/>
    </row>
    <row r="813" spans="1:10">
      <c r="A813" s="499"/>
      <c r="B813" s="500"/>
      <c r="C813" s="500"/>
      <c r="D813" s="500"/>
      <c r="E813" s="500"/>
      <c r="F813" s="500"/>
      <c r="G813" s="501"/>
      <c r="H813" s="500"/>
      <c r="I813" s="500"/>
      <c r="J813" s="502"/>
    </row>
    <row r="814" spans="1:10">
      <c r="A814" s="495"/>
      <c r="B814" s="496"/>
      <c r="C814" s="496"/>
      <c r="D814" s="496"/>
      <c r="E814" s="496"/>
      <c r="F814" s="496"/>
      <c r="G814" s="497"/>
      <c r="H814" s="496"/>
      <c r="I814" s="496"/>
      <c r="J814" s="498"/>
    </row>
    <row r="815" spans="1:10">
      <c r="A815" s="499"/>
      <c r="B815" s="500"/>
      <c r="C815" s="500"/>
      <c r="D815" s="500"/>
      <c r="E815" s="500"/>
      <c r="F815" s="500"/>
      <c r="G815" s="501"/>
      <c r="H815" s="500"/>
      <c r="I815" s="500"/>
      <c r="J815" s="502"/>
    </row>
    <row r="816" spans="1:10">
      <c r="A816" s="495"/>
      <c r="B816" s="496"/>
      <c r="C816" s="496"/>
      <c r="D816" s="496"/>
      <c r="E816" s="496"/>
      <c r="F816" s="496"/>
      <c r="G816" s="497"/>
      <c r="H816" s="496"/>
      <c r="I816" s="496"/>
      <c r="J816" s="498"/>
    </row>
    <row r="817" spans="1:13">
      <c r="A817" s="499"/>
      <c r="B817" s="500"/>
      <c r="C817" s="500"/>
      <c r="D817" s="500"/>
      <c r="E817" s="500"/>
      <c r="F817" s="500"/>
      <c r="G817" s="501"/>
      <c r="H817" s="500"/>
      <c r="I817" s="500"/>
      <c r="J817" s="502"/>
    </row>
    <row r="818" spans="1:13">
      <c r="A818" s="495"/>
      <c r="B818" s="496"/>
      <c r="C818" s="496"/>
      <c r="D818" s="496"/>
      <c r="E818" s="496"/>
      <c r="F818" s="496"/>
      <c r="G818" s="497"/>
      <c r="H818" s="496"/>
      <c r="I818" s="496"/>
      <c r="J818" s="498"/>
    </row>
    <row r="819" spans="1:13">
      <c r="A819" s="499"/>
      <c r="B819" s="500"/>
      <c r="C819" s="500"/>
      <c r="D819" s="500"/>
      <c r="E819" s="500"/>
      <c r="F819" s="500"/>
      <c r="G819" s="501"/>
      <c r="H819" s="500"/>
      <c r="I819" s="500"/>
      <c r="J819" s="502"/>
    </row>
    <row r="820" spans="1:13">
      <c r="A820" s="495"/>
      <c r="B820" s="496"/>
      <c r="C820" s="496"/>
      <c r="D820" s="496"/>
      <c r="E820" s="496"/>
      <c r="F820" s="496"/>
      <c r="G820" s="497"/>
      <c r="H820" s="496"/>
      <c r="I820" s="496"/>
      <c r="J820" s="498"/>
    </row>
    <row r="821" spans="1:13">
      <c r="A821" s="499"/>
      <c r="B821" s="500"/>
      <c r="C821" s="500"/>
      <c r="D821" s="500"/>
      <c r="E821" s="500"/>
      <c r="F821" s="500"/>
      <c r="G821" s="501"/>
      <c r="H821" s="500"/>
      <c r="I821" s="500"/>
      <c r="J821" s="502"/>
    </row>
    <row r="822" spans="1:13">
      <c r="A822" s="495"/>
      <c r="B822" s="496"/>
      <c r="C822" s="496"/>
      <c r="D822" s="496"/>
      <c r="E822" s="496"/>
      <c r="F822" s="496"/>
      <c r="G822" s="497"/>
      <c r="H822" s="496"/>
      <c r="I822" s="496"/>
      <c r="J822" s="498"/>
    </row>
    <row r="823" spans="1:13">
      <c r="A823" s="499"/>
      <c r="B823" s="500"/>
      <c r="C823" s="500"/>
      <c r="D823" s="500"/>
      <c r="E823" s="500"/>
      <c r="F823" s="500"/>
      <c r="G823" s="501"/>
      <c r="H823" s="500"/>
      <c r="I823" s="500"/>
      <c r="J823" s="502"/>
    </row>
    <row r="824" spans="1:13">
      <c r="A824" s="495"/>
      <c r="B824" s="496"/>
      <c r="C824" s="496"/>
      <c r="D824" s="496"/>
      <c r="E824" s="496"/>
      <c r="F824" s="496"/>
      <c r="G824" s="497"/>
      <c r="H824" s="496"/>
      <c r="I824" s="496"/>
      <c r="J824" s="498"/>
    </row>
    <row r="825" spans="1:13">
      <c r="A825" s="499"/>
      <c r="B825" s="500"/>
      <c r="C825" s="500"/>
      <c r="D825" s="500"/>
      <c r="E825" s="500"/>
      <c r="F825" s="500"/>
      <c r="G825" s="501"/>
      <c r="H825" s="500"/>
      <c r="I825" s="500"/>
      <c r="J825" s="502"/>
    </row>
    <row r="826" spans="1:13">
      <c r="A826" s="495"/>
      <c r="B826" s="496"/>
      <c r="C826" s="496"/>
      <c r="D826" s="496"/>
      <c r="E826" s="496"/>
      <c r="F826" s="496"/>
      <c r="G826" s="497"/>
      <c r="H826" s="496"/>
      <c r="I826" s="496"/>
      <c r="J826" s="498"/>
    </row>
    <row r="827" spans="1:13">
      <c r="A827" s="499"/>
      <c r="B827" s="500"/>
      <c r="C827" s="500"/>
      <c r="D827" s="500"/>
      <c r="E827" s="500"/>
      <c r="F827" s="500"/>
      <c r="G827" s="501"/>
      <c r="H827" s="500"/>
      <c r="I827" s="500"/>
      <c r="J827" s="502"/>
    </row>
    <row r="828" spans="1:13">
      <c r="A828" s="495"/>
      <c r="B828" s="496"/>
      <c r="C828" s="496"/>
      <c r="D828" s="496"/>
      <c r="E828" s="496"/>
      <c r="F828" s="496"/>
      <c r="G828" s="497"/>
      <c r="H828" s="496"/>
      <c r="I828" s="496"/>
      <c r="J828" s="498"/>
    </row>
    <row r="829" spans="1:13">
      <c r="A829" s="499"/>
      <c r="B829" s="500"/>
      <c r="C829" s="500"/>
      <c r="D829" s="500"/>
      <c r="E829" s="500"/>
      <c r="F829" s="500"/>
      <c r="G829" s="501"/>
      <c r="H829" s="500"/>
      <c r="I829" s="500"/>
      <c r="J829" s="502"/>
    </row>
    <row r="830" spans="1:13">
      <c r="A830" s="495"/>
      <c r="B830" s="496"/>
      <c r="C830" s="496"/>
      <c r="D830" s="496"/>
      <c r="E830" s="496"/>
      <c r="F830" s="496"/>
      <c r="G830" s="497"/>
      <c r="H830" s="496"/>
      <c r="I830" s="496"/>
      <c r="J830" s="498"/>
      <c r="M830" s="335" t="s">
        <v>105</v>
      </c>
    </row>
    <row r="831" spans="1:13">
      <c r="A831" s="499"/>
      <c r="B831" s="500"/>
      <c r="C831" s="500"/>
      <c r="D831" s="500"/>
      <c r="E831" s="500"/>
      <c r="F831" s="500"/>
      <c r="G831" s="501"/>
      <c r="H831" s="500"/>
      <c r="I831" s="500"/>
      <c r="J831" s="502"/>
    </row>
    <row r="832" spans="1:13">
      <c r="A832" s="495"/>
      <c r="B832" s="496"/>
      <c r="C832" s="496"/>
      <c r="D832" s="496"/>
      <c r="E832" s="496"/>
      <c r="F832" s="496"/>
      <c r="G832" s="497"/>
      <c r="H832" s="496"/>
      <c r="I832" s="496"/>
      <c r="J832" s="498"/>
    </row>
    <row r="833" spans="1:10">
      <c r="A833" s="499"/>
      <c r="B833" s="500"/>
      <c r="C833" s="500"/>
      <c r="D833" s="500"/>
      <c r="E833" s="500"/>
      <c r="F833" s="500"/>
      <c r="G833" s="501"/>
      <c r="H833" s="500"/>
      <c r="I833" s="500"/>
      <c r="J833" s="502"/>
    </row>
    <row r="834" spans="1:10">
      <c r="A834" s="495"/>
      <c r="B834" s="496"/>
      <c r="C834" s="496"/>
      <c r="D834" s="496"/>
      <c r="E834" s="496"/>
      <c r="F834" s="496"/>
      <c r="G834" s="497"/>
      <c r="H834" s="496"/>
      <c r="I834" s="496"/>
      <c r="J834" s="498"/>
    </row>
    <row r="835" spans="1:10">
      <c r="A835" s="499"/>
      <c r="B835" s="500"/>
      <c r="C835" s="500"/>
      <c r="D835" s="500"/>
      <c r="E835" s="500"/>
      <c r="F835" s="500"/>
      <c r="G835" s="501"/>
      <c r="H835" s="500"/>
      <c r="I835" s="500"/>
      <c r="J835" s="502"/>
    </row>
    <row r="836" spans="1:10">
      <c r="A836" s="495"/>
      <c r="B836" s="496"/>
      <c r="C836" s="496"/>
      <c r="D836" s="496"/>
      <c r="E836" s="496"/>
      <c r="F836" s="496"/>
      <c r="G836" s="497"/>
      <c r="H836" s="496"/>
      <c r="I836" s="496"/>
      <c r="J836" s="498"/>
    </row>
    <row r="837" spans="1:10">
      <c r="A837" s="499"/>
      <c r="B837" s="500"/>
      <c r="C837" s="500"/>
      <c r="D837" s="500"/>
      <c r="E837" s="500"/>
      <c r="F837" s="500"/>
      <c r="G837" s="501"/>
      <c r="H837" s="500"/>
      <c r="I837" s="500"/>
      <c r="J837" s="502"/>
    </row>
    <row r="838" spans="1:10">
      <c r="A838" s="495"/>
      <c r="B838" s="496"/>
      <c r="C838" s="496"/>
      <c r="D838" s="496"/>
      <c r="E838" s="496"/>
      <c r="F838" s="496"/>
      <c r="G838" s="497"/>
      <c r="H838" s="496"/>
      <c r="I838" s="496"/>
      <c r="J838" s="498"/>
    </row>
    <row r="839" spans="1:10">
      <c r="A839" s="499"/>
      <c r="B839" s="500"/>
      <c r="C839" s="500"/>
      <c r="D839" s="500"/>
      <c r="E839" s="500"/>
      <c r="F839" s="500"/>
      <c r="G839" s="501"/>
      <c r="H839" s="500"/>
      <c r="I839" s="500"/>
      <c r="J839" s="502"/>
    </row>
    <row r="840" spans="1:10">
      <c r="A840" s="495"/>
      <c r="B840" s="496"/>
      <c r="C840" s="496"/>
      <c r="D840" s="496"/>
      <c r="E840" s="496"/>
      <c r="F840" s="496"/>
      <c r="G840" s="497"/>
      <c r="H840" s="496"/>
      <c r="I840" s="496"/>
      <c r="J840" s="498"/>
    </row>
    <row r="841" spans="1:10">
      <c r="A841" s="499"/>
      <c r="B841" s="500"/>
      <c r="C841" s="500"/>
      <c r="D841" s="500"/>
      <c r="E841" s="500"/>
      <c r="F841" s="500"/>
      <c r="G841" s="501"/>
      <c r="H841" s="500"/>
      <c r="I841" s="500"/>
      <c r="J841" s="502"/>
    </row>
    <row r="842" spans="1:10">
      <c r="A842" s="495"/>
      <c r="B842" s="496"/>
      <c r="C842" s="496"/>
      <c r="D842" s="496"/>
      <c r="E842" s="496"/>
      <c r="F842" s="496"/>
      <c r="G842" s="497"/>
      <c r="H842" s="496"/>
      <c r="I842" s="496"/>
      <c r="J842" s="498"/>
    </row>
    <row r="843" spans="1:10">
      <c r="A843" s="499"/>
      <c r="B843" s="500"/>
      <c r="C843" s="500"/>
      <c r="D843" s="500"/>
      <c r="E843" s="500"/>
      <c r="F843" s="500"/>
      <c r="G843" s="501"/>
      <c r="H843" s="500"/>
      <c r="I843" s="500"/>
      <c r="J843" s="502"/>
    </row>
    <row r="844" spans="1:10">
      <c r="A844" s="495"/>
      <c r="B844" s="496"/>
      <c r="C844" s="496"/>
      <c r="D844" s="496"/>
      <c r="E844" s="496"/>
      <c r="F844" s="496"/>
      <c r="G844" s="497"/>
      <c r="H844" s="496"/>
      <c r="I844" s="496"/>
      <c r="J844" s="498"/>
    </row>
    <row r="845" spans="1:10">
      <c r="A845" s="499"/>
      <c r="B845" s="500"/>
      <c r="C845" s="500"/>
      <c r="D845" s="500"/>
      <c r="E845" s="500"/>
      <c r="F845" s="500"/>
      <c r="G845" s="501"/>
      <c r="H845" s="500"/>
      <c r="I845" s="500"/>
      <c r="J845" s="502"/>
    </row>
    <row r="846" spans="1:10">
      <c r="A846" s="495"/>
      <c r="B846" s="496"/>
      <c r="C846" s="496"/>
      <c r="D846" s="496"/>
      <c r="E846" s="496"/>
      <c r="F846" s="496"/>
      <c r="G846" s="497"/>
      <c r="H846" s="496"/>
      <c r="I846" s="496"/>
      <c r="J846" s="498"/>
    </row>
    <row r="847" spans="1:10">
      <c r="A847" s="499"/>
      <c r="B847" s="500"/>
      <c r="C847" s="500"/>
      <c r="D847" s="500"/>
      <c r="E847" s="500"/>
      <c r="F847" s="500"/>
      <c r="G847" s="501"/>
      <c r="H847" s="500"/>
      <c r="I847" s="500"/>
      <c r="J847" s="502"/>
    </row>
    <row r="848" spans="1:10">
      <c r="A848" s="495"/>
      <c r="B848" s="496"/>
      <c r="C848" s="496"/>
      <c r="D848" s="496"/>
      <c r="E848" s="496"/>
      <c r="F848" s="496"/>
      <c r="G848" s="497"/>
      <c r="H848" s="496"/>
      <c r="I848" s="496"/>
      <c r="J848" s="498"/>
    </row>
    <row r="849" spans="1:10">
      <c r="A849" s="499"/>
      <c r="B849" s="500"/>
      <c r="C849" s="500"/>
      <c r="D849" s="500"/>
      <c r="E849" s="500"/>
      <c r="F849" s="500"/>
      <c r="G849" s="501"/>
      <c r="H849" s="500"/>
      <c r="I849" s="500"/>
      <c r="J849" s="502"/>
    </row>
    <row r="850" spans="1:10">
      <c r="A850" s="495"/>
      <c r="B850" s="496"/>
      <c r="C850" s="496"/>
      <c r="D850" s="496"/>
      <c r="E850" s="496"/>
      <c r="F850" s="496"/>
      <c r="G850" s="497"/>
      <c r="H850" s="496"/>
      <c r="I850" s="496"/>
      <c r="J850" s="498"/>
    </row>
    <row r="851" spans="1:10">
      <c r="A851" s="499"/>
      <c r="B851" s="500"/>
      <c r="C851" s="500"/>
      <c r="D851" s="500"/>
      <c r="E851" s="500"/>
      <c r="F851" s="500"/>
      <c r="G851" s="501"/>
      <c r="H851" s="500"/>
      <c r="I851" s="500"/>
      <c r="J851" s="502"/>
    </row>
    <row r="852" spans="1:10">
      <c r="A852" s="495"/>
      <c r="B852" s="496"/>
      <c r="C852" s="496"/>
      <c r="D852" s="496"/>
      <c r="E852" s="496"/>
      <c r="F852" s="496"/>
      <c r="G852" s="497"/>
      <c r="H852" s="496"/>
      <c r="I852" s="496"/>
      <c r="J852" s="498"/>
    </row>
    <row r="853" spans="1:10">
      <c r="A853" s="499"/>
      <c r="B853" s="500"/>
      <c r="C853" s="500"/>
      <c r="D853" s="500"/>
      <c r="E853" s="500"/>
      <c r="F853" s="500"/>
      <c r="G853" s="501"/>
      <c r="H853" s="500"/>
      <c r="I853" s="500"/>
      <c r="J853" s="502"/>
    </row>
    <row r="854" spans="1:10">
      <c r="A854" s="495"/>
      <c r="B854" s="496"/>
      <c r="C854" s="496"/>
      <c r="D854" s="496"/>
      <c r="E854" s="496"/>
      <c r="F854" s="496"/>
      <c r="G854" s="497"/>
      <c r="H854" s="496"/>
      <c r="I854" s="496"/>
      <c r="J854" s="498"/>
    </row>
    <row r="855" spans="1:10">
      <c r="A855" s="499"/>
      <c r="B855" s="500"/>
      <c r="C855" s="500"/>
      <c r="D855" s="500"/>
      <c r="E855" s="500"/>
      <c r="F855" s="500"/>
      <c r="G855" s="501"/>
      <c r="H855" s="500"/>
      <c r="I855" s="500"/>
      <c r="J855" s="502"/>
    </row>
    <row r="856" spans="1:10">
      <c r="A856" s="495"/>
      <c r="B856" s="496"/>
      <c r="C856" s="496"/>
      <c r="D856" s="496"/>
      <c r="E856" s="496"/>
      <c r="F856" s="496"/>
      <c r="G856" s="497"/>
      <c r="H856" s="496"/>
      <c r="I856" s="496"/>
      <c r="J856" s="498"/>
    </row>
    <row r="857" spans="1:10">
      <c r="A857" s="499"/>
      <c r="B857" s="500"/>
      <c r="C857" s="500"/>
      <c r="D857" s="500"/>
      <c r="E857" s="500"/>
      <c r="F857" s="500"/>
      <c r="G857" s="501"/>
      <c r="H857" s="500"/>
      <c r="I857" s="500"/>
      <c r="J857" s="502"/>
    </row>
    <row r="858" spans="1:10">
      <c r="A858" s="495"/>
      <c r="B858" s="496"/>
      <c r="C858" s="496"/>
      <c r="D858" s="496"/>
      <c r="E858" s="496"/>
      <c r="F858" s="496"/>
      <c r="G858" s="497"/>
      <c r="H858" s="496"/>
      <c r="I858" s="496"/>
      <c r="J858" s="498"/>
    </row>
    <row r="859" spans="1:10">
      <c r="A859" s="499"/>
      <c r="B859" s="500"/>
      <c r="C859" s="500"/>
      <c r="D859" s="500"/>
      <c r="E859" s="500"/>
      <c r="F859" s="500"/>
      <c r="G859" s="501"/>
      <c r="H859" s="500"/>
      <c r="I859" s="500"/>
      <c r="J859" s="502"/>
    </row>
    <row r="860" spans="1:10">
      <c r="A860" s="495"/>
      <c r="B860" s="496"/>
      <c r="C860" s="496"/>
      <c r="D860" s="496"/>
      <c r="E860" s="496"/>
      <c r="F860" s="496"/>
      <c r="G860" s="497"/>
      <c r="H860" s="496"/>
      <c r="I860" s="496"/>
      <c r="J860" s="498"/>
    </row>
    <row r="861" spans="1:10">
      <c r="A861" s="499"/>
      <c r="B861" s="500"/>
      <c r="C861" s="500"/>
      <c r="D861" s="500"/>
      <c r="E861" s="500"/>
      <c r="F861" s="500"/>
      <c r="G861" s="501"/>
      <c r="H861" s="500"/>
      <c r="I861" s="500"/>
      <c r="J861" s="502"/>
    </row>
    <row r="862" spans="1:10">
      <c r="A862" s="495"/>
      <c r="B862" s="496"/>
      <c r="C862" s="496"/>
      <c r="D862" s="496"/>
      <c r="E862" s="496"/>
      <c r="F862" s="496"/>
      <c r="G862" s="497"/>
      <c r="H862" s="496"/>
      <c r="I862" s="496"/>
      <c r="J862" s="498"/>
    </row>
    <row r="863" spans="1:10">
      <c r="A863" s="499"/>
      <c r="B863" s="500"/>
      <c r="C863" s="500"/>
      <c r="D863" s="500"/>
      <c r="E863" s="500"/>
      <c r="F863" s="500"/>
      <c r="G863" s="501"/>
      <c r="H863" s="500"/>
      <c r="I863" s="500"/>
      <c r="J863" s="502"/>
    </row>
    <row r="864" spans="1:10">
      <c r="A864" s="495"/>
      <c r="B864" s="496"/>
      <c r="C864" s="496"/>
      <c r="D864" s="496"/>
      <c r="E864" s="496"/>
      <c r="F864" s="496"/>
      <c r="G864" s="497"/>
      <c r="H864" s="496"/>
      <c r="I864" s="496"/>
      <c r="J864" s="498"/>
    </row>
    <row r="865" spans="1:10">
      <c r="A865" s="499"/>
      <c r="B865" s="500"/>
      <c r="C865" s="500"/>
      <c r="D865" s="500"/>
      <c r="E865" s="500"/>
      <c r="F865" s="500"/>
      <c r="G865" s="501"/>
      <c r="H865" s="500"/>
      <c r="I865" s="500"/>
      <c r="J865" s="502"/>
    </row>
    <row r="866" spans="1:10">
      <c r="A866" s="495"/>
      <c r="B866" s="496"/>
      <c r="C866" s="496"/>
      <c r="D866" s="496"/>
      <c r="E866" s="496"/>
      <c r="F866" s="496"/>
      <c r="G866" s="497"/>
      <c r="H866" s="496"/>
      <c r="I866" s="496"/>
      <c r="J866" s="498"/>
    </row>
    <row r="867" spans="1:10">
      <c r="A867" s="499"/>
      <c r="B867" s="500"/>
      <c r="C867" s="500"/>
      <c r="D867" s="500"/>
      <c r="E867" s="500"/>
      <c r="F867" s="500"/>
      <c r="G867" s="501"/>
      <c r="H867" s="500"/>
      <c r="I867" s="500"/>
      <c r="J867" s="502"/>
    </row>
    <row r="868" spans="1:10">
      <c r="A868" s="495"/>
      <c r="B868" s="496"/>
      <c r="C868" s="496"/>
      <c r="D868" s="496"/>
      <c r="E868" s="496"/>
      <c r="F868" s="496"/>
      <c r="G868" s="497"/>
      <c r="H868" s="496"/>
      <c r="I868" s="496"/>
      <c r="J868" s="498"/>
    </row>
    <row r="869" spans="1:10">
      <c r="A869" s="499"/>
      <c r="B869" s="500"/>
      <c r="C869" s="500"/>
      <c r="D869" s="500"/>
      <c r="E869" s="500"/>
      <c r="F869" s="500"/>
      <c r="G869" s="501"/>
      <c r="H869" s="500"/>
      <c r="I869" s="500"/>
      <c r="J869" s="502"/>
    </row>
    <row r="870" spans="1:10">
      <c r="A870" s="495"/>
      <c r="B870" s="496"/>
      <c r="C870" s="496"/>
      <c r="D870" s="496"/>
      <c r="E870" s="496"/>
      <c r="F870" s="496"/>
      <c r="G870" s="497"/>
      <c r="H870" s="496"/>
      <c r="I870" s="496"/>
      <c r="J870" s="498"/>
    </row>
    <row r="871" spans="1:10">
      <c r="A871" s="499"/>
      <c r="B871" s="500"/>
      <c r="C871" s="500"/>
      <c r="D871" s="500"/>
      <c r="E871" s="500"/>
      <c r="F871" s="500"/>
      <c r="G871" s="501"/>
      <c r="H871" s="500"/>
      <c r="I871" s="500"/>
      <c r="J871" s="502"/>
    </row>
    <row r="872" spans="1:10">
      <c r="A872" s="495"/>
      <c r="B872" s="496"/>
      <c r="C872" s="496"/>
      <c r="D872" s="496"/>
      <c r="E872" s="496"/>
      <c r="F872" s="496"/>
      <c r="G872" s="497"/>
      <c r="H872" s="496"/>
      <c r="I872" s="496"/>
      <c r="J872" s="498"/>
    </row>
    <row r="873" spans="1:10">
      <c r="A873" s="499"/>
      <c r="B873" s="500"/>
      <c r="C873" s="500"/>
      <c r="D873" s="500"/>
      <c r="E873" s="500"/>
      <c r="F873" s="500"/>
      <c r="G873" s="501"/>
      <c r="H873" s="500"/>
      <c r="I873" s="500"/>
      <c r="J873" s="502"/>
    </row>
    <row r="874" spans="1:10">
      <c r="A874" s="495"/>
      <c r="B874" s="496"/>
      <c r="C874" s="496"/>
      <c r="D874" s="496"/>
      <c r="E874" s="496"/>
      <c r="F874" s="496"/>
      <c r="G874" s="497"/>
      <c r="H874" s="496"/>
      <c r="I874" s="496"/>
      <c r="J874" s="498"/>
    </row>
    <row r="875" spans="1:10">
      <c r="A875" s="499"/>
      <c r="B875" s="500"/>
      <c r="C875" s="500"/>
      <c r="D875" s="500"/>
      <c r="E875" s="500"/>
      <c r="F875" s="500"/>
      <c r="G875" s="501"/>
      <c r="H875" s="500"/>
      <c r="I875" s="500"/>
      <c r="J875" s="502"/>
    </row>
    <row r="876" spans="1:10">
      <c r="A876" s="495"/>
      <c r="B876" s="496"/>
      <c r="C876" s="496"/>
      <c r="D876" s="496"/>
      <c r="E876" s="496"/>
      <c r="F876" s="496"/>
      <c r="G876" s="497"/>
      <c r="H876" s="496"/>
      <c r="I876" s="496"/>
      <c r="J876" s="498"/>
    </row>
    <row r="877" spans="1:10">
      <c r="A877" s="499"/>
      <c r="B877" s="500"/>
      <c r="C877" s="500"/>
      <c r="D877" s="500"/>
      <c r="E877" s="500"/>
      <c r="F877" s="500"/>
      <c r="G877" s="501"/>
      <c r="H877" s="500"/>
      <c r="I877" s="500"/>
      <c r="J877" s="502"/>
    </row>
    <row r="878" spans="1:10">
      <c r="A878" s="495"/>
      <c r="B878" s="496"/>
      <c r="C878" s="496"/>
      <c r="D878" s="496"/>
      <c r="E878" s="496"/>
      <c r="F878" s="496"/>
      <c r="G878" s="497"/>
      <c r="H878" s="496"/>
      <c r="I878" s="496"/>
      <c r="J878" s="498"/>
    </row>
    <row r="879" spans="1:10">
      <c r="A879" s="499"/>
      <c r="B879" s="500"/>
      <c r="C879" s="500"/>
      <c r="D879" s="500"/>
      <c r="E879" s="500"/>
      <c r="F879" s="500"/>
      <c r="G879" s="501"/>
      <c r="H879" s="500"/>
      <c r="I879" s="500"/>
      <c r="J879" s="502"/>
    </row>
    <row r="880" spans="1:10">
      <c r="A880" s="495"/>
      <c r="B880" s="496"/>
      <c r="C880" s="496"/>
      <c r="D880" s="496"/>
      <c r="E880" s="496"/>
      <c r="F880" s="496"/>
      <c r="G880" s="497"/>
      <c r="H880" s="496"/>
      <c r="I880" s="496"/>
      <c r="J880" s="498"/>
    </row>
    <row r="881" spans="1:10">
      <c r="A881" s="499"/>
      <c r="B881" s="500"/>
      <c r="C881" s="500"/>
      <c r="D881" s="500"/>
      <c r="E881" s="500"/>
      <c r="F881" s="500"/>
      <c r="G881" s="501"/>
      <c r="H881" s="500"/>
      <c r="I881" s="500"/>
      <c r="J881" s="502"/>
    </row>
    <row r="882" spans="1:10">
      <c r="A882" s="495"/>
      <c r="B882" s="496"/>
      <c r="C882" s="496"/>
      <c r="D882" s="496"/>
      <c r="E882" s="496"/>
      <c r="F882" s="496"/>
      <c r="G882" s="497"/>
      <c r="H882" s="496"/>
      <c r="I882" s="496"/>
      <c r="J882" s="498"/>
    </row>
    <row r="883" spans="1:10">
      <c r="A883" s="499"/>
      <c r="B883" s="500"/>
      <c r="C883" s="500"/>
      <c r="D883" s="500"/>
      <c r="E883" s="500"/>
      <c r="F883" s="500"/>
      <c r="G883" s="501"/>
      <c r="H883" s="500"/>
      <c r="I883" s="500"/>
      <c r="J883" s="502"/>
    </row>
    <row r="884" spans="1:10">
      <c r="A884" s="495"/>
      <c r="B884" s="496"/>
      <c r="C884" s="496"/>
      <c r="D884" s="496"/>
      <c r="E884" s="496"/>
      <c r="F884" s="496"/>
      <c r="G884" s="497"/>
      <c r="H884" s="496"/>
      <c r="I884" s="496"/>
      <c r="J884" s="498"/>
    </row>
    <row r="885" spans="1:10">
      <c r="A885" s="499"/>
      <c r="B885" s="500"/>
      <c r="C885" s="500"/>
      <c r="D885" s="500"/>
      <c r="E885" s="500"/>
      <c r="F885" s="500"/>
      <c r="G885" s="501"/>
      <c r="H885" s="500"/>
      <c r="I885" s="500"/>
      <c r="J885" s="502"/>
    </row>
    <row r="886" spans="1:10">
      <c r="A886" s="495"/>
      <c r="B886" s="496"/>
      <c r="C886" s="496"/>
      <c r="D886" s="496"/>
      <c r="E886" s="496"/>
      <c r="F886" s="496"/>
      <c r="G886" s="497"/>
      <c r="H886" s="496"/>
      <c r="I886" s="496"/>
      <c r="J886" s="498"/>
    </row>
    <row r="887" spans="1:10">
      <c r="A887" s="499"/>
      <c r="B887" s="500"/>
      <c r="C887" s="500"/>
      <c r="D887" s="500"/>
      <c r="E887" s="500"/>
      <c r="F887" s="500"/>
      <c r="G887" s="501"/>
      <c r="H887" s="500"/>
      <c r="I887" s="500"/>
      <c r="J887" s="502"/>
    </row>
    <row r="888" spans="1:10">
      <c r="A888" s="495"/>
      <c r="B888" s="496"/>
      <c r="C888" s="496"/>
      <c r="D888" s="496"/>
      <c r="E888" s="496"/>
      <c r="F888" s="496"/>
      <c r="G888" s="497"/>
      <c r="H888" s="496"/>
      <c r="I888" s="496"/>
      <c r="J888" s="498"/>
    </row>
    <row r="889" spans="1:10">
      <c r="A889" s="499"/>
      <c r="B889" s="500"/>
      <c r="C889" s="500"/>
      <c r="D889" s="500"/>
      <c r="E889" s="500"/>
      <c r="F889" s="500"/>
      <c r="G889" s="501"/>
      <c r="H889" s="500"/>
      <c r="I889" s="500"/>
      <c r="J889" s="502"/>
    </row>
    <row r="890" spans="1:10">
      <c r="A890" s="495"/>
      <c r="B890" s="496"/>
      <c r="C890" s="496"/>
      <c r="D890" s="496"/>
      <c r="E890" s="496"/>
      <c r="F890" s="496"/>
      <c r="G890" s="497"/>
      <c r="H890" s="496"/>
      <c r="I890" s="496"/>
      <c r="J890" s="498"/>
    </row>
    <row r="891" spans="1:10">
      <c r="A891" s="499"/>
      <c r="B891" s="500"/>
      <c r="C891" s="500"/>
      <c r="D891" s="500"/>
      <c r="E891" s="500"/>
      <c r="F891" s="500"/>
      <c r="G891" s="501"/>
      <c r="H891" s="500"/>
      <c r="I891" s="500"/>
      <c r="J891" s="502"/>
    </row>
    <row r="892" spans="1:10">
      <c r="A892" s="495"/>
      <c r="B892" s="496"/>
      <c r="C892" s="496"/>
      <c r="D892" s="496"/>
      <c r="E892" s="496"/>
      <c r="F892" s="496"/>
      <c r="G892" s="497"/>
      <c r="H892" s="496"/>
      <c r="I892" s="496"/>
      <c r="J892" s="498"/>
    </row>
    <row r="893" spans="1:10">
      <c r="A893" s="499"/>
      <c r="B893" s="500"/>
      <c r="C893" s="500"/>
      <c r="D893" s="500"/>
      <c r="E893" s="500"/>
      <c r="F893" s="500"/>
      <c r="G893" s="501"/>
      <c r="H893" s="500"/>
      <c r="I893" s="500"/>
      <c r="J893" s="502"/>
    </row>
    <row r="894" spans="1:10">
      <c r="A894" s="495"/>
      <c r="B894" s="496"/>
      <c r="C894" s="496"/>
      <c r="D894" s="496"/>
      <c r="E894" s="496"/>
      <c r="F894" s="496"/>
      <c r="G894" s="497"/>
      <c r="H894" s="496"/>
      <c r="I894" s="496"/>
      <c r="J894" s="498"/>
    </row>
    <row r="895" spans="1:10">
      <c r="A895" s="499"/>
      <c r="B895" s="500"/>
      <c r="C895" s="500"/>
      <c r="D895" s="500"/>
      <c r="E895" s="500"/>
      <c r="F895" s="500"/>
      <c r="G895" s="501"/>
      <c r="H895" s="500"/>
      <c r="I895" s="500"/>
      <c r="J895" s="502"/>
    </row>
    <row r="896" spans="1:10">
      <c r="A896" s="495"/>
      <c r="B896" s="496"/>
      <c r="C896" s="496"/>
      <c r="D896" s="496"/>
      <c r="E896" s="496"/>
      <c r="F896" s="496"/>
      <c r="G896" s="497"/>
      <c r="H896" s="496"/>
      <c r="I896" s="496"/>
      <c r="J896" s="498"/>
    </row>
    <row r="897" spans="1:10">
      <c r="A897" s="499"/>
      <c r="B897" s="500"/>
      <c r="C897" s="500"/>
      <c r="D897" s="500"/>
      <c r="E897" s="500"/>
      <c r="F897" s="500"/>
      <c r="G897" s="501"/>
      <c r="H897" s="500"/>
      <c r="I897" s="500"/>
      <c r="J897" s="502"/>
    </row>
    <row r="898" spans="1:10">
      <c r="A898" s="495"/>
      <c r="B898" s="496"/>
      <c r="C898" s="496"/>
      <c r="D898" s="496"/>
      <c r="E898" s="496"/>
      <c r="F898" s="496"/>
      <c r="G898" s="497"/>
      <c r="H898" s="496"/>
      <c r="I898" s="496"/>
      <c r="J898" s="498"/>
    </row>
    <row r="899" spans="1:10">
      <c r="A899" s="499"/>
      <c r="B899" s="500"/>
      <c r="C899" s="500"/>
      <c r="D899" s="500"/>
      <c r="E899" s="500"/>
      <c r="F899" s="500"/>
      <c r="G899" s="501"/>
      <c r="H899" s="500"/>
      <c r="I899" s="500"/>
      <c r="J899" s="502"/>
    </row>
    <row r="900" spans="1:10">
      <c r="A900" s="495"/>
      <c r="B900" s="496"/>
      <c r="C900" s="496"/>
      <c r="D900" s="496"/>
      <c r="E900" s="496"/>
      <c r="F900" s="496"/>
      <c r="G900" s="497"/>
      <c r="H900" s="496"/>
      <c r="I900" s="496"/>
      <c r="J900" s="498"/>
    </row>
    <row r="901" spans="1:10">
      <c r="A901" s="499"/>
      <c r="B901" s="500"/>
      <c r="C901" s="500"/>
      <c r="D901" s="500"/>
      <c r="E901" s="500"/>
      <c r="F901" s="500"/>
      <c r="G901" s="501"/>
      <c r="H901" s="500"/>
      <c r="I901" s="500"/>
      <c r="J901" s="502"/>
    </row>
    <row r="902" spans="1:10">
      <c r="A902" s="495"/>
      <c r="B902" s="496"/>
      <c r="C902" s="496"/>
      <c r="D902" s="496"/>
      <c r="E902" s="496"/>
      <c r="F902" s="496"/>
      <c r="G902" s="497"/>
      <c r="H902" s="496"/>
      <c r="I902" s="496"/>
      <c r="J902" s="498"/>
    </row>
    <row r="903" spans="1:10">
      <c r="A903" s="499"/>
      <c r="B903" s="500"/>
      <c r="C903" s="500"/>
      <c r="D903" s="500"/>
      <c r="E903" s="500"/>
      <c r="F903" s="500"/>
      <c r="G903" s="501"/>
      <c r="H903" s="500"/>
      <c r="I903" s="500"/>
      <c r="J903" s="502"/>
    </row>
    <row r="904" spans="1:10">
      <c r="A904" s="495"/>
      <c r="B904" s="496"/>
      <c r="C904" s="496"/>
      <c r="D904" s="496"/>
      <c r="E904" s="496"/>
      <c r="F904" s="496"/>
      <c r="G904" s="497"/>
      <c r="H904" s="496"/>
      <c r="I904" s="496"/>
      <c r="J904" s="498"/>
    </row>
    <row r="905" spans="1:10">
      <c r="A905" s="499"/>
      <c r="B905" s="500"/>
      <c r="C905" s="500"/>
      <c r="D905" s="500"/>
      <c r="E905" s="500"/>
      <c r="F905" s="500"/>
      <c r="G905" s="501"/>
      <c r="H905" s="500"/>
      <c r="I905" s="500"/>
      <c r="J905" s="502"/>
    </row>
    <row r="906" spans="1:10">
      <c r="A906" s="495"/>
      <c r="B906" s="496"/>
      <c r="C906" s="496"/>
      <c r="D906" s="496"/>
      <c r="E906" s="496"/>
      <c r="F906" s="496"/>
      <c r="G906" s="497"/>
      <c r="H906" s="496"/>
      <c r="I906" s="496"/>
      <c r="J906" s="498"/>
    </row>
    <row r="907" spans="1:10">
      <c r="A907" s="499"/>
      <c r="B907" s="500"/>
      <c r="C907" s="500"/>
      <c r="D907" s="500"/>
      <c r="E907" s="500"/>
      <c r="F907" s="500"/>
      <c r="G907" s="501"/>
      <c r="H907" s="500"/>
      <c r="I907" s="500"/>
      <c r="J907" s="502"/>
    </row>
    <row r="908" spans="1:10">
      <c r="A908" s="495"/>
      <c r="B908" s="496"/>
      <c r="C908" s="496"/>
      <c r="D908" s="496"/>
      <c r="E908" s="496"/>
      <c r="F908" s="496"/>
      <c r="G908" s="497"/>
      <c r="H908" s="496"/>
      <c r="I908" s="496"/>
      <c r="J908" s="498"/>
    </row>
    <row r="909" spans="1:10">
      <c r="A909" s="499"/>
      <c r="B909" s="500"/>
      <c r="C909" s="500"/>
      <c r="D909" s="500"/>
      <c r="E909" s="500"/>
      <c r="F909" s="500"/>
      <c r="G909" s="501"/>
      <c r="H909" s="500"/>
      <c r="I909" s="500"/>
      <c r="J909" s="502"/>
    </row>
    <row r="910" spans="1:10">
      <c r="A910" s="495"/>
      <c r="B910" s="496"/>
      <c r="C910" s="496"/>
      <c r="D910" s="496"/>
      <c r="E910" s="496"/>
      <c r="F910" s="496"/>
      <c r="G910" s="497"/>
      <c r="H910" s="496"/>
      <c r="I910" s="496"/>
      <c r="J910" s="498"/>
    </row>
    <row r="911" spans="1:10">
      <c r="A911" s="499"/>
      <c r="B911" s="500"/>
      <c r="C911" s="500"/>
      <c r="D911" s="500"/>
      <c r="E911" s="500"/>
      <c r="F911" s="500"/>
      <c r="G911" s="501"/>
      <c r="H911" s="500"/>
      <c r="I911" s="500"/>
      <c r="J911" s="502"/>
    </row>
    <row r="912" spans="1:10">
      <c r="A912" s="495"/>
      <c r="B912" s="496"/>
      <c r="C912" s="496"/>
      <c r="D912" s="496"/>
      <c r="E912" s="496"/>
      <c r="F912" s="496"/>
      <c r="G912" s="497"/>
      <c r="H912" s="496"/>
      <c r="I912" s="496"/>
      <c r="J912" s="498"/>
    </row>
    <row r="913" spans="1:10">
      <c r="A913" s="499"/>
      <c r="B913" s="500"/>
      <c r="C913" s="500"/>
      <c r="D913" s="500"/>
      <c r="E913" s="500"/>
      <c r="F913" s="500"/>
      <c r="G913" s="501"/>
      <c r="H913" s="500"/>
      <c r="I913" s="500"/>
      <c r="J913" s="502"/>
    </row>
    <row r="914" spans="1:10">
      <c r="A914" s="495"/>
      <c r="B914" s="496"/>
      <c r="C914" s="496"/>
      <c r="D914" s="496"/>
      <c r="E914" s="496"/>
      <c r="F914" s="496"/>
      <c r="G914" s="497"/>
      <c r="H914" s="496"/>
      <c r="I914" s="496"/>
      <c r="J914" s="498"/>
    </row>
    <row r="915" spans="1:10">
      <c r="A915" s="499"/>
      <c r="B915" s="500"/>
      <c r="C915" s="500"/>
      <c r="D915" s="500"/>
      <c r="E915" s="500"/>
      <c r="F915" s="500"/>
      <c r="G915" s="501"/>
      <c r="H915" s="500"/>
      <c r="I915" s="500"/>
      <c r="J915" s="502"/>
    </row>
    <row r="916" spans="1:10">
      <c r="A916" s="495"/>
      <c r="B916" s="496"/>
      <c r="C916" s="496"/>
      <c r="D916" s="496"/>
      <c r="E916" s="496"/>
      <c r="F916" s="496"/>
      <c r="G916" s="497"/>
      <c r="H916" s="496"/>
      <c r="I916" s="496"/>
      <c r="J916" s="498"/>
    </row>
    <row r="917" spans="1:10">
      <c r="A917" s="499"/>
      <c r="B917" s="500"/>
      <c r="C917" s="500"/>
      <c r="D917" s="500"/>
      <c r="E917" s="500"/>
      <c r="F917" s="500"/>
      <c r="G917" s="501"/>
      <c r="H917" s="500"/>
      <c r="I917" s="500"/>
      <c r="J917" s="502"/>
    </row>
    <row r="918" spans="1:10">
      <c r="A918" s="495"/>
      <c r="B918" s="496"/>
      <c r="C918" s="496"/>
      <c r="D918" s="496"/>
      <c r="E918" s="496"/>
      <c r="F918" s="496"/>
      <c r="G918" s="497"/>
      <c r="H918" s="496"/>
      <c r="I918" s="496"/>
      <c r="J918" s="498"/>
    </row>
    <row r="919" spans="1:10">
      <c r="A919" s="499"/>
      <c r="B919" s="500"/>
      <c r="C919" s="500"/>
      <c r="D919" s="500"/>
      <c r="E919" s="500"/>
      <c r="F919" s="500"/>
      <c r="G919" s="501"/>
      <c r="H919" s="500"/>
      <c r="I919" s="500"/>
      <c r="J919" s="502"/>
    </row>
    <row r="920" spans="1:10">
      <c r="A920" s="495"/>
      <c r="B920" s="496"/>
      <c r="C920" s="496"/>
      <c r="D920" s="496"/>
      <c r="E920" s="496"/>
      <c r="F920" s="496"/>
      <c r="G920" s="497"/>
      <c r="H920" s="496"/>
      <c r="I920" s="496"/>
      <c r="J920" s="498"/>
    </row>
    <row r="921" spans="1:10">
      <c r="A921" s="499"/>
      <c r="B921" s="500"/>
      <c r="C921" s="500"/>
      <c r="D921" s="500"/>
      <c r="E921" s="500"/>
      <c r="F921" s="500"/>
      <c r="G921" s="501"/>
      <c r="H921" s="500"/>
      <c r="I921" s="500"/>
      <c r="J921" s="502"/>
    </row>
    <row r="922" spans="1:10">
      <c r="A922" s="495"/>
      <c r="B922" s="496"/>
      <c r="C922" s="496"/>
      <c r="D922" s="496"/>
      <c r="E922" s="496"/>
      <c r="F922" s="496"/>
      <c r="G922" s="497"/>
      <c r="H922" s="496"/>
      <c r="I922" s="496"/>
      <c r="J922" s="498"/>
    </row>
    <row r="923" spans="1:10">
      <c r="A923" s="499"/>
      <c r="B923" s="500"/>
      <c r="C923" s="500"/>
      <c r="D923" s="500"/>
      <c r="E923" s="500"/>
      <c r="F923" s="500"/>
      <c r="G923" s="501"/>
      <c r="H923" s="500"/>
      <c r="I923" s="500"/>
      <c r="J923" s="502"/>
    </row>
    <row r="924" spans="1:10">
      <c r="A924" s="495"/>
      <c r="B924" s="496"/>
      <c r="C924" s="496"/>
      <c r="D924" s="496"/>
      <c r="E924" s="496"/>
      <c r="F924" s="496"/>
      <c r="G924" s="497"/>
      <c r="H924" s="496"/>
      <c r="I924" s="496"/>
      <c r="J924" s="498"/>
    </row>
    <row r="925" spans="1:10">
      <c r="A925" s="499"/>
      <c r="B925" s="500"/>
      <c r="C925" s="500"/>
      <c r="D925" s="500"/>
      <c r="E925" s="500"/>
      <c r="F925" s="500"/>
      <c r="G925" s="501"/>
      <c r="H925" s="500"/>
      <c r="I925" s="500"/>
      <c r="J925" s="502"/>
    </row>
    <row r="926" spans="1:10">
      <c r="A926" s="495"/>
      <c r="B926" s="496"/>
      <c r="C926" s="496"/>
      <c r="D926" s="496"/>
      <c r="E926" s="496"/>
      <c r="F926" s="496"/>
      <c r="G926" s="497"/>
      <c r="H926" s="496"/>
      <c r="I926" s="496"/>
      <c r="J926" s="498"/>
    </row>
    <row r="927" spans="1:10">
      <c r="A927" s="499"/>
      <c r="B927" s="500"/>
      <c r="C927" s="500"/>
      <c r="D927" s="500"/>
      <c r="E927" s="500"/>
      <c r="F927" s="500"/>
      <c r="G927" s="501"/>
      <c r="H927" s="500"/>
      <c r="I927" s="500"/>
      <c r="J927" s="502"/>
    </row>
    <row r="928" spans="1:10">
      <c r="A928" s="495"/>
      <c r="B928" s="496"/>
      <c r="C928" s="496"/>
      <c r="D928" s="496"/>
      <c r="E928" s="496"/>
      <c r="F928" s="496"/>
      <c r="G928" s="497"/>
      <c r="H928" s="496"/>
      <c r="I928" s="496"/>
      <c r="J928" s="498"/>
    </row>
    <row r="929" spans="1:10">
      <c r="A929" s="499"/>
      <c r="B929" s="500"/>
      <c r="C929" s="500"/>
      <c r="D929" s="500"/>
      <c r="E929" s="500"/>
      <c r="F929" s="500"/>
      <c r="G929" s="501"/>
      <c r="H929" s="500"/>
      <c r="I929" s="500"/>
      <c r="J929" s="502"/>
    </row>
    <row r="930" spans="1:10">
      <c r="A930" s="495"/>
      <c r="B930" s="496"/>
      <c r="C930" s="496"/>
      <c r="D930" s="496"/>
      <c r="E930" s="496"/>
      <c r="F930" s="496"/>
      <c r="G930" s="497"/>
      <c r="H930" s="496"/>
      <c r="I930" s="496"/>
      <c r="J930" s="498"/>
    </row>
    <row r="931" spans="1:10">
      <c r="A931" s="499"/>
      <c r="B931" s="500"/>
      <c r="C931" s="500"/>
      <c r="D931" s="500"/>
      <c r="E931" s="500"/>
      <c r="F931" s="500"/>
      <c r="G931" s="501"/>
      <c r="H931" s="500"/>
      <c r="I931" s="500"/>
      <c r="J931" s="502"/>
    </row>
    <row r="932" spans="1:10">
      <c r="A932" s="495"/>
      <c r="B932" s="496"/>
      <c r="C932" s="496"/>
      <c r="D932" s="496"/>
      <c r="E932" s="496"/>
      <c r="F932" s="496"/>
      <c r="G932" s="497"/>
      <c r="H932" s="496"/>
      <c r="I932" s="496"/>
      <c r="J932" s="498"/>
    </row>
    <row r="933" spans="1:10">
      <c r="A933" s="499"/>
      <c r="B933" s="500"/>
      <c r="C933" s="500"/>
      <c r="D933" s="500"/>
      <c r="E933" s="500"/>
      <c r="F933" s="500"/>
      <c r="G933" s="501"/>
      <c r="H933" s="500"/>
      <c r="I933" s="500"/>
      <c r="J933" s="502"/>
    </row>
    <row r="934" spans="1:10">
      <c r="A934" s="495"/>
      <c r="B934" s="496"/>
      <c r="C934" s="496"/>
      <c r="D934" s="496"/>
      <c r="E934" s="496"/>
      <c r="F934" s="496"/>
      <c r="G934" s="497"/>
      <c r="H934" s="496"/>
      <c r="I934" s="496"/>
      <c r="J934" s="498"/>
    </row>
    <row r="935" spans="1:10">
      <c r="A935" s="499"/>
      <c r="B935" s="500"/>
      <c r="C935" s="500"/>
      <c r="D935" s="500"/>
      <c r="E935" s="500"/>
      <c r="F935" s="500"/>
      <c r="G935" s="501"/>
      <c r="H935" s="500"/>
      <c r="I935" s="500"/>
      <c r="J935" s="502"/>
    </row>
    <row r="936" spans="1:10">
      <c r="A936" s="495"/>
      <c r="B936" s="496"/>
      <c r="C936" s="496"/>
      <c r="D936" s="496"/>
      <c r="E936" s="496"/>
      <c r="F936" s="496"/>
      <c r="G936" s="497"/>
      <c r="H936" s="496"/>
      <c r="I936" s="496"/>
      <c r="J936" s="498"/>
    </row>
    <row r="937" spans="1:10">
      <c r="A937" s="499"/>
      <c r="B937" s="500"/>
      <c r="C937" s="500"/>
      <c r="D937" s="500"/>
      <c r="E937" s="500"/>
      <c r="F937" s="500"/>
      <c r="G937" s="501"/>
      <c r="H937" s="500"/>
      <c r="I937" s="500"/>
      <c r="J937" s="502"/>
    </row>
    <row r="938" spans="1:10">
      <c r="A938" s="495"/>
      <c r="B938" s="496"/>
      <c r="C938" s="496"/>
      <c r="D938" s="496"/>
      <c r="E938" s="496"/>
      <c r="F938" s="496"/>
      <c r="G938" s="497"/>
      <c r="H938" s="496"/>
      <c r="I938" s="496"/>
      <c r="J938" s="498"/>
    </row>
  </sheetData>
  <conditionalFormatting sqref="A1:J1048576">
    <cfRule type="expression" dxfId="75" priority="1">
      <formula>$A1&lt;&gt;""</formula>
    </cfRule>
  </conditionalFormatting>
  <pageMargins left="0.7" right="0.7" top="0.75" bottom="0.75" header="0.3" footer="0.3"/>
  <pageSetup orientation="portrait" verticalDpi="300"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I22" sqref="I22"/>
    </sheetView>
  </sheetViews>
  <sheetFormatPr defaultColWidth="30.796875" defaultRowHeight="14.25"/>
  <cols>
    <col min="1" max="1" width="30.796875" style="8"/>
    <col min="3" max="16384" width="30.796875" style="8"/>
  </cols>
  <sheetData>
    <row r="1" spans="1:10" s="15" customFormat="1">
      <c r="A1" s="21" t="s">
        <v>155</v>
      </c>
      <c r="I1" s="21"/>
      <c r="J1" s="21"/>
    </row>
    <row r="2" spans="1:10">
      <c r="A2" s="8" t="s">
        <v>149</v>
      </c>
      <c r="D2" s="13"/>
    </row>
    <row r="3" spans="1:10">
      <c r="A3" s="8" t="s">
        <v>153</v>
      </c>
      <c r="D3" s="20"/>
    </row>
    <row r="4" spans="1:10">
      <c r="A4" s="8" t="s">
        <v>147</v>
      </c>
      <c r="D4" s="13"/>
    </row>
    <row r="5" spans="1:10">
      <c r="A5" s="8" t="s">
        <v>148</v>
      </c>
      <c r="D5" s="4"/>
    </row>
    <row r="6" spans="1:10">
      <c r="A6" s="8" t="s">
        <v>154</v>
      </c>
      <c r="D6" s="13" t="s">
        <v>41</v>
      </c>
    </row>
    <row r="7" spans="1:10">
      <c r="A7" s="8" t="s">
        <v>152</v>
      </c>
      <c r="D7" s="4" t="s">
        <v>41</v>
      </c>
    </row>
    <row r="8" spans="1:10">
      <c r="A8" s="8" t="s">
        <v>146</v>
      </c>
      <c r="D8" s="4" t="s">
        <v>41</v>
      </c>
    </row>
    <row r="9" spans="1:10">
      <c r="A9" s="8" t="s">
        <v>276</v>
      </c>
      <c r="D9" s="4" t="s">
        <v>41</v>
      </c>
    </row>
    <row r="10" spans="1:10">
      <c r="A10" s="8" t="s">
        <v>338</v>
      </c>
      <c r="D10" s="4" t="s">
        <v>41</v>
      </c>
    </row>
    <row r="11" spans="1:10">
      <c r="A11" s="8" t="s">
        <v>348</v>
      </c>
      <c r="D11" s="4" t="s">
        <v>41</v>
      </c>
    </row>
    <row r="12" spans="1:10">
      <c r="A12" s="8" t="s">
        <v>417</v>
      </c>
    </row>
    <row r="13" spans="1:10">
      <c r="A13" s="8" t="s">
        <v>440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62"/>
  <sheetViews>
    <sheetView showGridLines="0" workbookViewId="0">
      <pane ySplit="1" topLeftCell="A2" activePane="bottomLeft" state="frozen"/>
      <selection activeCell="I22" sqref="I22"/>
      <selection pane="bottomLeft" activeCell="A2" sqref="A2:XFD2"/>
    </sheetView>
  </sheetViews>
  <sheetFormatPr defaultRowHeight="14.25"/>
  <cols>
    <col min="1" max="1" width="50.796875" style="8" customWidth="1"/>
    <col min="2" max="2" width="12.796875" style="39" customWidth="1"/>
  </cols>
  <sheetData>
    <row r="1" spans="1:2" s="21" customFormat="1">
      <c r="A1" s="425" t="s">
        <v>159</v>
      </c>
      <c r="B1" s="40" t="s">
        <v>164</v>
      </c>
    </row>
    <row r="2" spans="1:2">
      <c r="A2" s="510">
        <v>20211220</v>
      </c>
      <c r="B2" s="39">
        <v>44559.505659722221</v>
      </c>
    </row>
    <row r="3" spans="1:2">
      <c r="A3" s="426" t="s">
        <v>445</v>
      </c>
      <c r="B3" s="39">
        <v>44158.503495370373</v>
      </c>
    </row>
    <row r="4" spans="1:2">
      <c r="A4" s="427" t="s">
        <v>405</v>
      </c>
      <c r="B4" s="39">
        <v>44140.632476851853</v>
      </c>
    </row>
    <row r="5" spans="1:2">
      <c r="A5" s="426" t="s">
        <v>400</v>
      </c>
      <c r="B5" s="39">
        <v>44138.517048611109</v>
      </c>
    </row>
    <row r="6" spans="1:2">
      <c r="A6" s="427" t="s">
        <v>387</v>
      </c>
      <c r="B6" s="39">
        <v>44125.427442129629</v>
      </c>
    </row>
    <row r="7" spans="1:2">
      <c r="A7" s="426" t="s">
        <v>385</v>
      </c>
      <c r="B7" s="39">
        <v>44125.427430555559</v>
      </c>
    </row>
    <row r="8" spans="1:2">
      <c r="A8" s="426" t="s">
        <v>413</v>
      </c>
      <c r="B8" s="39">
        <v>44125.427430555559</v>
      </c>
    </row>
    <row r="9" spans="1:2">
      <c r="A9" s="427" t="s">
        <v>416</v>
      </c>
      <c r="B9" s="39">
        <v>44125.427430555559</v>
      </c>
    </row>
    <row r="10" spans="1:2">
      <c r="A10" s="427" t="s">
        <v>386</v>
      </c>
      <c r="B10" s="39">
        <v>44124.486979166664</v>
      </c>
    </row>
    <row r="11" spans="1:2">
      <c r="A11" s="426" t="s">
        <v>383</v>
      </c>
      <c r="B11" s="39">
        <v>44112.576840277776</v>
      </c>
    </row>
    <row r="12" spans="1:2">
      <c r="A12" s="427" t="s">
        <v>374</v>
      </c>
      <c r="B12" s="39">
        <v>44111.422372685185</v>
      </c>
    </row>
    <row r="13" spans="1:2">
      <c r="A13" s="427" t="s">
        <v>366</v>
      </c>
      <c r="B13" s="39">
        <v>44109.537673611114</v>
      </c>
    </row>
    <row r="14" spans="1:2">
      <c r="A14" s="426" t="s">
        <v>371</v>
      </c>
      <c r="B14" s="39">
        <v>44109.537673611114</v>
      </c>
    </row>
    <row r="15" spans="1:2">
      <c r="A15" s="426" t="s">
        <v>367</v>
      </c>
      <c r="B15" s="39">
        <v>44102.639687499999</v>
      </c>
    </row>
    <row r="16" spans="1:2">
      <c r="A16" s="427" t="s">
        <v>355</v>
      </c>
      <c r="B16" s="39">
        <v>44097.469606481478</v>
      </c>
    </row>
    <row r="17" spans="1:2">
      <c r="A17" s="426" t="s">
        <v>349</v>
      </c>
      <c r="B17" s="39">
        <v>44082.436516203707</v>
      </c>
    </row>
    <row r="18" spans="1:2">
      <c r="A18" s="427" t="s">
        <v>335</v>
      </c>
      <c r="B18" s="39">
        <v>44070.414409722223</v>
      </c>
    </row>
    <row r="19" spans="1:2">
      <c r="A19" s="426" t="s">
        <v>321</v>
      </c>
      <c r="B19" s="39">
        <v>44068.553807870368</v>
      </c>
    </row>
    <row r="20" spans="1:2">
      <c r="A20" s="427" t="s">
        <v>318</v>
      </c>
      <c r="B20" s="39">
        <v>44059.865833333337</v>
      </c>
    </row>
    <row r="21" spans="1:2">
      <c r="A21" s="427" t="s">
        <v>311</v>
      </c>
      <c r="B21" s="39">
        <v>44057.630335648151</v>
      </c>
    </row>
    <row r="22" spans="1:2">
      <c r="A22" s="426" t="s">
        <v>291</v>
      </c>
      <c r="B22" s="39">
        <v>44057.569722222222</v>
      </c>
    </row>
    <row r="23" spans="1:2">
      <c r="A23" s="427" t="s">
        <v>305</v>
      </c>
      <c r="B23" s="39">
        <v>44057.564131944448</v>
      </c>
    </row>
    <row r="24" spans="1:2">
      <c r="A24" s="426" t="s">
        <v>302</v>
      </c>
      <c r="B24" s="39">
        <v>44057.564131944448</v>
      </c>
    </row>
    <row r="25" spans="1:2">
      <c r="A25" s="427" t="s">
        <v>303</v>
      </c>
      <c r="B25" s="39">
        <v>44057.564131944448</v>
      </c>
    </row>
    <row r="26" spans="1:2">
      <c r="A26" s="426" t="s">
        <v>304</v>
      </c>
      <c r="B26" s="39">
        <v>44057.561956018515</v>
      </c>
    </row>
    <row r="27" spans="1:2">
      <c r="A27" s="427" t="s">
        <v>301</v>
      </c>
      <c r="B27" s="39">
        <v>44057.49523148148</v>
      </c>
    </row>
    <row r="28" spans="1:2">
      <c r="A28" s="426" t="s">
        <v>300</v>
      </c>
      <c r="B28" s="39">
        <v>44057.494733796295</v>
      </c>
    </row>
    <row r="29" spans="1:2">
      <c r="A29" s="427" t="s">
        <v>299</v>
      </c>
      <c r="B29" s="39">
        <v>44057.494155092594</v>
      </c>
    </row>
    <row r="30" spans="1:2">
      <c r="A30" s="426" t="s">
        <v>298</v>
      </c>
      <c r="B30" s="39">
        <v>44057.493680555555</v>
      </c>
    </row>
    <row r="31" spans="1:2">
      <c r="A31" s="427" t="s">
        <v>297</v>
      </c>
      <c r="B31" s="39">
        <v>44057.493206018517</v>
      </c>
    </row>
    <row r="32" spans="1:2">
      <c r="A32" s="426" t="s">
        <v>296</v>
      </c>
      <c r="B32" s="39">
        <v>44056.881203703706</v>
      </c>
    </row>
    <row r="33" spans="1:2">
      <c r="A33" s="427" t="s">
        <v>293</v>
      </c>
      <c r="B33" s="39">
        <v>44056.877164351848</v>
      </c>
    </row>
    <row r="34" spans="1:2">
      <c r="A34" s="426" t="s">
        <v>290</v>
      </c>
      <c r="B34" s="39">
        <v>44056.876226851855</v>
      </c>
    </row>
    <row r="35" spans="1:2">
      <c r="A35" s="427" t="s">
        <v>289</v>
      </c>
      <c r="B35" s="39">
        <v>44056.863796296297</v>
      </c>
    </row>
    <row r="36" spans="1:2">
      <c r="A36" s="426" t="s">
        <v>284</v>
      </c>
      <c r="B36" s="39">
        <v>44056.863796296297</v>
      </c>
    </row>
    <row r="37" spans="1:2">
      <c r="A37" s="427" t="s">
        <v>285</v>
      </c>
      <c r="B37" s="39">
        <v>44056.863796296297</v>
      </c>
    </row>
    <row r="38" spans="1:2">
      <c r="A38" s="426" t="s">
        <v>286</v>
      </c>
      <c r="B38" s="39">
        <v>44056.863796296297</v>
      </c>
    </row>
    <row r="39" spans="1:2">
      <c r="A39" s="427" t="s">
        <v>287</v>
      </c>
      <c r="B39" s="39">
        <v>44056.85670138889</v>
      </c>
    </row>
    <row r="40" spans="1:2">
      <c r="A40" s="426" t="s">
        <v>283</v>
      </c>
      <c r="B40" s="39">
        <v>44056.85633101852</v>
      </c>
    </row>
    <row r="41" spans="1:2">
      <c r="A41" s="427" t="s">
        <v>282</v>
      </c>
      <c r="B41" s="39">
        <v>44056.855995370373</v>
      </c>
    </row>
    <row r="42" spans="1:2">
      <c r="A42" s="426" t="s">
        <v>281</v>
      </c>
      <c r="B42" s="39">
        <v>44056.855624999997</v>
      </c>
    </row>
    <row r="43" spans="1:2">
      <c r="A43" s="427" t="s">
        <v>280</v>
      </c>
      <c r="B43" s="39">
        <v>44042.498020833336</v>
      </c>
    </row>
    <row r="44" spans="1:2">
      <c r="A44" s="426" t="s">
        <v>275</v>
      </c>
      <c r="B44" s="39">
        <v>44042.488865740743</v>
      </c>
    </row>
    <row r="45" spans="1:2">
      <c r="A45" s="427" t="s">
        <v>273</v>
      </c>
      <c r="B45" s="39">
        <v>44042.488865740743</v>
      </c>
    </row>
    <row r="46" spans="1:2">
      <c r="A46" s="426" t="s">
        <v>274</v>
      </c>
      <c r="B46" s="39">
        <v>44042.475185185183</v>
      </c>
    </row>
    <row r="47" spans="1:2">
      <c r="A47" s="427" t="s">
        <v>270</v>
      </c>
      <c r="B47" s="39">
        <v>44040.489085648151</v>
      </c>
    </row>
    <row r="48" spans="1:2">
      <c r="A48" s="426" t="s">
        <v>269</v>
      </c>
      <c r="B48" s="39">
        <v>44040.485775462963</v>
      </c>
    </row>
    <row r="49" spans="1:2">
      <c r="A49" s="426" t="s">
        <v>266</v>
      </c>
      <c r="B49" s="39">
        <v>44040.484398148146</v>
      </c>
    </row>
    <row r="50" spans="1:2">
      <c r="A50" s="427" t="s">
        <v>267</v>
      </c>
      <c r="B50" s="39">
        <v>44040.484398148146</v>
      </c>
    </row>
    <row r="51" spans="1:2">
      <c r="A51" s="426" t="s">
        <v>268</v>
      </c>
      <c r="B51" s="39">
        <v>44040.471504629626</v>
      </c>
    </row>
    <row r="52" spans="1:2">
      <c r="A52" s="427" t="s">
        <v>264</v>
      </c>
      <c r="B52" s="39">
        <v>44040.466539351852</v>
      </c>
    </row>
    <row r="53" spans="1:2">
      <c r="A53" s="426" t="s">
        <v>261</v>
      </c>
      <c r="B53" s="39">
        <v>44036.643252314818</v>
      </c>
    </row>
    <row r="54" spans="1:2">
      <c r="A54" s="427" t="s">
        <v>259</v>
      </c>
      <c r="B54" s="39">
        <v>44036.639675925922</v>
      </c>
    </row>
    <row r="55" spans="1:2">
      <c r="A55" s="358" t="s">
        <v>258</v>
      </c>
      <c r="B55" s="39">
        <v>44036.639490740738</v>
      </c>
    </row>
    <row r="56" spans="1:2">
      <c r="A56" s="370" t="s">
        <v>257</v>
      </c>
      <c r="B56" s="39">
        <v>44036.639293981483</v>
      </c>
    </row>
    <row r="57" spans="1:2">
      <c r="A57" s="372" t="s">
        <v>256</v>
      </c>
      <c r="B57" s="39">
        <v>44036.638923611114</v>
      </c>
    </row>
    <row r="58" spans="1:2">
      <c r="A58" s="370" t="s">
        <v>255</v>
      </c>
      <c r="B58" s="39">
        <v>44032.635277777779</v>
      </c>
    </row>
    <row r="59" spans="1:2">
      <c r="A59" s="372" t="s">
        <v>252</v>
      </c>
      <c r="B59" s="39">
        <v>44026.426944444444</v>
      </c>
    </row>
    <row r="60" spans="1:2">
      <c r="A60" s="372" t="s">
        <v>237</v>
      </c>
      <c r="B60" s="39">
        <v>44024.874212962961</v>
      </c>
    </row>
    <row r="61" spans="1:2">
      <c r="A61" s="370" t="s">
        <v>232</v>
      </c>
      <c r="B61" s="39">
        <v>44022</v>
      </c>
    </row>
    <row r="62" spans="1:2">
      <c r="A62" s="372" t="s">
        <v>42</v>
      </c>
    </row>
  </sheetData>
  <sortState xmlns:xlrd2="http://schemas.microsoft.com/office/spreadsheetml/2017/richdata2" ref="A2:B62">
    <sortCondition descending="1" ref="B1"/>
  </sortState>
  <conditionalFormatting sqref="A1:B1 A2:A1048576">
    <cfRule type="expression" dxfId="58" priority="1">
      <formula>$A1&lt;&gt;""</formula>
    </cfRule>
  </conditionalFormatting>
  <conditionalFormatting sqref="B57:B1048547 B48:B55 B18:B46 B2:B16">
    <cfRule type="expression" dxfId="57" priority="65">
      <formula>$A3&lt;&gt;""</formula>
    </cfRule>
  </conditionalFormatting>
  <conditionalFormatting sqref="B1048553:B1048576">
    <cfRule type="expression" dxfId="56" priority="77">
      <formula>#REF!&lt;&gt;""</formula>
    </cfRule>
  </conditionalFormatting>
  <conditionalFormatting sqref="B56 B47">
    <cfRule type="expression" dxfId="55" priority="79">
      <formula>#REF!&lt;&gt;""</formula>
    </cfRule>
  </conditionalFormatting>
  <conditionalFormatting sqref="B17">
    <cfRule type="expression" dxfId="54" priority="85">
      <formula>#REF!&lt;&gt;""</formula>
    </cfRule>
  </conditionalFormatting>
  <conditionalFormatting sqref="B1048548:B1048552">
    <cfRule type="expression" dxfId="53" priority="103">
      <formula>$A1&lt;&gt;""</formula>
    </cfRule>
  </conditionalFormatting>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zoomScale="60" zoomScaleNormal="60" workbookViewId="0">
      <selection activeCell="I22" sqref="I22"/>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47</v>
      </c>
      <c r="B1" s="8" t="s">
        <v>48</v>
      </c>
      <c r="C1" s="8" t="s">
        <v>49</v>
      </c>
      <c r="D1" s="8" t="s">
        <v>3</v>
      </c>
      <c r="E1" s="8" t="s">
        <v>50</v>
      </c>
      <c r="F1" s="8" t="s">
        <v>51</v>
      </c>
      <c r="G1" s="8" t="s">
        <v>52</v>
      </c>
      <c r="H1" s="8" t="s">
        <v>53</v>
      </c>
      <c r="I1" s="8" t="s">
        <v>54</v>
      </c>
      <c r="J1" s="8" t="s">
        <v>55</v>
      </c>
      <c r="K1" s="8" t="s">
        <v>56</v>
      </c>
      <c r="L1" s="8" t="s">
        <v>57</v>
      </c>
    </row>
    <row r="2" spans="1:12">
      <c r="B2" s="8" t="s">
        <v>58</v>
      </c>
      <c r="C2" s="8"/>
      <c r="E2" s="8" t="s">
        <v>60</v>
      </c>
      <c r="H2" s="8" t="s">
        <v>63</v>
      </c>
      <c r="I2" s="8" t="s">
        <v>64</v>
      </c>
      <c r="J2" s="8" t="s">
        <v>38</v>
      </c>
      <c r="K2" s="8" t="s">
        <v>65</v>
      </c>
      <c r="L2" s="8" t="s">
        <v>66</v>
      </c>
    </row>
    <row r="3" spans="1:12">
      <c r="A3" s="8" t="s">
        <v>1</v>
      </c>
      <c r="B3" s="8" t="s">
        <v>68</v>
      </c>
      <c r="C3" s="8" t="s">
        <v>69</v>
      </c>
      <c r="D3" s="8" t="s">
        <v>59</v>
      </c>
      <c r="E3" s="8" t="s">
        <v>70</v>
      </c>
      <c r="F3" s="8" t="s">
        <v>61</v>
      </c>
      <c r="G3" s="8" t="s">
        <v>62</v>
      </c>
      <c r="H3" s="8" t="s">
        <v>72</v>
      </c>
      <c r="I3" s="8" t="s">
        <v>39</v>
      </c>
      <c r="J3" s="8" t="s">
        <v>73</v>
      </c>
      <c r="K3" s="8" t="s">
        <v>74</v>
      </c>
      <c r="L3" s="8" t="s">
        <v>75</v>
      </c>
    </row>
    <row r="4" spans="1:12">
      <c r="A4" s="8" t="s">
        <v>67</v>
      </c>
      <c r="B4" s="8" t="s">
        <v>77</v>
      </c>
      <c r="C4" s="8"/>
      <c r="D4" s="8" t="s">
        <v>4</v>
      </c>
      <c r="E4" s="8" t="s">
        <v>78</v>
      </c>
      <c r="F4" s="8" t="s">
        <v>6</v>
      </c>
      <c r="G4" s="8" t="s">
        <v>71</v>
      </c>
      <c r="H4" s="8" t="s">
        <v>37</v>
      </c>
      <c r="I4" s="8" t="s">
        <v>81</v>
      </c>
      <c r="J4" s="8" t="s">
        <v>82</v>
      </c>
      <c r="K4" s="8" t="s">
        <v>83</v>
      </c>
      <c r="L4" s="8" t="s">
        <v>84</v>
      </c>
    </row>
    <row r="5" spans="1:12">
      <c r="A5" s="8" t="s">
        <v>76</v>
      </c>
      <c r="B5" s="8" t="s">
        <v>86</v>
      </c>
      <c r="C5" s="8"/>
      <c r="D5" s="8" t="s">
        <v>42</v>
      </c>
      <c r="E5" s="8"/>
      <c r="F5" s="8" t="s">
        <v>79</v>
      </c>
      <c r="G5" s="8" t="s">
        <v>80</v>
      </c>
      <c r="H5" s="8" t="s">
        <v>90</v>
      </c>
      <c r="I5" s="8" t="s">
        <v>91</v>
      </c>
      <c r="J5" s="8" t="s">
        <v>46</v>
      </c>
      <c r="K5" s="8"/>
      <c r="L5" s="8" t="s">
        <v>92</v>
      </c>
    </row>
    <row r="6" spans="1:12">
      <c r="A6" s="8" t="s">
        <v>85</v>
      </c>
      <c r="B6" s="8"/>
      <c r="C6" s="8"/>
      <c r="D6" s="8" t="s">
        <v>87</v>
      </c>
      <c r="E6" s="8"/>
      <c r="F6" s="8" t="s">
        <v>88</v>
      </c>
      <c r="G6" s="8" t="s">
        <v>89</v>
      </c>
      <c r="H6" s="396" t="s">
        <v>532</v>
      </c>
      <c r="I6" s="8" t="s">
        <v>96</v>
      </c>
      <c r="J6" s="8" t="s">
        <v>97</v>
      </c>
      <c r="K6" s="8"/>
      <c r="L6" s="8"/>
    </row>
    <row r="7" spans="1:12">
      <c r="A7" s="8" t="s">
        <v>93</v>
      </c>
      <c r="B7" s="8"/>
      <c r="C7" s="8"/>
      <c r="D7" s="8" t="s">
        <v>94</v>
      </c>
      <c r="E7" s="8"/>
      <c r="F7" s="8"/>
      <c r="G7" s="8" t="s">
        <v>95</v>
      </c>
      <c r="H7" s="397" t="s">
        <v>533</v>
      </c>
      <c r="I7" s="8"/>
      <c r="J7" s="8" t="s">
        <v>100</v>
      </c>
      <c r="K7" s="8"/>
      <c r="L7" s="8"/>
    </row>
    <row r="8" spans="1:12">
      <c r="A8" s="8" t="s">
        <v>98</v>
      </c>
      <c r="B8" s="8"/>
      <c r="C8" s="8"/>
      <c r="D8" s="8"/>
      <c r="E8" s="8"/>
      <c r="F8" s="8"/>
      <c r="G8" s="8" t="s">
        <v>99</v>
      </c>
      <c r="H8" s="396" t="s">
        <v>534</v>
      </c>
      <c r="I8" s="8"/>
      <c r="J8" s="8" t="s">
        <v>103</v>
      </c>
      <c r="K8" s="8"/>
      <c r="L8" s="8"/>
    </row>
    <row r="9" spans="1:12">
      <c r="A9" s="8" t="s">
        <v>101</v>
      </c>
      <c r="G9" s="8" t="s">
        <v>102</v>
      </c>
    </row>
    <row r="11" spans="1:12">
      <c r="H11" s="396"/>
    </row>
    <row r="12" spans="1:12">
      <c r="H12" s="397"/>
    </row>
    <row r="13" spans="1:12">
      <c r="H13" s="396"/>
    </row>
    <row r="14" spans="1:12">
      <c r="H14" s="397"/>
    </row>
    <row r="18" spans="1:14">
      <c r="H18" s="397"/>
    </row>
    <row r="20" spans="1:14">
      <c r="A20" s="8" t="s">
        <v>104</v>
      </c>
      <c r="B20" s="8" t="s">
        <v>105</v>
      </c>
      <c r="C20" s="8" t="s">
        <v>106</v>
      </c>
      <c r="D20" s="8" t="s">
        <v>107</v>
      </c>
      <c r="E20" s="8" t="s">
        <v>108</v>
      </c>
      <c r="F20" s="8" t="s">
        <v>109</v>
      </c>
      <c r="G20" s="8" t="s">
        <v>110</v>
      </c>
      <c r="H20" s="8" t="s">
        <v>40</v>
      </c>
      <c r="I20" s="8" t="s">
        <v>111</v>
      </c>
      <c r="J20" s="8" t="s">
        <v>545</v>
      </c>
      <c r="K20" s="8" t="s">
        <v>112</v>
      </c>
      <c r="L20" s="8" t="s">
        <v>113</v>
      </c>
      <c r="M20" s="8" t="s">
        <v>114</v>
      </c>
      <c r="N20" s="8" t="s">
        <v>115</v>
      </c>
    </row>
    <row r="21" spans="1:14">
      <c r="A21" s="3"/>
      <c r="B21" s="8"/>
      <c r="G21" s="8" t="s">
        <v>117</v>
      </c>
      <c r="H21" s="8" t="s">
        <v>118</v>
      </c>
      <c r="N21" s="8"/>
    </row>
    <row r="22" spans="1:14">
      <c r="A22" s="3" t="s">
        <v>14</v>
      </c>
      <c r="B22" s="8"/>
      <c r="C22" s="4" t="s">
        <v>23</v>
      </c>
      <c r="D22" s="8" t="s">
        <v>18</v>
      </c>
      <c r="E22" s="8" t="s">
        <v>116</v>
      </c>
      <c r="F22" s="8" t="s">
        <v>32</v>
      </c>
      <c r="G22" s="1"/>
      <c r="H22" s="8" t="s">
        <v>123</v>
      </c>
      <c r="I22" s="8" t="s">
        <v>25</v>
      </c>
      <c r="J22" s="8" t="s">
        <v>16</v>
      </c>
      <c r="K22" s="6" t="s">
        <v>28</v>
      </c>
      <c r="L22" s="8" t="s">
        <v>36</v>
      </c>
      <c r="M22" s="8" t="s">
        <v>119</v>
      </c>
      <c r="N22" s="8" t="s">
        <v>30</v>
      </c>
    </row>
    <row r="23" spans="1:14">
      <c r="A23" s="3" t="s">
        <v>120</v>
      </c>
      <c r="B23" s="8"/>
      <c r="C23" s="8" t="s">
        <v>121</v>
      </c>
      <c r="D23" s="8" t="s">
        <v>25</v>
      </c>
      <c r="E23" s="8" t="s">
        <v>59</v>
      </c>
      <c r="F23" s="8" t="s">
        <v>122</v>
      </c>
      <c r="G23" s="2"/>
      <c r="H23" s="8" t="s">
        <v>127</v>
      </c>
      <c r="I23" s="8" t="s">
        <v>18</v>
      </c>
      <c r="J23" s="8" t="s">
        <v>21</v>
      </c>
      <c r="K23" s="8" t="s">
        <v>124</v>
      </c>
      <c r="L23" s="8" t="s">
        <v>125</v>
      </c>
      <c r="M23" s="8" t="s">
        <v>27</v>
      </c>
      <c r="N23" s="8" t="s">
        <v>130</v>
      </c>
    </row>
    <row r="24" spans="1:14">
      <c r="A24" s="3" t="s">
        <v>45</v>
      </c>
      <c r="B24" s="8"/>
      <c r="C24" s="8" t="s">
        <v>126</v>
      </c>
      <c r="D24" s="8"/>
      <c r="E24" s="8" t="s">
        <v>87</v>
      </c>
      <c r="F24" s="8"/>
      <c r="G24" s="1"/>
      <c r="H24" s="8" t="s">
        <v>131</v>
      </c>
      <c r="I24" s="8" t="s">
        <v>240</v>
      </c>
      <c r="J24" s="8" t="s">
        <v>548</v>
      </c>
      <c r="K24" s="8" t="s">
        <v>128</v>
      </c>
      <c r="L24" s="8"/>
      <c r="M24" s="8" t="s">
        <v>129</v>
      </c>
      <c r="N24" s="8" t="s">
        <v>133</v>
      </c>
    </row>
    <row r="25" spans="1:14">
      <c r="A25" s="3" t="s">
        <v>19</v>
      </c>
      <c r="B25" s="10"/>
      <c r="C25" s="10"/>
      <c r="D25" s="10"/>
      <c r="E25" s="10" t="s">
        <v>4</v>
      </c>
      <c r="F25" s="10"/>
      <c r="G25" s="5"/>
      <c r="H25" s="10"/>
      <c r="I25" s="10" t="s">
        <v>241</v>
      </c>
      <c r="J25" s="10"/>
      <c r="K25" s="10"/>
      <c r="L25" s="10"/>
      <c r="M25" s="8" t="s">
        <v>132</v>
      </c>
      <c r="N25" s="10" t="s">
        <v>135</v>
      </c>
    </row>
    <row r="26" spans="1:14">
      <c r="A26" s="8" t="s">
        <v>549</v>
      </c>
      <c r="B26" s="8"/>
      <c r="C26" s="8"/>
      <c r="D26" s="8"/>
      <c r="E26" s="8"/>
      <c r="F26" s="8"/>
      <c r="G26" s="8"/>
      <c r="H26" s="8"/>
      <c r="I26" s="8"/>
      <c r="J26" s="8"/>
      <c r="K26" s="8"/>
      <c r="L26" s="8"/>
      <c r="M26" s="10" t="s">
        <v>134</v>
      </c>
      <c r="N26" s="8" t="s">
        <v>137</v>
      </c>
    </row>
    <row r="27" spans="1:14">
      <c r="A27" s="414" t="s">
        <v>548</v>
      </c>
      <c r="M27" s="8" t="s">
        <v>136</v>
      </c>
    </row>
    <row r="33" spans="1:7">
      <c r="A33" s="8" t="s">
        <v>138</v>
      </c>
      <c r="B33" s="8" t="s">
        <v>105</v>
      </c>
      <c r="C33" s="8" t="s">
        <v>145</v>
      </c>
      <c r="D33" t="s">
        <v>222</v>
      </c>
      <c r="E33" t="s">
        <v>535</v>
      </c>
      <c r="G33" s="416" t="s">
        <v>546</v>
      </c>
    </row>
    <row r="34" spans="1:7">
      <c r="B34" s="8" t="s">
        <v>31</v>
      </c>
      <c r="C34" s="8"/>
      <c r="G34" s="424" t="s">
        <v>547</v>
      </c>
    </row>
    <row r="35" spans="1:7">
      <c r="A35" s="8" t="s">
        <v>139</v>
      </c>
      <c r="B35" s="8" t="s">
        <v>140</v>
      </c>
      <c r="C35" s="8"/>
      <c r="D35" t="s">
        <v>223</v>
      </c>
      <c r="E35" t="s">
        <v>528</v>
      </c>
      <c r="G35" s="423" t="s">
        <v>550</v>
      </c>
    </row>
    <row r="36" spans="1:7">
      <c r="A36" s="8" t="s">
        <v>34</v>
      </c>
      <c r="B36" s="8"/>
      <c r="C36" s="8"/>
      <c r="D36" t="s">
        <v>224</v>
      </c>
      <c r="E36" t="s">
        <v>536</v>
      </c>
      <c r="G36" s="3" t="s">
        <v>551</v>
      </c>
    </row>
    <row r="37" spans="1:7">
      <c r="A37" s="8" t="s">
        <v>141</v>
      </c>
      <c r="B37" s="8"/>
      <c r="C37" s="8"/>
      <c r="D37" t="s">
        <v>225</v>
      </c>
      <c r="G37" s="8"/>
    </row>
    <row r="38" spans="1:7">
      <c r="A38" s="8" t="s">
        <v>142</v>
      </c>
      <c r="B38" s="8"/>
      <c r="C38" s="8"/>
      <c r="G38" s="8"/>
    </row>
    <row r="39" spans="1:7">
      <c r="A39" s="8" t="s">
        <v>143</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EE7F7-ED07-4549-8AAA-28835B71792E}">
  <dimension ref="A1:J4"/>
  <sheetViews>
    <sheetView workbookViewId="0">
      <selection activeCell="A2" sqref="A2"/>
    </sheetView>
  </sheetViews>
  <sheetFormatPr defaultRowHeight="14.25"/>
  <cols>
    <col min="1" max="1" width="13.265625" bestFit="1" customWidth="1"/>
    <col min="2" max="2" width="6.53125" bestFit="1" customWidth="1"/>
    <col min="3" max="3" width="19.265625" bestFit="1" customWidth="1"/>
    <col min="4" max="4" width="9.06640625" bestFit="1" customWidth="1"/>
    <col min="5" max="5" width="3.86328125" bestFit="1" customWidth="1"/>
    <col min="6" max="6" width="7" bestFit="1" customWidth="1"/>
    <col min="7" max="7" width="48"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43843</v>
      </c>
      <c r="B2" s="8">
        <v>7</v>
      </c>
      <c r="C2" s="494" t="s">
        <v>252</v>
      </c>
      <c r="D2" s="494" t="s">
        <v>149</v>
      </c>
      <c r="E2" s="8"/>
      <c r="F2" s="8"/>
      <c r="G2" s="494"/>
      <c r="H2" s="494" t="s">
        <v>149</v>
      </c>
      <c r="I2" s="494"/>
      <c r="J2" s="494"/>
    </row>
    <row r="3" spans="1:10">
      <c r="A3" s="331">
        <v>43850</v>
      </c>
      <c r="B3" s="8">
        <v>7</v>
      </c>
      <c r="C3" s="494" t="s">
        <v>232</v>
      </c>
      <c r="D3" s="494" t="s">
        <v>149</v>
      </c>
      <c r="E3" s="8">
        <v>96</v>
      </c>
      <c r="F3" s="8">
        <v>96</v>
      </c>
      <c r="G3" s="494"/>
      <c r="H3" s="494" t="s">
        <v>149</v>
      </c>
      <c r="I3" s="494"/>
      <c r="J3" s="494"/>
    </row>
    <row r="4" spans="1:10">
      <c r="A4" s="331">
        <v>43881</v>
      </c>
      <c r="B4" s="8">
        <v>7</v>
      </c>
      <c r="C4" s="494" t="s">
        <v>237</v>
      </c>
      <c r="D4" s="494" t="s">
        <v>149</v>
      </c>
      <c r="E4" s="8">
        <v>96</v>
      </c>
      <c r="F4" s="8">
        <v>96</v>
      </c>
      <c r="G4" s="494" t="s">
        <v>243</v>
      </c>
      <c r="H4" s="494" t="s">
        <v>149</v>
      </c>
      <c r="I4" s="494"/>
      <c r="J4" s="49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DA4C6-2AB1-488B-BCB5-0DEA61E52174}">
  <dimension ref="A1:J31"/>
  <sheetViews>
    <sheetView zoomScale="80" zoomScaleNormal="80" workbookViewId="0">
      <selection activeCell="A33" sqref="A33"/>
    </sheetView>
  </sheetViews>
  <sheetFormatPr defaultRowHeight="14.25"/>
  <cols>
    <col min="1" max="1" width="14.265625" bestFit="1" customWidth="1"/>
    <col min="2" max="2" width="6.53125" bestFit="1" customWidth="1"/>
    <col min="3" max="3" width="28.796875" bestFit="1" customWidth="1"/>
    <col min="5" max="5" width="3.86328125" bestFit="1" customWidth="1"/>
    <col min="6" max="6" width="7" bestFit="1" customWidth="1"/>
    <col min="7" max="7" width="60.3984375"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43882</v>
      </c>
      <c r="B2" s="8">
        <v>10</v>
      </c>
      <c r="C2" s="494" t="s">
        <v>266</v>
      </c>
      <c r="D2" s="494" t="s">
        <v>152</v>
      </c>
      <c r="E2" s="8"/>
      <c r="F2" s="8"/>
      <c r="G2" s="494" t="s">
        <v>272</v>
      </c>
      <c r="H2" s="494"/>
      <c r="I2" s="494"/>
      <c r="J2" s="494"/>
    </row>
    <row r="3" spans="1:10">
      <c r="A3" s="331">
        <v>43880</v>
      </c>
      <c r="B3" s="8">
        <v>10</v>
      </c>
      <c r="C3" s="494" t="s">
        <v>267</v>
      </c>
      <c r="D3" s="494" t="s">
        <v>152</v>
      </c>
      <c r="E3" s="8"/>
      <c r="F3" s="8"/>
      <c r="G3" s="494" t="s">
        <v>272</v>
      </c>
      <c r="H3" s="494"/>
      <c r="I3" s="494"/>
      <c r="J3" s="494"/>
    </row>
    <row r="4" spans="1:10">
      <c r="A4" s="331">
        <v>43880</v>
      </c>
      <c r="B4" s="8">
        <v>11</v>
      </c>
      <c r="C4" s="494" t="s">
        <v>268</v>
      </c>
      <c r="D4" s="494" t="s">
        <v>152</v>
      </c>
      <c r="E4" s="8"/>
      <c r="F4" s="8"/>
      <c r="G4" s="494" t="s">
        <v>272</v>
      </c>
      <c r="H4" s="494"/>
      <c r="I4" s="494"/>
      <c r="J4" s="494"/>
    </row>
    <row r="5" spans="1:10">
      <c r="A5" s="331">
        <v>43899</v>
      </c>
      <c r="B5" s="8">
        <v>7</v>
      </c>
      <c r="C5" s="494" t="s">
        <v>274</v>
      </c>
      <c r="D5" s="494" t="s">
        <v>152</v>
      </c>
      <c r="E5" s="8"/>
      <c r="F5" s="8"/>
      <c r="G5" s="494" t="s">
        <v>262</v>
      </c>
      <c r="H5" s="494"/>
      <c r="I5" s="494"/>
      <c r="J5" s="494"/>
    </row>
    <row r="6" spans="1:10">
      <c r="A6" s="331">
        <v>44082</v>
      </c>
      <c r="B6" s="8">
        <v>9</v>
      </c>
      <c r="C6" s="494" t="s">
        <v>318</v>
      </c>
      <c r="D6" s="494" t="s">
        <v>152</v>
      </c>
      <c r="E6" s="8">
        <v>5</v>
      </c>
      <c r="F6" s="8">
        <v>6</v>
      </c>
      <c r="G6" s="494" t="s">
        <v>272</v>
      </c>
      <c r="H6" s="494"/>
      <c r="I6" s="494"/>
      <c r="J6" s="494"/>
    </row>
    <row r="7" spans="1:10">
      <c r="A7" s="331">
        <v>44103</v>
      </c>
      <c r="B7" s="8">
        <v>8</v>
      </c>
      <c r="C7" s="494" t="s">
        <v>335</v>
      </c>
      <c r="D7" s="494" t="s">
        <v>152</v>
      </c>
      <c r="E7" s="8">
        <v>5</v>
      </c>
      <c r="F7" s="8" t="s">
        <v>411</v>
      </c>
      <c r="G7" s="494" t="s">
        <v>262</v>
      </c>
      <c r="H7" s="494"/>
      <c r="I7" s="494"/>
      <c r="J7" s="494"/>
    </row>
    <row r="8" spans="1:10">
      <c r="A8" s="331">
        <v>44113</v>
      </c>
      <c r="B8" s="8">
        <v>12</v>
      </c>
      <c r="C8" s="494" t="s">
        <v>355</v>
      </c>
      <c r="D8" s="494" t="s">
        <v>152</v>
      </c>
      <c r="E8" s="8"/>
      <c r="F8" s="8"/>
      <c r="G8" s="494" t="s">
        <v>292</v>
      </c>
      <c r="H8" s="494"/>
      <c r="I8" s="494"/>
      <c r="J8" s="494"/>
    </row>
    <row r="9" spans="1:10">
      <c r="A9" s="331">
        <v>44178</v>
      </c>
      <c r="B9" s="8">
        <v>7</v>
      </c>
      <c r="C9" s="494" t="s">
        <v>374</v>
      </c>
      <c r="D9" s="494" t="s">
        <v>152</v>
      </c>
      <c r="E9" s="8">
        <v>38</v>
      </c>
      <c r="F9" s="8" t="s">
        <v>411</v>
      </c>
      <c r="G9" s="494" t="s">
        <v>463</v>
      </c>
      <c r="H9" s="494"/>
      <c r="I9" s="494"/>
      <c r="J9" s="494"/>
    </row>
    <row r="10" spans="1:10">
      <c r="A10" s="331">
        <v>43874</v>
      </c>
      <c r="B10" s="8">
        <v>10</v>
      </c>
      <c r="C10" s="494" t="s">
        <v>261</v>
      </c>
      <c r="D10" s="494" t="s">
        <v>152</v>
      </c>
      <c r="E10" s="8"/>
      <c r="F10" s="8"/>
      <c r="G10" s="494" t="s">
        <v>262</v>
      </c>
      <c r="H10" s="494"/>
      <c r="I10" s="494"/>
      <c r="J10" s="494"/>
    </row>
    <row r="11" spans="1:10">
      <c r="A11" s="331">
        <v>43894</v>
      </c>
      <c r="B11" s="8">
        <v>7</v>
      </c>
      <c r="C11" s="494" t="s">
        <v>264</v>
      </c>
      <c r="D11" s="494" t="s">
        <v>152</v>
      </c>
      <c r="E11" s="8"/>
      <c r="F11" s="8"/>
      <c r="G11" s="494" t="s">
        <v>262</v>
      </c>
      <c r="H11" s="494"/>
      <c r="I11" s="494"/>
      <c r="J11" s="494"/>
    </row>
    <row r="12" spans="1:10">
      <c r="A12" s="331">
        <v>44097</v>
      </c>
      <c r="B12" s="8">
        <v>10</v>
      </c>
      <c r="C12" s="494" t="s">
        <v>321</v>
      </c>
      <c r="D12" s="494" t="s">
        <v>152</v>
      </c>
      <c r="E12" s="8">
        <v>5</v>
      </c>
      <c r="F12" s="8" t="s">
        <v>411</v>
      </c>
      <c r="G12" s="494" t="s">
        <v>262</v>
      </c>
      <c r="H12" s="494"/>
      <c r="I12" s="494"/>
      <c r="J12" s="494"/>
    </row>
    <row r="13" spans="1:10">
      <c r="A13" s="331">
        <v>43882</v>
      </c>
      <c r="B13" s="8">
        <v>14</v>
      </c>
      <c r="C13" s="494" t="s">
        <v>284</v>
      </c>
      <c r="D13" s="494" t="s">
        <v>152</v>
      </c>
      <c r="E13" s="8"/>
      <c r="F13" s="8"/>
      <c r="G13" s="494" t="s">
        <v>292</v>
      </c>
      <c r="H13" s="494"/>
      <c r="I13" s="494"/>
      <c r="J13" s="494"/>
    </row>
    <row r="14" spans="1:10">
      <c r="A14" s="331">
        <v>43898</v>
      </c>
      <c r="B14" s="8">
        <v>7</v>
      </c>
      <c r="C14" s="494" t="s">
        <v>290</v>
      </c>
      <c r="D14" s="494" t="s">
        <v>152</v>
      </c>
      <c r="E14" s="8"/>
      <c r="F14" s="8"/>
      <c r="G14" s="494" t="s">
        <v>262</v>
      </c>
      <c r="H14" s="494"/>
      <c r="I14" s="494"/>
      <c r="J14" s="494"/>
    </row>
    <row r="15" spans="1:10">
      <c r="A15" s="331">
        <v>43897</v>
      </c>
      <c r="B15" s="8">
        <v>7</v>
      </c>
      <c r="C15" s="494" t="s">
        <v>311</v>
      </c>
      <c r="D15" s="494" t="s">
        <v>152</v>
      </c>
      <c r="E15" s="8">
        <v>5</v>
      </c>
      <c r="F15" s="8" t="s">
        <v>411</v>
      </c>
      <c r="G15" s="494" t="s">
        <v>295</v>
      </c>
      <c r="H15" s="494"/>
      <c r="I15" s="494"/>
      <c r="J15" s="494"/>
    </row>
    <row r="16" spans="1:10">
      <c r="A16" s="331">
        <v>44171</v>
      </c>
      <c r="B16" s="8">
        <v>7</v>
      </c>
      <c r="C16" s="494" t="s">
        <v>445</v>
      </c>
      <c r="D16" s="494" t="s">
        <v>152</v>
      </c>
      <c r="E16" s="8">
        <v>40</v>
      </c>
      <c r="F16" s="8" t="s">
        <v>411</v>
      </c>
      <c r="G16" s="494" t="s">
        <v>460</v>
      </c>
      <c r="H16" s="494"/>
      <c r="I16" s="494"/>
      <c r="J16" s="494"/>
    </row>
    <row r="17" spans="1:10">
      <c r="A17" s="331">
        <v>43883</v>
      </c>
      <c r="B17" s="8">
        <v>11</v>
      </c>
      <c r="C17" s="494" t="s">
        <v>285</v>
      </c>
      <c r="D17" s="494" t="s">
        <v>152</v>
      </c>
      <c r="E17" s="8">
        <v>4</v>
      </c>
      <c r="F17" s="8" t="s">
        <v>411</v>
      </c>
      <c r="G17" s="494" t="s">
        <v>272</v>
      </c>
      <c r="H17" s="494"/>
      <c r="I17" s="494"/>
      <c r="J17" s="494"/>
    </row>
    <row r="18" spans="1:10">
      <c r="A18" s="331">
        <v>43902</v>
      </c>
      <c r="B18" s="8">
        <v>8</v>
      </c>
      <c r="C18" s="494" t="s">
        <v>296</v>
      </c>
      <c r="D18" s="494" t="s">
        <v>152</v>
      </c>
      <c r="E18" s="8"/>
      <c r="F18" s="8"/>
      <c r="G18" s="494" t="s">
        <v>272</v>
      </c>
      <c r="H18" s="494"/>
      <c r="I18" s="494"/>
      <c r="J18" s="494"/>
    </row>
    <row r="19" spans="1:10">
      <c r="A19" s="331">
        <v>43920</v>
      </c>
      <c r="B19" s="8">
        <v>8</v>
      </c>
      <c r="C19" s="494" t="s">
        <v>305</v>
      </c>
      <c r="D19" s="494" t="s">
        <v>152</v>
      </c>
      <c r="E19" s="8"/>
      <c r="F19" s="8"/>
      <c r="G19" s="494" t="s">
        <v>262</v>
      </c>
      <c r="H19" s="494"/>
      <c r="I19" s="494"/>
      <c r="J19" s="494"/>
    </row>
    <row r="20" spans="1:10">
      <c r="A20" s="331">
        <v>44125</v>
      </c>
      <c r="B20" s="8">
        <v>12</v>
      </c>
      <c r="C20" s="494" t="s">
        <v>366</v>
      </c>
      <c r="D20" s="494" t="s">
        <v>152</v>
      </c>
      <c r="E20" s="8">
        <v>5</v>
      </c>
      <c r="F20" s="8" t="s">
        <v>411</v>
      </c>
      <c r="G20" s="494" t="s">
        <v>262</v>
      </c>
      <c r="H20" s="494"/>
      <c r="I20" s="494"/>
      <c r="J20" s="494"/>
    </row>
    <row r="21" spans="1:10">
      <c r="A21" s="331">
        <v>44138</v>
      </c>
      <c r="B21" s="8">
        <v>13</v>
      </c>
      <c r="C21" s="494" t="s">
        <v>416</v>
      </c>
      <c r="D21" s="494" t="s">
        <v>152</v>
      </c>
      <c r="E21" s="8">
        <v>40</v>
      </c>
      <c r="F21" s="8" t="s">
        <v>411</v>
      </c>
      <c r="G21" s="494" t="s">
        <v>424</v>
      </c>
      <c r="H21" s="494"/>
      <c r="I21" s="494"/>
      <c r="J21" s="494"/>
    </row>
    <row r="22" spans="1:10">
      <c r="A22" s="331">
        <v>43900</v>
      </c>
      <c r="B22" s="8">
        <v>9</v>
      </c>
      <c r="C22" s="494" t="s">
        <v>299</v>
      </c>
      <c r="D22" s="494" t="s">
        <v>152</v>
      </c>
      <c r="E22" s="8"/>
      <c r="F22" s="8"/>
      <c r="G22" s="494" t="s">
        <v>272</v>
      </c>
      <c r="H22" s="494"/>
      <c r="I22" s="494"/>
      <c r="J22" s="494"/>
    </row>
    <row r="23" spans="1:10">
      <c r="A23" s="331">
        <v>44111</v>
      </c>
      <c r="B23" s="8">
        <v>11</v>
      </c>
      <c r="C23" s="494" t="s">
        <v>304</v>
      </c>
      <c r="D23" s="494" t="s">
        <v>152</v>
      </c>
      <c r="E23" s="8"/>
      <c r="F23" s="8"/>
      <c r="G23" s="494" t="s">
        <v>262</v>
      </c>
      <c r="H23" s="494"/>
      <c r="I23" s="494"/>
      <c r="J23" s="494"/>
    </row>
    <row r="24" spans="1:10">
      <c r="A24" s="331">
        <v>44126</v>
      </c>
      <c r="B24" s="8">
        <v>10</v>
      </c>
      <c r="C24" s="494" t="s">
        <v>371</v>
      </c>
      <c r="D24" s="494" t="s">
        <v>152</v>
      </c>
      <c r="E24" s="8">
        <v>4</v>
      </c>
      <c r="F24" s="8">
        <v>6</v>
      </c>
      <c r="G24" s="494" t="s">
        <v>262</v>
      </c>
      <c r="H24" s="494"/>
      <c r="I24" s="494"/>
      <c r="J24" s="494"/>
    </row>
    <row r="25" spans="1:10">
      <c r="A25" s="331">
        <v>44159</v>
      </c>
      <c r="B25" s="8">
        <v>7</v>
      </c>
      <c r="C25" s="494" t="s">
        <v>400</v>
      </c>
      <c r="D25" s="494" t="s">
        <v>152</v>
      </c>
      <c r="E25" s="8">
        <v>40</v>
      </c>
      <c r="F25" s="8" t="s">
        <v>411</v>
      </c>
      <c r="G25" s="494" t="s">
        <v>450</v>
      </c>
      <c r="H25" s="494"/>
      <c r="I25" s="494"/>
      <c r="J25" s="494"/>
    </row>
    <row r="26" spans="1:10">
      <c r="A26" s="331">
        <v>43901</v>
      </c>
      <c r="B26" s="8">
        <v>7</v>
      </c>
      <c r="C26" s="494" t="s">
        <v>297</v>
      </c>
      <c r="D26" s="494" t="s">
        <v>152</v>
      </c>
      <c r="E26" s="8"/>
      <c r="F26" s="8"/>
      <c r="G26" s="494" t="s">
        <v>272</v>
      </c>
      <c r="H26" s="494"/>
      <c r="I26" s="494"/>
      <c r="J26" s="494"/>
    </row>
    <row r="27" spans="1:10">
      <c r="A27" s="331">
        <v>44109</v>
      </c>
      <c r="B27" s="8">
        <v>14</v>
      </c>
      <c r="C27" s="494" t="s">
        <v>302</v>
      </c>
      <c r="D27" s="494" t="s">
        <v>152</v>
      </c>
      <c r="E27" s="8"/>
      <c r="F27" s="8"/>
      <c r="G27" s="494" t="s">
        <v>262</v>
      </c>
      <c r="H27" s="494"/>
      <c r="I27" s="494"/>
      <c r="J27" s="494"/>
    </row>
    <row r="28" spans="1:10">
      <c r="A28" s="331">
        <v>44126</v>
      </c>
      <c r="B28" s="8">
        <v>12</v>
      </c>
      <c r="C28" s="494" t="s">
        <v>367</v>
      </c>
      <c r="D28" s="494" t="s">
        <v>152</v>
      </c>
      <c r="E28" s="8">
        <v>4</v>
      </c>
      <c r="F28" s="8">
        <v>6</v>
      </c>
      <c r="G28" s="494" t="s">
        <v>262</v>
      </c>
      <c r="H28" s="494"/>
      <c r="I28" s="494"/>
      <c r="J28" s="494"/>
    </row>
    <row r="29" spans="1:10">
      <c r="A29" s="331">
        <v>44148</v>
      </c>
      <c r="B29" s="8">
        <v>8</v>
      </c>
      <c r="C29" s="494" t="s">
        <v>405</v>
      </c>
      <c r="D29" s="494" t="s">
        <v>152</v>
      </c>
      <c r="E29" s="8">
        <v>40</v>
      </c>
      <c r="F29" s="8" t="s">
        <v>411</v>
      </c>
      <c r="G29" s="494" t="s">
        <v>427</v>
      </c>
      <c r="H29" s="494"/>
      <c r="I29" s="494"/>
      <c r="J29" s="494"/>
    </row>
    <row r="30" spans="1:10">
      <c r="A30" s="331">
        <v>43900</v>
      </c>
      <c r="B30" s="8">
        <v>8</v>
      </c>
      <c r="C30" s="494" t="s">
        <v>298</v>
      </c>
      <c r="D30" s="494" t="s">
        <v>152</v>
      </c>
      <c r="E30" s="8"/>
      <c r="F30" s="8"/>
      <c r="G30" s="494" t="s">
        <v>272</v>
      </c>
      <c r="H30" s="494"/>
      <c r="I30" s="494"/>
      <c r="J30" s="494"/>
    </row>
    <row r="31" spans="1:10">
      <c r="A31" s="331">
        <v>43898</v>
      </c>
      <c r="B31" s="8">
        <v>8</v>
      </c>
      <c r="C31" s="494" t="s">
        <v>300</v>
      </c>
      <c r="D31" s="494" t="s">
        <v>152</v>
      </c>
      <c r="E31" s="8"/>
      <c r="F31" s="8"/>
      <c r="G31" s="494" t="s">
        <v>272</v>
      </c>
      <c r="H31" s="494"/>
      <c r="I31" s="494"/>
      <c r="J31" s="494"/>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5A97E-E1A3-404B-AB24-3D51EDBBFB95}">
  <dimension ref="A1:J10"/>
  <sheetViews>
    <sheetView zoomScale="80" zoomScaleNormal="80" workbookViewId="0">
      <selection activeCell="C19" sqref="C19"/>
    </sheetView>
  </sheetViews>
  <sheetFormatPr defaultRowHeight="14.25"/>
  <cols>
    <col min="1" max="1" width="14.265625" bestFit="1" customWidth="1"/>
    <col min="2" max="2" width="6.53125" bestFit="1" customWidth="1"/>
    <col min="3" max="3" width="28.46484375" bestFit="1" customWidth="1"/>
    <col min="4" max="4" width="10" bestFit="1" customWidth="1"/>
    <col min="5" max="5" width="3.86328125" bestFit="1" customWidth="1"/>
    <col min="6" max="6" width="7" bestFit="1" customWidth="1"/>
    <col min="7" max="7" width="60.46484375" bestFit="1" customWidth="1"/>
    <col min="8" max="8" width="4.73046875" customWidth="1"/>
    <col min="9"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43884</v>
      </c>
      <c r="B2" s="8">
        <v>16</v>
      </c>
      <c r="C2" s="494" t="s">
        <v>275</v>
      </c>
      <c r="D2" s="494" t="s">
        <v>417</v>
      </c>
      <c r="E2" s="8"/>
      <c r="F2" s="8"/>
      <c r="G2" s="494" t="s">
        <v>435</v>
      </c>
      <c r="H2" s="494"/>
      <c r="I2" s="494"/>
      <c r="J2" s="494"/>
    </row>
    <row r="3" spans="1:10">
      <c r="A3" s="331">
        <v>43884</v>
      </c>
      <c r="B3" s="8">
        <v>17</v>
      </c>
      <c r="C3" s="494" t="s">
        <v>273</v>
      </c>
      <c r="D3" s="494" t="s">
        <v>417</v>
      </c>
      <c r="E3" s="8"/>
      <c r="F3" s="8"/>
      <c r="G3" s="494" t="s">
        <v>435</v>
      </c>
      <c r="H3" s="494"/>
      <c r="I3" s="494"/>
      <c r="J3" s="494"/>
    </row>
    <row r="4" spans="1:10">
      <c r="A4" s="331">
        <v>43884</v>
      </c>
      <c r="B4" s="8">
        <v>18</v>
      </c>
      <c r="C4" s="494" t="s">
        <v>270</v>
      </c>
      <c r="D4" s="494" t="s">
        <v>417</v>
      </c>
      <c r="E4" s="8"/>
      <c r="F4" s="8"/>
      <c r="G4" s="494" t="s">
        <v>436</v>
      </c>
      <c r="H4" s="494"/>
      <c r="I4" s="494"/>
      <c r="J4" s="494"/>
    </row>
    <row r="5" spans="1:10">
      <c r="A5" s="331">
        <v>44124</v>
      </c>
      <c r="B5" s="8">
        <v>13</v>
      </c>
      <c r="C5" s="494" t="s">
        <v>349</v>
      </c>
      <c r="D5" s="494" t="s">
        <v>417</v>
      </c>
      <c r="E5" s="8"/>
      <c r="F5" s="8"/>
      <c r="G5" s="494" t="s">
        <v>508</v>
      </c>
      <c r="H5" s="494"/>
      <c r="I5" s="494" t="s">
        <v>469</v>
      </c>
      <c r="J5" s="494" t="s">
        <v>470</v>
      </c>
    </row>
    <row r="6" spans="1:10">
      <c r="A6" s="331">
        <v>43886</v>
      </c>
      <c r="B6" s="8">
        <v>8</v>
      </c>
      <c r="C6" s="494" t="s">
        <v>285</v>
      </c>
      <c r="D6" s="494" t="s">
        <v>417</v>
      </c>
      <c r="E6" s="8"/>
      <c r="F6" s="8"/>
      <c r="G6" s="494" t="s">
        <v>435</v>
      </c>
      <c r="H6" s="494"/>
      <c r="I6" s="494"/>
      <c r="J6" s="494"/>
    </row>
    <row r="7" spans="1:10">
      <c r="A7" s="331">
        <v>43874</v>
      </c>
      <c r="B7" s="8">
        <v>13</v>
      </c>
      <c r="C7" s="494" t="s">
        <v>286</v>
      </c>
      <c r="D7" s="494" t="s">
        <v>417</v>
      </c>
      <c r="E7" s="8"/>
      <c r="F7" s="8"/>
      <c r="G7" s="494" t="s">
        <v>288</v>
      </c>
      <c r="H7" s="494"/>
      <c r="I7" s="494"/>
      <c r="J7" s="494"/>
    </row>
    <row r="8" spans="1:10">
      <c r="A8" s="331">
        <v>43874</v>
      </c>
      <c r="B8" s="8">
        <v>14</v>
      </c>
      <c r="C8" s="494" t="s">
        <v>287</v>
      </c>
      <c r="D8" s="494" t="s">
        <v>417</v>
      </c>
      <c r="E8" s="8"/>
      <c r="F8" s="8"/>
      <c r="G8" s="494" t="s">
        <v>288</v>
      </c>
      <c r="H8" s="494"/>
      <c r="I8" s="494"/>
      <c r="J8" s="494"/>
    </row>
    <row r="9" spans="1:10">
      <c r="A9" s="331">
        <v>43909</v>
      </c>
      <c r="B9" s="8">
        <v>12</v>
      </c>
      <c r="C9" s="494" t="s">
        <v>303</v>
      </c>
      <c r="D9" s="494" t="s">
        <v>417</v>
      </c>
      <c r="E9" s="8"/>
      <c r="F9" s="8"/>
      <c r="G9" s="494" t="s">
        <v>435</v>
      </c>
      <c r="H9" s="494"/>
      <c r="I9" s="494"/>
      <c r="J9" s="494"/>
    </row>
    <row r="10" spans="1:10">
      <c r="A10" s="331">
        <v>43909</v>
      </c>
      <c r="B10" s="8">
        <v>13</v>
      </c>
      <c r="C10" s="494" t="s">
        <v>301</v>
      </c>
      <c r="D10" s="494" t="s">
        <v>417</v>
      </c>
      <c r="E10" s="8"/>
      <c r="F10" s="8"/>
      <c r="G10" s="494" t="s">
        <v>437</v>
      </c>
      <c r="H10" s="494"/>
      <c r="I10" s="494"/>
      <c r="J10" s="494"/>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6698C-5706-4EFC-B2D8-5579CF6C1777}">
  <dimension ref="A1:J13"/>
  <sheetViews>
    <sheetView workbookViewId="0">
      <selection activeCell="F28" sqref="F28"/>
    </sheetView>
  </sheetViews>
  <sheetFormatPr defaultRowHeight="14.25"/>
  <cols>
    <col min="1" max="1" width="14.265625" bestFit="1" customWidth="1"/>
    <col min="2" max="2" width="6.53125" bestFit="1" customWidth="1"/>
    <col min="3" max="3" width="28.796875" bestFit="1" customWidth="1"/>
    <col min="4" max="4" width="10.33203125" bestFit="1" customWidth="1"/>
    <col min="5" max="5" width="3.86328125" bestFit="1" customWidth="1"/>
    <col min="6" max="6" width="7" bestFit="1" customWidth="1"/>
    <col min="7" max="7" width="63.1328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44131</v>
      </c>
      <c r="B2" s="8">
        <v>7</v>
      </c>
      <c r="C2" s="494" t="s">
        <v>355</v>
      </c>
      <c r="D2" s="494" t="s">
        <v>276</v>
      </c>
      <c r="E2" s="8"/>
      <c r="F2" s="8"/>
      <c r="G2" s="494" t="s">
        <v>396</v>
      </c>
      <c r="H2" s="494"/>
      <c r="I2" s="494"/>
      <c r="J2" s="494"/>
    </row>
    <row r="3" spans="1:10">
      <c r="A3" s="331">
        <v>44164</v>
      </c>
      <c r="B3" s="8">
        <v>15</v>
      </c>
      <c r="C3" s="494" t="s">
        <v>355</v>
      </c>
      <c r="D3" s="494" t="s">
        <v>276</v>
      </c>
      <c r="E3" s="8">
        <v>1</v>
      </c>
      <c r="F3" s="8"/>
      <c r="G3" s="494"/>
      <c r="H3" s="494"/>
      <c r="I3" s="494"/>
      <c r="J3" s="494"/>
    </row>
    <row r="4" spans="1:10">
      <c r="A4" s="331">
        <v>44179</v>
      </c>
      <c r="B4" s="8">
        <v>8</v>
      </c>
      <c r="C4" s="494" t="s">
        <v>374</v>
      </c>
      <c r="D4" s="494" t="s">
        <v>276</v>
      </c>
      <c r="E4" s="8"/>
      <c r="F4" s="8"/>
      <c r="G4" s="494"/>
      <c r="H4" s="494"/>
      <c r="I4" s="494" t="s">
        <v>469</v>
      </c>
      <c r="J4" s="494" t="s">
        <v>470</v>
      </c>
    </row>
    <row r="5" spans="1:10">
      <c r="A5" s="331">
        <v>43928</v>
      </c>
      <c r="B5" s="8">
        <v>8</v>
      </c>
      <c r="C5" s="494" t="s">
        <v>311</v>
      </c>
      <c r="D5" s="494" t="s">
        <v>276</v>
      </c>
      <c r="E5" s="8"/>
      <c r="F5" s="8"/>
      <c r="G5" s="494" t="s">
        <v>312</v>
      </c>
      <c r="H5" s="494"/>
      <c r="I5" s="494"/>
      <c r="J5" s="494"/>
    </row>
    <row r="6" spans="1:10">
      <c r="A6" s="331">
        <v>44164</v>
      </c>
      <c r="B6" s="8">
        <v>14</v>
      </c>
      <c r="C6" s="494" t="s">
        <v>311</v>
      </c>
      <c r="D6" s="494" t="s">
        <v>276</v>
      </c>
      <c r="E6" s="8">
        <v>1</v>
      </c>
      <c r="F6" s="8"/>
      <c r="G6" s="494"/>
      <c r="H6" s="494"/>
      <c r="I6" s="494"/>
      <c r="J6" s="494"/>
    </row>
    <row r="7" spans="1:10">
      <c r="A7" s="331">
        <v>44179</v>
      </c>
      <c r="B7" s="8">
        <v>7</v>
      </c>
      <c r="C7" s="494" t="s">
        <v>445</v>
      </c>
      <c r="D7" s="494" t="s">
        <v>276</v>
      </c>
      <c r="E7" s="8"/>
      <c r="F7" s="8"/>
      <c r="G7" s="494"/>
      <c r="H7" s="494"/>
      <c r="I7" s="494" t="s">
        <v>469</v>
      </c>
      <c r="J7" s="494" t="s">
        <v>470</v>
      </c>
    </row>
    <row r="8" spans="1:10">
      <c r="A8" s="331">
        <v>44131</v>
      </c>
      <c r="B8" s="8">
        <v>9</v>
      </c>
      <c r="C8" s="494" t="s">
        <v>366</v>
      </c>
      <c r="D8" s="494" t="s">
        <v>276</v>
      </c>
      <c r="E8" s="8"/>
      <c r="F8" s="8"/>
      <c r="G8" s="494" t="s">
        <v>396</v>
      </c>
      <c r="H8" s="494"/>
      <c r="I8" s="494"/>
      <c r="J8" s="494"/>
    </row>
    <row r="9" spans="1:10">
      <c r="A9" s="331">
        <v>44164</v>
      </c>
      <c r="B9" s="8">
        <v>13</v>
      </c>
      <c r="C9" s="494" t="s">
        <v>416</v>
      </c>
      <c r="D9" s="494" t="s">
        <v>276</v>
      </c>
      <c r="E9" s="8">
        <v>1</v>
      </c>
      <c r="F9" s="8"/>
      <c r="G9" s="494"/>
      <c r="H9" s="494"/>
      <c r="I9" s="494"/>
      <c r="J9" s="494"/>
    </row>
    <row r="10" spans="1:10">
      <c r="A10" s="331">
        <v>44164</v>
      </c>
      <c r="B10" s="8">
        <v>12</v>
      </c>
      <c r="C10" s="494" t="s">
        <v>400</v>
      </c>
      <c r="D10" s="494" t="s">
        <v>276</v>
      </c>
      <c r="E10" s="8">
        <v>1</v>
      </c>
      <c r="F10" s="8"/>
      <c r="G10" s="494"/>
      <c r="H10" s="494"/>
      <c r="I10" s="494"/>
      <c r="J10" s="494"/>
    </row>
    <row r="11" spans="1:10">
      <c r="A11" s="331">
        <v>44164</v>
      </c>
      <c r="B11" s="8">
        <v>11</v>
      </c>
      <c r="C11" s="494" t="s">
        <v>405</v>
      </c>
      <c r="D11" s="494" t="s">
        <v>276</v>
      </c>
      <c r="E11" s="8">
        <v>1</v>
      </c>
      <c r="F11" s="8"/>
      <c r="G11" s="494"/>
      <c r="H11" s="494"/>
      <c r="I11" s="494"/>
      <c r="J11" s="494"/>
    </row>
    <row r="12" spans="1:10">
      <c r="A12" s="331">
        <v>44235</v>
      </c>
      <c r="B12" s="8">
        <v>12</v>
      </c>
      <c r="C12" s="494" t="s">
        <v>405</v>
      </c>
      <c r="D12" s="494" t="s">
        <v>276</v>
      </c>
      <c r="E12" s="8"/>
      <c r="F12" s="8"/>
      <c r="G12" s="494" t="s">
        <v>544</v>
      </c>
      <c r="H12" s="494"/>
      <c r="I12" s="494" t="s">
        <v>469</v>
      </c>
      <c r="J12" s="494" t="s">
        <v>470</v>
      </c>
    </row>
    <row r="13" spans="1:10">
      <c r="A13" s="331">
        <v>44164</v>
      </c>
      <c r="B13" s="8">
        <v>10</v>
      </c>
      <c r="C13" s="494" t="s">
        <v>42</v>
      </c>
      <c r="D13" s="494" t="s">
        <v>276</v>
      </c>
      <c r="E13" s="8">
        <v>1</v>
      </c>
      <c r="F13" s="8"/>
      <c r="G13" s="494"/>
      <c r="H13" s="494"/>
      <c r="I13" s="494"/>
      <c r="J13" s="494"/>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C3861-3065-4199-A805-B89A6972423F}">
  <dimension ref="A1:J307"/>
  <sheetViews>
    <sheetView topLeftCell="A31" zoomScale="70" zoomScaleNormal="70" workbookViewId="0">
      <selection activeCell="A2" sqref="A2"/>
    </sheetView>
  </sheetViews>
  <sheetFormatPr defaultRowHeight="14.25"/>
  <cols>
    <col min="1" max="1" width="14.265625" bestFit="1" customWidth="1"/>
    <col min="2" max="2" width="6.53125" bestFit="1" customWidth="1"/>
    <col min="3" max="3" width="28.46484375" bestFit="1" customWidth="1"/>
    <col min="4" max="4" width="17.1328125" bestFit="1" customWidth="1"/>
    <col min="5" max="5" width="3.86328125" bestFit="1" customWidth="1"/>
    <col min="6" max="6" width="7" bestFit="1" customWidth="1"/>
    <col min="7" max="7" width="26.9296875"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43843</v>
      </c>
      <c r="B2" s="8">
        <v>7</v>
      </c>
      <c r="C2" s="494" t="s">
        <v>252</v>
      </c>
      <c r="D2" s="494" t="s">
        <v>149</v>
      </c>
      <c r="E2" s="8"/>
      <c r="F2" s="8"/>
      <c r="G2" s="494"/>
      <c r="H2" s="494" t="s">
        <v>149</v>
      </c>
      <c r="I2" s="494"/>
      <c r="J2" s="494"/>
    </row>
    <row r="3" spans="1:10">
      <c r="A3" s="331">
        <v>43844</v>
      </c>
      <c r="B3" s="8">
        <v>7</v>
      </c>
      <c r="C3" s="494" t="s">
        <v>252</v>
      </c>
      <c r="D3" s="494" t="s">
        <v>153</v>
      </c>
      <c r="E3" s="8"/>
      <c r="F3" s="8"/>
      <c r="G3" s="494"/>
      <c r="H3" s="494"/>
      <c r="I3" s="494"/>
      <c r="J3" s="494"/>
    </row>
    <row r="4" spans="1:10">
      <c r="A4" s="331">
        <v>43846</v>
      </c>
      <c r="B4" s="8">
        <v>7</v>
      </c>
      <c r="C4" s="494" t="s">
        <v>252</v>
      </c>
      <c r="D4" s="494" t="s">
        <v>147</v>
      </c>
      <c r="E4" s="8">
        <v>96</v>
      </c>
      <c r="F4" s="8">
        <v>96</v>
      </c>
      <c r="G4" s="494"/>
      <c r="H4" s="494"/>
      <c r="I4" s="494"/>
      <c r="J4" s="494"/>
    </row>
    <row r="5" spans="1:10">
      <c r="A5" s="331">
        <v>43849</v>
      </c>
      <c r="B5" s="8">
        <v>7</v>
      </c>
      <c r="C5" s="494" t="s">
        <v>252</v>
      </c>
      <c r="D5" s="494" t="s">
        <v>147</v>
      </c>
      <c r="E5" s="8">
        <v>96</v>
      </c>
      <c r="F5" s="8">
        <v>96</v>
      </c>
      <c r="G5" s="494"/>
      <c r="H5" s="494"/>
      <c r="I5" s="494"/>
      <c r="J5" s="494"/>
    </row>
    <row r="6" spans="1:10">
      <c r="A6" s="331">
        <v>43852</v>
      </c>
      <c r="B6" s="8">
        <v>8</v>
      </c>
      <c r="C6" s="494" t="s">
        <v>255</v>
      </c>
      <c r="D6" s="494" t="s">
        <v>148</v>
      </c>
      <c r="E6" s="8">
        <v>1</v>
      </c>
      <c r="F6" s="8">
        <v>24</v>
      </c>
      <c r="G6" s="494"/>
      <c r="H6" s="494"/>
      <c r="I6" s="494"/>
      <c r="J6" s="494"/>
    </row>
    <row r="7" spans="1:10">
      <c r="A7" s="331">
        <v>43852</v>
      </c>
      <c r="B7" s="8">
        <v>9</v>
      </c>
      <c r="C7" s="494" t="s">
        <v>256</v>
      </c>
      <c r="D7" s="494" t="s">
        <v>148</v>
      </c>
      <c r="E7" s="8">
        <v>1</v>
      </c>
      <c r="F7" s="8">
        <v>24</v>
      </c>
      <c r="G7" s="494"/>
      <c r="H7" s="494"/>
      <c r="I7" s="494"/>
      <c r="J7" s="494"/>
    </row>
    <row r="8" spans="1:10">
      <c r="A8" s="331">
        <v>43852</v>
      </c>
      <c r="B8" s="8">
        <v>12</v>
      </c>
      <c r="C8" s="494" t="s">
        <v>269</v>
      </c>
      <c r="D8" s="494" t="s">
        <v>148</v>
      </c>
      <c r="E8" s="8">
        <v>1</v>
      </c>
      <c r="F8" s="8">
        <v>24</v>
      </c>
      <c r="G8" s="494"/>
      <c r="H8" s="494"/>
      <c r="I8" s="494"/>
      <c r="J8" s="494"/>
    </row>
    <row r="9" spans="1:10">
      <c r="A9" s="331">
        <v>43852</v>
      </c>
      <c r="B9" s="8">
        <v>10</v>
      </c>
      <c r="C9" s="494" t="s">
        <v>257</v>
      </c>
      <c r="D9" s="494" t="s">
        <v>148</v>
      </c>
      <c r="E9" s="8">
        <v>1</v>
      </c>
      <c r="F9" s="8">
        <v>24</v>
      </c>
      <c r="G9" s="494"/>
      <c r="H9" s="494"/>
      <c r="I9" s="494"/>
      <c r="J9" s="494"/>
    </row>
    <row r="10" spans="1:10">
      <c r="A10" s="331">
        <v>43852</v>
      </c>
      <c r="B10" s="8">
        <v>11</v>
      </c>
      <c r="C10" s="494" t="s">
        <v>259</v>
      </c>
      <c r="D10" s="494" t="s">
        <v>148</v>
      </c>
      <c r="E10" s="8">
        <v>1</v>
      </c>
      <c r="F10" s="8">
        <v>24</v>
      </c>
      <c r="G10" s="494"/>
      <c r="H10" s="494"/>
      <c r="I10" s="494"/>
      <c r="J10" s="494"/>
    </row>
    <row r="11" spans="1:10">
      <c r="A11" s="331">
        <v>43853</v>
      </c>
      <c r="B11" s="8">
        <v>7</v>
      </c>
      <c r="C11" s="494" t="s">
        <v>252</v>
      </c>
      <c r="D11" s="494" t="s">
        <v>147</v>
      </c>
      <c r="E11" s="8">
        <v>96</v>
      </c>
      <c r="F11" s="8">
        <v>96</v>
      </c>
      <c r="G11" s="494"/>
      <c r="H11" s="494"/>
      <c r="I11" s="494"/>
      <c r="J11" s="494"/>
    </row>
    <row r="12" spans="1:10">
      <c r="A12" s="331">
        <v>43853</v>
      </c>
      <c r="B12" s="8">
        <v>8</v>
      </c>
      <c r="C12" s="494" t="s">
        <v>255</v>
      </c>
      <c r="D12" s="494" t="s">
        <v>153</v>
      </c>
      <c r="E12" s="8">
        <v>1</v>
      </c>
      <c r="F12" s="8">
        <v>24</v>
      </c>
      <c r="G12" s="494"/>
      <c r="H12" s="494"/>
      <c r="I12" s="494"/>
      <c r="J12" s="494"/>
    </row>
    <row r="13" spans="1:10">
      <c r="A13" s="331">
        <v>43853</v>
      </c>
      <c r="B13" s="8">
        <v>9</v>
      </c>
      <c r="C13" s="494" t="s">
        <v>256</v>
      </c>
      <c r="D13" s="494" t="s">
        <v>153</v>
      </c>
      <c r="E13" s="8">
        <v>1</v>
      </c>
      <c r="F13" s="8">
        <v>24</v>
      </c>
      <c r="G13" s="494"/>
      <c r="H13" s="494"/>
      <c r="I13" s="494"/>
      <c r="J13" s="494"/>
    </row>
    <row r="14" spans="1:10">
      <c r="A14" s="331">
        <v>43853</v>
      </c>
      <c r="B14" s="8">
        <v>10</v>
      </c>
      <c r="C14" s="494" t="s">
        <v>257</v>
      </c>
      <c r="D14" s="494" t="s">
        <v>153</v>
      </c>
      <c r="E14" s="8">
        <v>1</v>
      </c>
      <c r="F14" s="8">
        <v>24</v>
      </c>
      <c r="G14" s="494"/>
      <c r="H14" s="494"/>
      <c r="I14" s="494"/>
      <c r="J14" s="494"/>
    </row>
    <row r="15" spans="1:10">
      <c r="A15" s="331">
        <v>43853</v>
      </c>
      <c r="B15" s="8">
        <v>11</v>
      </c>
      <c r="C15" s="494" t="s">
        <v>259</v>
      </c>
      <c r="D15" s="494" t="s">
        <v>153</v>
      </c>
      <c r="E15" s="8">
        <v>1</v>
      </c>
      <c r="F15" s="8">
        <v>24</v>
      </c>
      <c r="G15" s="494"/>
      <c r="H15" s="494"/>
      <c r="I15" s="494"/>
      <c r="J15" s="494"/>
    </row>
    <row r="16" spans="1:10">
      <c r="A16" s="331">
        <v>43857</v>
      </c>
      <c r="B16" s="8">
        <v>7</v>
      </c>
      <c r="C16" s="494" t="s">
        <v>259</v>
      </c>
      <c r="D16" s="494" t="s">
        <v>147</v>
      </c>
      <c r="E16" s="8">
        <v>1</v>
      </c>
      <c r="F16" s="8">
        <v>24</v>
      </c>
      <c r="G16" s="494"/>
      <c r="H16" s="494"/>
      <c r="I16" s="494"/>
      <c r="J16" s="494"/>
    </row>
    <row r="17" spans="1:10">
      <c r="A17" s="331">
        <v>43858</v>
      </c>
      <c r="B17" s="8">
        <v>7</v>
      </c>
      <c r="C17" s="494" t="s">
        <v>259</v>
      </c>
      <c r="D17" s="494" t="s">
        <v>148</v>
      </c>
      <c r="E17" s="8">
        <v>1</v>
      </c>
      <c r="F17" s="8">
        <v>6</v>
      </c>
      <c r="G17" s="494"/>
      <c r="H17" s="494"/>
      <c r="I17" s="494"/>
      <c r="J17" s="494"/>
    </row>
    <row r="18" spans="1:10">
      <c r="A18" s="331">
        <v>43859</v>
      </c>
      <c r="B18" s="8">
        <v>8</v>
      </c>
      <c r="C18" s="494" t="s">
        <v>257</v>
      </c>
      <c r="D18" s="494" t="s">
        <v>148</v>
      </c>
      <c r="E18" s="8">
        <v>1</v>
      </c>
      <c r="F18" s="8">
        <v>6</v>
      </c>
      <c r="G18" s="494"/>
      <c r="H18" s="494"/>
      <c r="I18" s="494"/>
      <c r="J18" s="494"/>
    </row>
    <row r="19" spans="1:10">
      <c r="A19" s="331">
        <v>43859</v>
      </c>
      <c r="B19" s="8">
        <v>7</v>
      </c>
      <c r="C19" s="494" t="s">
        <v>259</v>
      </c>
      <c r="D19" s="494" t="s">
        <v>153</v>
      </c>
      <c r="E19" s="8">
        <v>1</v>
      </c>
      <c r="F19" s="8">
        <v>6</v>
      </c>
      <c r="G19" s="494"/>
      <c r="H19" s="494"/>
      <c r="I19" s="494"/>
      <c r="J19" s="494"/>
    </row>
    <row r="20" spans="1:10">
      <c r="A20" s="331">
        <v>43860</v>
      </c>
      <c r="B20" s="8">
        <v>8</v>
      </c>
      <c r="C20" s="494" t="s">
        <v>255</v>
      </c>
      <c r="D20" s="494" t="s">
        <v>148</v>
      </c>
      <c r="E20" s="8">
        <v>1</v>
      </c>
      <c r="F20" s="8">
        <v>6</v>
      </c>
      <c r="G20" s="494"/>
      <c r="H20" s="494"/>
      <c r="I20" s="494"/>
      <c r="J20" s="494"/>
    </row>
    <row r="21" spans="1:10">
      <c r="A21" s="331">
        <v>43860</v>
      </c>
      <c r="B21" s="8">
        <v>9</v>
      </c>
      <c r="C21" s="494" t="s">
        <v>256</v>
      </c>
      <c r="D21" s="494" t="s">
        <v>148</v>
      </c>
      <c r="E21" s="8">
        <v>1</v>
      </c>
      <c r="F21" s="8">
        <v>6</v>
      </c>
      <c r="G21" s="494"/>
      <c r="H21" s="494"/>
      <c r="I21" s="494"/>
      <c r="J21" s="494"/>
    </row>
    <row r="22" spans="1:10">
      <c r="A22" s="331">
        <v>43860</v>
      </c>
      <c r="B22" s="8">
        <v>10</v>
      </c>
      <c r="C22" s="494" t="s">
        <v>269</v>
      </c>
      <c r="D22" s="494" t="s">
        <v>148</v>
      </c>
      <c r="E22" s="8">
        <v>1</v>
      </c>
      <c r="F22" s="8">
        <v>6</v>
      </c>
      <c r="G22" s="494"/>
      <c r="H22" s="494"/>
      <c r="I22" s="494"/>
      <c r="J22" s="494"/>
    </row>
    <row r="23" spans="1:10">
      <c r="A23" s="331">
        <v>43860</v>
      </c>
      <c r="B23" s="8">
        <v>7</v>
      </c>
      <c r="C23" s="494" t="s">
        <v>257</v>
      </c>
      <c r="D23" s="494" t="s">
        <v>153</v>
      </c>
      <c r="E23" s="8">
        <v>1</v>
      </c>
      <c r="F23" s="8">
        <v>6</v>
      </c>
      <c r="G23" s="494"/>
      <c r="H23" s="494"/>
      <c r="I23" s="494"/>
      <c r="J23" s="494"/>
    </row>
    <row r="24" spans="1:10">
      <c r="A24" s="331">
        <v>43860</v>
      </c>
      <c r="B24" s="8">
        <v>11</v>
      </c>
      <c r="C24" s="494" t="s">
        <v>259</v>
      </c>
      <c r="D24" s="494" t="s">
        <v>148</v>
      </c>
      <c r="E24" s="8">
        <v>5</v>
      </c>
      <c r="F24" s="8">
        <v>6</v>
      </c>
      <c r="G24" s="494"/>
      <c r="H24" s="494"/>
      <c r="I24" s="494"/>
      <c r="J24" s="494"/>
    </row>
    <row r="25" spans="1:10">
      <c r="A25" s="331">
        <v>43861</v>
      </c>
      <c r="B25" s="8">
        <v>7</v>
      </c>
      <c r="C25" s="494" t="s">
        <v>255</v>
      </c>
      <c r="D25" s="494" t="s">
        <v>153</v>
      </c>
      <c r="E25" s="8">
        <v>1</v>
      </c>
      <c r="F25" s="8">
        <v>6</v>
      </c>
      <c r="G25" s="494"/>
      <c r="H25" s="494"/>
      <c r="I25" s="494"/>
      <c r="J25" s="494"/>
    </row>
    <row r="26" spans="1:10">
      <c r="A26" s="331">
        <v>43861</v>
      </c>
      <c r="B26" s="8">
        <v>8</v>
      </c>
      <c r="C26" s="494" t="s">
        <v>256</v>
      </c>
      <c r="D26" s="494" t="s">
        <v>153</v>
      </c>
      <c r="E26" s="8">
        <v>1</v>
      </c>
      <c r="F26" s="8">
        <v>6</v>
      </c>
      <c r="G26" s="494"/>
      <c r="H26" s="494"/>
      <c r="I26" s="494"/>
      <c r="J26" s="494"/>
    </row>
    <row r="27" spans="1:10">
      <c r="A27" s="331">
        <v>43861</v>
      </c>
      <c r="B27" s="8">
        <v>9</v>
      </c>
      <c r="C27" s="494" t="s">
        <v>269</v>
      </c>
      <c r="D27" s="494" t="s">
        <v>153</v>
      </c>
      <c r="E27" s="8">
        <v>1</v>
      </c>
      <c r="F27" s="8">
        <v>6</v>
      </c>
      <c r="G27" s="494"/>
      <c r="H27" s="494"/>
      <c r="I27" s="494"/>
      <c r="J27" s="494"/>
    </row>
    <row r="28" spans="1:10">
      <c r="A28" s="331">
        <v>43861</v>
      </c>
      <c r="B28" s="8">
        <v>10</v>
      </c>
      <c r="C28" s="494" t="s">
        <v>259</v>
      </c>
      <c r="D28" s="494" t="s">
        <v>153</v>
      </c>
      <c r="E28" s="8">
        <v>1</v>
      </c>
      <c r="F28" s="8">
        <v>6</v>
      </c>
      <c r="G28" s="494"/>
      <c r="H28" s="494"/>
      <c r="I28" s="494"/>
      <c r="J28" s="494"/>
    </row>
    <row r="29" spans="1:10">
      <c r="A29" s="331">
        <v>43864</v>
      </c>
      <c r="B29" s="8">
        <v>8</v>
      </c>
      <c r="C29" s="494" t="s">
        <v>255</v>
      </c>
      <c r="D29" s="494" t="s">
        <v>148</v>
      </c>
      <c r="E29" s="8">
        <v>5</v>
      </c>
      <c r="F29" s="8">
        <v>6</v>
      </c>
      <c r="G29" s="494"/>
      <c r="H29" s="494"/>
      <c r="I29" s="494"/>
      <c r="J29" s="494"/>
    </row>
    <row r="30" spans="1:10">
      <c r="A30" s="331">
        <v>43864</v>
      </c>
      <c r="B30" s="8">
        <v>9</v>
      </c>
      <c r="C30" s="494" t="s">
        <v>256</v>
      </c>
      <c r="D30" s="494" t="s">
        <v>148</v>
      </c>
      <c r="E30" s="8">
        <v>5</v>
      </c>
      <c r="F30" s="8">
        <v>6</v>
      </c>
      <c r="G30" s="494"/>
      <c r="H30" s="494"/>
      <c r="I30" s="494"/>
      <c r="J30" s="494"/>
    </row>
    <row r="31" spans="1:10">
      <c r="A31" s="331">
        <v>43864</v>
      </c>
      <c r="B31" s="8">
        <v>10</v>
      </c>
      <c r="C31" s="494" t="s">
        <v>257</v>
      </c>
      <c r="D31" s="494" t="s">
        <v>148</v>
      </c>
      <c r="E31" s="8">
        <v>5</v>
      </c>
      <c r="F31" s="8">
        <v>6</v>
      </c>
      <c r="G31" s="494"/>
      <c r="H31" s="494"/>
      <c r="I31" s="494"/>
      <c r="J31" s="494"/>
    </row>
    <row r="32" spans="1:10">
      <c r="A32" s="331">
        <v>43864</v>
      </c>
      <c r="B32" s="8">
        <v>7</v>
      </c>
      <c r="C32" s="494" t="s">
        <v>259</v>
      </c>
      <c r="D32" s="494" t="s">
        <v>154</v>
      </c>
      <c r="E32" s="8">
        <v>2</v>
      </c>
      <c r="F32" s="8">
        <v>24</v>
      </c>
      <c r="G32" s="494"/>
      <c r="H32" s="494" t="s">
        <v>260</v>
      </c>
      <c r="I32" s="494"/>
      <c r="J32" s="494"/>
    </row>
    <row r="33" spans="1:10">
      <c r="A33" s="331">
        <v>43865</v>
      </c>
      <c r="B33" s="8">
        <v>9</v>
      </c>
      <c r="C33" s="494" t="s">
        <v>255</v>
      </c>
      <c r="D33" s="494" t="s">
        <v>153</v>
      </c>
      <c r="E33" s="8">
        <v>5</v>
      </c>
      <c r="F33" s="8">
        <v>6</v>
      </c>
      <c r="G33" s="494"/>
      <c r="H33" s="494"/>
      <c r="I33" s="494"/>
      <c r="J33" s="494"/>
    </row>
    <row r="34" spans="1:10">
      <c r="A34" s="331">
        <v>43865</v>
      </c>
      <c r="B34" s="8">
        <v>10</v>
      </c>
      <c r="C34" s="494" t="s">
        <v>256</v>
      </c>
      <c r="D34" s="494" t="s">
        <v>153</v>
      </c>
      <c r="E34" s="8">
        <v>5</v>
      </c>
      <c r="F34" s="8">
        <v>6</v>
      </c>
      <c r="G34" s="494"/>
      <c r="H34" s="494"/>
      <c r="I34" s="494"/>
      <c r="J34" s="494"/>
    </row>
    <row r="35" spans="1:10">
      <c r="A35" s="331">
        <v>43865</v>
      </c>
      <c r="B35" s="8">
        <v>8</v>
      </c>
      <c r="C35" s="494" t="s">
        <v>269</v>
      </c>
      <c r="D35" s="494" t="s">
        <v>148</v>
      </c>
      <c r="E35" s="8">
        <v>5</v>
      </c>
      <c r="F35" s="8">
        <v>6</v>
      </c>
      <c r="G35" s="494"/>
      <c r="H35" s="494"/>
      <c r="I35" s="494"/>
      <c r="J35" s="494"/>
    </row>
    <row r="36" spans="1:10">
      <c r="A36" s="331">
        <v>43865</v>
      </c>
      <c r="B36" s="8">
        <v>11</v>
      </c>
      <c r="C36" s="494" t="s">
        <v>257</v>
      </c>
      <c r="D36" s="494" t="s">
        <v>153</v>
      </c>
      <c r="E36" s="8">
        <v>5</v>
      </c>
      <c r="F36" s="8">
        <v>6</v>
      </c>
      <c r="G36" s="494"/>
      <c r="H36" s="494"/>
      <c r="I36" s="494"/>
      <c r="J36" s="494"/>
    </row>
    <row r="37" spans="1:10">
      <c r="A37" s="331">
        <v>43865</v>
      </c>
      <c r="B37" s="8">
        <v>7</v>
      </c>
      <c r="C37" s="494" t="s">
        <v>261</v>
      </c>
      <c r="D37" s="494" t="s">
        <v>153</v>
      </c>
      <c r="E37" s="8">
        <v>2</v>
      </c>
      <c r="F37" s="8">
        <v>24</v>
      </c>
      <c r="G37" s="494"/>
      <c r="H37" s="494"/>
      <c r="I37" s="494"/>
      <c r="J37" s="494"/>
    </row>
    <row r="38" spans="1:10">
      <c r="A38" s="331">
        <v>43866</v>
      </c>
      <c r="B38" s="8">
        <v>8</v>
      </c>
      <c r="C38" s="494" t="s">
        <v>269</v>
      </c>
      <c r="D38" s="494" t="s">
        <v>153</v>
      </c>
      <c r="E38" s="8">
        <v>5</v>
      </c>
      <c r="F38" s="8">
        <v>6</v>
      </c>
      <c r="G38" s="494"/>
      <c r="H38" s="494"/>
      <c r="I38" s="494"/>
      <c r="J38" s="494"/>
    </row>
    <row r="39" spans="1:10">
      <c r="A39" s="331">
        <v>43866</v>
      </c>
      <c r="B39" s="8">
        <v>7</v>
      </c>
      <c r="C39" s="494" t="s">
        <v>261</v>
      </c>
      <c r="D39" s="494" t="s">
        <v>147</v>
      </c>
      <c r="E39" s="8">
        <v>2</v>
      </c>
      <c r="F39" s="8">
        <v>24</v>
      </c>
      <c r="G39" s="494"/>
      <c r="H39" s="494"/>
      <c r="I39" s="494"/>
      <c r="J39" s="494"/>
    </row>
    <row r="40" spans="1:10">
      <c r="A40" s="331">
        <v>43867</v>
      </c>
      <c r="B40" s="8">
        <v>7</v>
      </c>
      <c r="C40" s="494" t="s">
        <v>255</v>
      </c>
      <c r="D40" s="494" t="s">
        <v>154</v>
      </c>
      <c r="E40" s="8">
        <v>1</v>
      </c>
      <c r="F40" s="8">
        <v>96</v>
      </c>
      <c r="G40" s="494"/>
      <c r="H40" s="494" t="s">
        <v>260</v>
      </c>
      <c r="I40" s="494"/>
      <c r="J40" s="494"/>
    </row>
    <row r="41" spans="1:10">
      <c r="A41" s="331">
        <v>43867</v>
      </c>
      <c r="B41" s="8">
        <v>8</v>
      </c>
      <c r="C41" s="494" t="s">
        <v>256</v>
      </c>
      <c r="D41" s="494" t="s">
        <v>154</v>
      </c>
      <c r="E41" s="8">
        <v>1</v>
      </c>
      <c r="F41" s="8">
        <v>96</v>
      </c>
      <c r="G41" s="494"/>
      <c r="H41" s="494" t="s">
        <v>260</v>
      </c>
      <c r="I41" s="494"/>
      <c r="J41" s="494"/>
    </row>
    <row r="42" spans="1:10">
      <c r="A42" s="331">
        <v>43867</v>
      </c>
      <c r="B42" s="8">
        <v>9</v>
      </c>
      <c r="C42" s="494" t="s">
        <v>257</v>
      </c>
      <c r="D42" s="494" t="s">
        <v>154</v>
      </c>
      <c r="E42" s="8">
        <v>1</v>
      </c>
      <c r="F42" s="8">
        <v>96</v>
      </c>
      <c r="G42" s="494"/>
      <c r="H42" s="494" t="s">
        <v>260</v>
      </c>
      <c r="I42" s="494"/>
      <c r="J42" s="494"/>
    </row>
    <row r="43" spans="1:10">
      <c r="A43" s="331">
        <v>43868</v>
      </c>
      <c r="B43" s="8">
        <v>8</v>
      </c>
      <c r="C43" s="494" t="s">
        <v>266</v>
      </c>
      <c r="D43" s="494" t="s">
        <v>153</v>
      </c>
      <c r="E43" s="8">
        <v>1</v>
      </c>
      <c r="F43" s="8">
        <v>96</v>
      </c>
      <c r="G43" s="494"/>
      <c r="H43" s="494"/>
      <c r="I43" s="494"/>
      <c r="J43" s="494"/>
    </row>
    <row r="44" spans="1:10">
      <c r="A44" s="331">
        <v>43868</v>
      </c>
      <c r="B44" s="8">
        <v>9</v>
      </c>
      <c r="C44" s="494" t="s">
        <v>267</v>
      </c>
      <c r="D44" s="494" t="s">
        <v>153</v>
      </c>
      <c r="E44" s="8">
        <v>1</v>
      </c>
      <c r="F44" s="8">
        <v>96</v>
      </c>
      <c r="G44" s="494"/>
      <c r="H44" s="494"/>
      <c r="I44" s="494"/>
      <c r="J44" s="494"/>
    </row>
    <row r="45" spans="1:10">
      <c r="A45" s="331">
        <v>43868</v>
      </c>
      <c r="B45" s="8">
        <v>12</v>
      </c>
      <c r="C45" s="494" t="s">
        <v>269</v>
      </c>
      <c r="D45" s="494" t="s">
        <v>154</v>
      </c>
      <c r="E45" s="8">
        <v>1</v>
      </c>
      <c r="F45" s="8">
        <v>96</v>
      </c>
      <c r="G45" s="494"/>
      <c r="H45" s="494" t="s">
        <v>260</v>
      </c>
      <c r="I45" s="494"/>
      <c r="J45" s="494"/>
    </row>
    <row r="46" spans="1:10">
      <c r="A46" s="331">
        <v>43868</v>
      </c>
      <c r="B46" s="8">
        <v>10</v>
      </c>
      <c r="C46" s="494" t="s">
        <v>268</v>
      </c>
      <c r="D46" s="494" t="s">
        <v>153</v>
      </c>
      <c r="E46" s="8">
        <v>1</v>
      </c>
      <c r="F46" s="8">
        <v>96</v>
      </c>
      <c r="G46" s="494"/>
      <c r="H46" s="494"/>
      <c r="I46" s="494"/>
      <c r="J46" s="494"/>
    </row>
    <row r="47" spans="1:10">
      <c r="A47" s="331">
        <v>43868</v>
      </c>
      <c r="B47" s="8">
        <v>7</v>
      </c>
      <c r="C47" s="494" t="s">
        <v>261</v>
      </c>
      <c r="D47" s="494" t="s">
        <v>147</v>
      </c>
      <c r="E47" s="8">
        <v>2</v>
      </c>
      <c r="F47" s="8">
        <v>24</v>
      </c>
      <c r="G47" s="494"/>
      <c r="H47" s="494"/>
      <c r="I47" s="494"/>
      <c r="J47" s="494"/>
    </row>
    <row r="48" spans="1:10">
      <c r="A48" s="331">
        <v>43869</v>
      </c>
      <c r="B48" s="8">
        <v>7</v>
      </c>
      <c r="C48" s="494" t="s">
        <v>270</v>
      </c>
      <c r="D48" s="494" t="s">
        <v>153</v>
      </c>
      <c r="E48" s="8">
        <v>1</v>
      </c>
      <c r="F48" s="8">
        <v>96</v>
      </c>
      <c r="G48" s="494"/>
      <c r="H48" s="494"/>
      <c r="I48" s="494"/>
      <c r="J48" s="494"/>
    </row>
    <row r="49" spans="1:10">
      <c r="A49" s="331">
        <v>43869</v>
      </c>
      <c r="B49" s="8">
        <v>8</v>
      </c>
      <c r="C49" s="494" t="s">
        <v>261</v>
      </c>
      <c r="D49" s="494" t="s">
        <v>148</v>
      </c>
      <c r="E49" s="8">
        <v>1</v>
      </c>
      <c r="F49" s="8">
        <v>6</v>
      </c>
      <c r="G49" s="494"/>
      <c r="H49" s="494"/>
      <c r="I49" s="494"/>
      <c r="J49" s="494"/>
    </row>
    <row r="50" spans="1:10">
      <c r="A50" s="331">
        <v>43870</v>
      </c>
      <c r="B50" s="8">
        <v>7</v>
      </c>
      <c r="C50" s="494" t="s">
        <v>261</v>
      </c>
      <c r="D50" s="494" t="s">
        <v>153</v>
      </c>
      <c r="E50" s="8">
        <v>1</v>
      </c>
      <c r="F50" s="8">
        <v>6</v>
      </c>
      <c r="G50" s="494"/>
      <c r="H50" s="494"/>
      <c r="I50" s="494"/>
      <c r="J50" s="494"/>
    </row>
    <row r="51" spans="1:10">
      <c r="A51" s="331">
        <v>43871</v>
      </c>
      <c r="B51" s="8">
        <v>7</v>
      </c>
      <c r="C51" s="494" t="s">
        <v>267</v>
      </c>
      <c r="D51" s="494" t="s">
        <v>147</v>
      </c>
      <c r="E51" s="8">
        <v>1</v>
      </c>
      <c r="F51" s="8">
        <v>96</v>
      </c>
      <c r="G51" s="494"/>
      <c r="H51" s="494"/>
      <c r="I51" s="494"/>
      <c r="J51" s="494"/>
    </row>
    <row r="52" spans="1:10">
      <c r="A52" s="331">
        <v>43871</v>
      </c>
      <c r="B52" s="8">
        <v>8</v>
      </c>
      <c r="C52" s="494" t="s">
        <v>267</v>
      </c>
      <c r="D52" s="494" t="s">
        <v>147</v>
      </c>
      <c r="E52" s="8">
        <v>1</v>
      </c>
      <c r="F52" s="8">
        <v>96</v>
      </c>
      <c r="G52" s="494"/>
      <c r="H52" s="494"/>
      <c r="I52" s="494"/>
      <c r="J52" s="494"/>
    </row>
    <row r="53" spans="1:10">
      <c r="A53" s="331">
        <v>43871</v>
      </c>
      <c r="B53" s="8">
        <v>10</v>
      </c>
      <c r="C53" s="494" t="s">
        <v>267</v>
      </c>
      <c r="D53" s="494" t="s">
        <v>148</v>
      </c>
      <c r="E53" s="8">
        <v>1</v>
      </c>
      <c r="F53" s="8">
        <v>24</v>
      </c>
      <c r="G53" s="494"/>
      <c r="H53" s="494"/>
      <c r="I53" s="494"/>
      <c r="J53" s="494"/>
    </row>
    <row r="54" spans="1:10">
      <c r="A54" s="331">
        <v>43871</v>
      </c>
      <c r="B54" s="8">
        <v>12</v>
      </c>
      <c r="C54" s="494" t="s">
        <v>270</v>
      </c>
      <c r="D54" s="494" t="s">
        <v>147</v>
      </c>
      <c r="E54" s="8">
        <v>1</v>
      </c>
      <c r="F54" s="8">
        <v>96</v>
      </c>
      <c r="G54" s="494"/>
      <c r="H54" s="494"/>
      <c r="I54" s="494"/>
      <c r="J54" s="494"/>
    </row>
    <row r="55" spans="1:10">
      <c r="A55" s="331">
        <v>43871</v>
      </c>
      <c r="B55" s="8">
        <v>13</v>
      </c>
      <c r="C55" s="494" t="s">
        <v>270</v>
      </c>
      <c r="D55" s="494" t="s">
        <v>148</v>
      </c>
      <c r="E55" s="8">
        <v>1</v>
      </c>
      <c r="F55" s="8">
        <v>24</v>
      </c>
      <c r="G55" s="494"/>
      <c r="H55" s="494"/>
      <c r="I55" s="494"/>
      <c r="J55" s="494"/>
    </row>
    <row r="56" spans="1:10">
      <c r="A56" s="331">
        <v>43871</v>
      </c>
      <c r="B56" s="8">
        <v>9</v>
      </c>
      <c r="C56" s="494" t="s">
        <v>268</v>
      </c>
      <c r="D56" s="494" t="s">
        <v>147</v>
      </c>
      <c r="E56" s="8">
        <v>1</v>
      </c>
      <c r="F56" s="8">
        <v>96</v>
      </c>
      <c r="G56" s="494"/>
      <c r="H56" s="494"/>
      <c r="I56" s="494"/>
      <c r="J56" s="494"/>
    </row>
    <row r="57" spans="1:10">
      <c r="A57" s="331">
        <v>43871</v>
      </c>
      <c r="B57" s="8">
        <v>11</v>
      </c>
      <c r="C57" s="494" t="s">
        <v>268</v>
      </c>
      <c r="D57" s="494" t="s">
        <v>148</v>
      </c>
      <c r="E57" s="8">
        <v>1</v>
      </c>
      <c r="F57" s="8">
        <v>24</v>
      </c>
      <c r="G57" s="494"/>
      <c r="H57" s="494"/>
      <c r="I57" s="494"/>
      <c r="J57" s="494"/>
    </row>
    <row r="58" spans="1:10">
      <c r="A58" s="331">
        <v>43872</v>
      </c>
      <c r="B58" s="8">
        <v>7</v>
      </c>
      <c r="C58" s="494" t="s">
        <v>267</v>
      </c>
      <c r="D58" s="494" t="s">
        <v>153</v>
      </c>
      <c r="E58" s="8">
        <v>1</v>
      </c>
      <c r="F58" s="8">
        <v>24</v>
      </c>
      <c r="G58" s="494"/>
      <c r="H58" s="494"/>
      <c r="I58" s="494"/>
      <c r="J58" s="494"/>
    </row>
    <row r="59" spans="1:10">
      <c r="A59" s="331">
        <v>43872</v>
      </c>
      <c r="B59" s="8">
        <v>9</v>
      </c>
      <c r="C59" s="494" t="s">
        <v>270</v>
      </c>
      <c r="D59" s="494" t="s">
        <v>153</v>
      </c>
      <c r="E59" s="8">
        <v>1</v>
      </c>
      <c r="F59" s="8">
        <v>24</v>
      </c>
      <c r="G59" s="494"/>
      <c r="H59" s="494"/>
      <c r="I59" s="494"/>
      <c r="J59" s="494"/>
    </row>
    <row r="60" spans="1:10">
      <c r="A60" s="331">
        <v>43872</v>
      </c>
      <c r="B60" s="8">
        <v>8</v>
      </c>
      <c r="C60" s="494" t="s">
        <v>268</v>
      </c>
      <c r="D60" s="494" t="s">
        <v>153</v>
      </c>
      <c r="E60" s="8">
        <v>1</v>
      </c>
      <c r="F60" s="8">
        <v>24</v>
      </c>
      <c r="G60" s="494"/>
      <c r="H60" s="494"/>
      <c r="I60" s="494"/>
      <c r="J60" s="494"/>
    </row>
    <row r="61" spans="1:10">
      <c r="A61" s="331">
        <v>43873</v>
      </c>
      <c r="B61" s="8">
        <v>8</v>
      </c>
      <c r="C61" s="494" t="s">
        <v>266</v>
      </c>
      <c r="D61" s="494" t="s">
        <v>148</v>
      </c>
      <c r="E61" s="8">
        <v>1</v>
      </c>
      <c r="F61" s="8">
        <v>24</v>
      </c>
      <c r="G61" s="494"/>
      <c r="H61" s="494"/>
      <c r="I61" s="494"/>
      <c r="J61" s="494"/>
    </row>
    <row r="62" spans="1:10">
      <c r="A62" s="331">
        <v>43873</v>
      </c>
      <c r="B62" s="8">
        <v>7</v>
      </c>
      <c r="C62" s="494" t="s">
        <v>261</v>
      </c>
      <c r="D62" s="494" t="s">
        <v>148</v>
      </c>
      <c r="E62" s="8">
        <v>5</v>
      </c>
      <c r="F62" s="8">
        <v>6</v>
      </c>
      <c r="G62" s="494"/>
      <c r="H62" s="494"/>
      <c r="I62" s="494"/>
      <c r="J62" s="494"/>
    </row>
    <row r="63" spans="1:10">
      <c r="A63" s="331">
        <v>43874</v>
      </c>
      <c r="B63" s="8">
        <v>7</v>
      </c>
      <c r="C63" s="494" t="s">
        <v>266</v>
      </c>
      <c r="D63" s="494" t="s">
        <v>153</v>
      </c>
      <c r="E63" s="8">
        <v>1</v>
      </c>
      <c r="F63" s="8">
        <v>24</v>
      </c>
      <c r="G63" s="494"/>
      <c r="H63" s="494"/>
      <c r="I63" s="494"/>
      <c r="J63" s="494"/>
    </row>
    <row r="64" spans="1:10">
      <c r="A64" s="331">
        <v>43874</v>
      </c>
      <c r="B64" s="8">
        <v>8</v>
      </c>
      <c r="C64" s="494" t="s">
        <v>268</v>
      </c>
      <c r="D64" s="494" t="s">
        <v>148</v>
      </c>
      <c r="E64" s="8">
        <v>1</v>
      </c>
      <c r="F64" s="8">
        <v>6</v>
      </c>
      <c r="G64" s="494"/>
      <c r="H64" s="494"/>
      <c r="I64" s="494"/>
      <c r="J64" s="494"/>
    </row>
    <row r="65" spans="1:10">
      <c r="A65" s="331">
        <v>43874</v>
      </c>
      <c r="B65" s="8">
        <v>9</v>
      </c>
      <c r="C65" s="494" t="s">
        <v>261</v>
      </c>
      <c r="D65" s="494" t="s">
        <v>154</v>
      </c>
      <c r="E65" s="8">
        <v>1</v>
      </c>
      <c r="F65" s="8">
        <v>96</v>
      </c>
      <c r="G65" s="494"/>
      <c r="H65" s="494" t="s">
        <v>263</v>
      </c>
      <c r="I65" s="494"/>
      <c r="J65" s="494"/>
    </row>
    <row r="66" spans="1:10">
      <c r="A66" s="331">
        <v>43874</v>
      </c>
      <c r="B66" s="8">
        <v>10</v>
      </c>
      <c r="C66" s="494" t="s">
        <v>261</v>
      </c>
      <c r="D66" s="494" t="s">
        <v>152</v>
      </c>
      <c r="E66" s="8"/>
      <c r="F66" s="8"/>
      <c r="G66" s="494" t="s">
        <v>262</v>
      </c>
      <c r="H66" s="494"/>
      <c r="I66" s="494"/>
      <c r="J66" s="494"/>
    </row>
    <row r="67" spans="1:10">
      <c r="A67" s="331">
        <v>43875</v>
      </c>
      <c r="B67" s="8">
        <v>9</v>
      </c>
      <c r="C67" s="494" t="s">
        <v>266</v>
      </c>
      <c r="D67" s="494" t="s">
        <v>148</v>
      </c>
      <c r="E67" s="8">
        <v>1</v>
      </c>
      <c r="F67" s="8">
        <v>6</v>
      </c>
      <c r="G67" s="494"/>
      <c r="H67" s="494"/>
      <c r="I67" s="494"/>
      <c r="J67" s="494"/>
    </row>
    <row r="68" spans="1:10">
      <c r="A68" s="331">
        <v>43875</v>
      </c>
      <c r="B68" s="8">
        <v>10</v>
      </c>
      <c r="C68" s="494" t="s">
        <v>267</v>
      </c>
      <c r="D68" s="494" t="s">
        <v>148</v>
      </c>
      <c r="E68" s="8">
        <v>1</v>
      </c>
      <c r="F68" s="8">
        <v>6</v>
      </c>
      <c r="G68" s="494"/>
      <c r="H68" s="494"/>
      <c r="I68" s="494"/>
      <c r="J68" s="494"/>
    </row>
    <row r="69" spans="1:10">
      <c r="A69" s="331">
        <v>43875</v>
      </c>
      <c r="B69" s="8">
        <v>8</v>
      </c>
      <c r="C69" s="494" t="s">
        <v>268</v>
      </c>
      <c r="D69" s="494" t="s">
        <v>153</v>
      </c>
      <c r="E69" s="8">
        <v>1</v>
      </c>
      <c r="F69" s="8">
        <v>6</v>
      </c>
      <c r="G69" s="494"/>
      <c r="H69" s="494"/>
      <c r="I69" s="494"/>
      <c r="J69" s="494"/>
    </row>
    <row r="70" spans="1:10">
      <c r="A70" s="331">
        <v>43875</v>
      </c>
      <c r="B70" s="8">
        <v>7</v>
      </c>
      <c r="C70" s="494" t="s">
        <v>264</v>
      </c>
      <c r="D70" s="494" t="s">
        <v>153</v>
      </c>
      <c r="E70" s="8">
        <v>1</v>
      </c>
      <c r="F70" s="8">
        <v>96</v>
      </c>
      <c r="G70" s="494"/>
      <c r="H70" s="494"/>
      <c r="I70" s="494"/>
      <c r="J70" s="494"/>
    </row>
    <row r="71" spans="1:10">
      <c r="A71" s="331">
        <v>43876</v>
      </c>
      <c r="B71" s="8">
        <v>8</v>
      </c>
      <c r="C71" s="494" t="s">
        <v>266</v>
      </c>
      <c r="D71" s="494" t="s">
        <v>153</v>
      </c>
      <c r="E71" s="8">
        <v>1</v>
      </c>
      <c r="F71" s="8">
        <v>6</v>
      </c>
      <c r="G71" s="494"/>
      <c r="H71" s="494"/>
      <c r="I71" s="494"/>
      <c r="J71" s="494"/>
    </row>
    <row r="72" spans="1:10">
      <c r="A72" s="331">
        <v>43876</v>
      </c>
      <c r="B72" s="8">
        <v>9</v>
      </c>
      <c r="C72" s="494" t="s">
        <v>267</v>
      </c>
      <c r="D72" s="494" t="s">
        <v>153</v>
      </c>
      <c r="E72" s="8">
        <v>1</v>
      </c>
      <c r="F72" s="8">
        <v>6</v>
      </c>
      <c r="G72" s="494"/>
      <c r="H72" s="494"/>
      <c r="I72" s="494"/>
      <c r="J72" s="494"/>
    </row>
    <row r="73" spans="1:10">
      <c r="A73" s="331">
        <v>43876</v>
      </c>
      <c r="B73" s="8">
        <v>7</v>
      </c>
      <c r="C73" s="494" t="s">
        <v>270</v>
      </c>
      <c r="D73" s="494"/>
      <c r="E73" s="8"/>
      <c r="F73" s="8"/>
      <c r="G73" s="494" t="s">
        <v>271</v>
      </c>
      <c r="H73" s="494"/>
      <c r="I73" s="494"/>
      <c r="J73" s="494"/>
    </row>
    <row r="74" spans="1:10">
      <c r="A74" s="331">
        <v>43877</v>
      </c>
      <c r="B74" s="8">
        <v>7</v>
      </c>
      <c r="C74" s="494" t="s">
        <v>267</v>
      </c>
      <c r="D74" s="494" t="s">
        <v>148</v>
      </c>
      <c r="E74" s="8">
        <v>5</v>
      </c>
      <c r="F74" s="8">
        <v>6</v>
      </c>
      <c r="G74" s="494"/>
      <c r="H74" s="494"/>
      <c r="I74" s="494"/>
      <c r="J74" s="494"/>
    </row>
    <row r="75" spans="1:10">
      <c r="A75" s="331">
        <v>43877</v>
      </c>
      <c r="B75" s="8">
        <v>8</v>
      </c>
      <c r="C75" s="494" t="s">
        <v>268</v>
      </c>
      <c r="D75" s="494" t="s">
        <v>148</v>
      </c>
      <c r="E75" s="8">
        <v>5</v>
      </c>
      <c r="F75" s="8">
        <v>6</v>
      </c>
      <c r="G75" s="494"/>
      <c r="H75" s="494"/>
      <c r="I75" s="494"/>
      <c r="J75" s="494"/>
    </row>
    <row r="76" spans="1:10">
      <c r="A76" s="331">
        <v>43878</v>
      </c>
      <c r="B76" s="8">
        <v>7</v>
      </c>
      <c r="C76" s="494" t="s">
        <v>267</v>
      </c>
      <c r="D76" s="494" t="s">
        <v>153</v>
      </c>
      <c r="E76" s="8">
        <v>5</v>
      </c>
      <c r="F76" s="8">
        <v>6</v>
      </c>
      <c r="G76" s="494"/>
      <c r="H76" s="494"/>
      <c r="I76" s="494"/>
      <c r="J76" s="494"/>
    </row>
    <row r="77" spans="1:10">
      <c r="A77" s="331">
        <v>43878</v>
      </c>
      <c r="B77" s="8">
        <v>8</v>
      </c>
      <c r="C77" s="494" t="s">
        <v>268</v>
      </c>
      <c r="D77" s="494" t="s">
        <v>153</v>
      </c>
      <c r="E77" s="8">
        <v>5</v>
      </c>
      <c r="F77" s="8">
        <v>6</v>
      </c>
      <c r="G77" s="494"/>
      <c r="H77" s="494"/>
      <c r="I77" s="494"/>
      <c r="J77" s="494"/>
    </row>
    <row r="78" spans="1:10">
      <c r="A78" s="331">
        <v>43879</v>
      </c>
      <c r="B78" s="8">
        <v>8</v>
      </c>
      <c r="C78" s="494" t="s">
        <v>266</v>
      </c>
      <c r="D78" s="494" t="s">
        <v>148</v>
      </c>
      <c r="E78" s="8">
        <v>5</v>
      </c>
      <c r="F78" s="8">
        <v>6</v>
      </c>
      <c r="G78" s="494"/>
      <c r="H78" s="494"/>
      <c r="I78" s="494"/>
      <c r="J78" s="494"/>
    </row>
    <row r="79" spans="1:10">
      <c r="A79" s="331">
        <v>43879</v>
      </c>
      <c r="B79" s="8">
        <v>7</v>
      </c>
      <c r="C79" s="494" t="s">
        <v>264</v>
      </c>
      <c r="D79" s="494" t="s">
        <v>147</v>
      </c>
      <c r="E79" s="8">
        <v>1</v>
      </c>
      <c r="F79" s="8">
        <v>96</v>
      </c>
      <c r="G79" s="494"/>
      <c r="H79" s="494"/>
      <c r="I79" s="494"/>
      <c r="J79" s="494"/>
    </row>
    <row r="80" spans="1:10">
      <c r="A80" s="331">
        <v>43880</v>
      </c>
      <c r="B80" s="8">
        <v>7</v>
      </c>
      <c r="C80" s="494" t="s">
        <v>266</v>
      </c>
      <c r="D80" s="494" t="s">
        <v>153</v>
      </c>
      <c r="E80" s="8">
        <v>5</v>
      </c>
      <c r="F80" s="8">
        <v>6</v>
      </c>
      <c r="G80" s="494"/>
      <c r="H80" s="494"/>
      <c r="I80" s="494"/>
      <c r="J80" s="494"/>
    </row>
    <row r="81" spans="1:10">
      <c r="A81" s="331">
        <v>43880</v>
      </c>
      <c r="B81" s="8">
        <v>8</v>
      </c>
      <c r="C81" s="494" t="s">
        <v>267</v>
      </c>
      <c r="D81" s="494" t="s">
        <v>154</v>
      </c>
      <c r="E81" s="8">
        <v>1</v>
      </c>
      <c r="F81" s="8">
        <v>96</v>
      </c>
      <c r="G81" s="494"/>
      <c r="H81" s="494" t="s">
        <v>263</v>
      </c>
      <c r="I81" s="494"/>
      <c r="J81" s="494"/>
    </row>
    <row r="82" spans="1:10">
      <c r="A82" s="331">
        <v>43880</v>
      </c>
      <c r="B82" s="8">
        <v>10</v>
      </c>
      <c r="C82" s="494" t="s">
        <v>267</v>
      </c>
      <c r="D82" s="494" t="s">
        <v>152</v>
      </c>
      <c r="E82" s="8"/>
      <c r="F82" s="8"/>
      <c r="G82" s="494" t="s">
        <v>272</v>
      </c>
      <c r="H82" s="494"/>
      <c r="I82" s="494"/>
      <c r="J82" s="494"/>
    </row>
    <row r="83" spans="1:10">
      <c r="A83" s="331">
        <v>43880</v>
      </c>
      <c r="B83" s="8">
        <v>9</v>
      </c>
      <c r="C83" s="494" t="s">
        <v>268</v>
      </c>
      <c r="D83" s="494" t="s">
        <v>154</v>
      </c>
      <c r="E83" s="8">
        <v>1</v>
      </c>
      <c r="F83" s="8">
        <v>96</v>
      </c>
      <c r="G83" s="494"/>
      <c r="H83" s="494" t="s">
        <v>263</v>
      </c>
      <c r="I83" s="494"/>
      <c r="J83" s="494"/>
    </row>
    <row r="84" spans="1:10">
      <c r="A84" s="331">
        <v>43880</v>
      </c>
      <c r="B84" s="8">
        <v>11</v>
      </c>
      <c r="C84" s="494" t="s">
        <v>268</v>
      </c>
      <c r="D84" s="494" t="s">
        <v>152</v>
      </c>
      <c r="E84" s="8"/>
      <c r="F84" s="8"/>
      <c r="G84" s="494" t="s">
        <v>272</v>
      </c>
      <c r="H84" s="494"/>
      <c r="I84" s="494"/>
      <c r="J84" s="494"/>
    </row>
    <row r="85" spans="1:10">
      <c r="A85" s="331">
        <v>43881</v>
      </c>
      <c r="B85" s="8">
        <v>9</v>
      </c>
      <c r="C85" s="494" t="s">
        <v>273</v>
      </c>
      <c r="D85" s="494" t="s">
        <v>153</v>
      </c>
      <c r="E85" s="8">
        <v>1</v>
      </c>
      <c r="F85" s="8">
        <v>96</v>
      </c>
      <c r="G85" s="494"/>
      <c r="H85" s="494"/>
      <c r="I85" s="494"/>
      <c r="J85" s="494"/>
    </row>
    <row r="86" spans="1:10">
      <c r="A86" s="331">
        <v>43881</v>
      </c>
      <c r="B86" s="8">
        <v>8</v>
      </c>
      <c r="C86" s="494" t="s">
        <v>274</v>
      </c>
      <c r="D86" s="494" t="s">
        <v>153</v>
      </c>
      <c r="E86" s="8">
        <v>1</v>
      </c>
      <c r="F86" s="8">
        <v>96</v>
      </c>
      <c r="G86" s="494"/>
      <c r="H86" s="494"/>
      <c r="I86" s="494"/>
      <c r="J86" s="494"/>
    </row>
    <row r="87" spans="1:10">
      <c r="A87" s="331">
        <v>43882</v>
      </c>
      <c r="B87" s="8">
        <v>9</v>
      </c>
      <c r="C87" s="494" t="s">
        <v>266</v>
      </c>
      <c r="D87" s="494" t="s">
        <v>154</v>
      </c>
      <c r="E87" s="8">
        <v>1</v>
      </c>
      <c r="F87" s="8">
        <v>96</v>
      </c>
      <c r="G87" s="494"/>
      <c r="H87" s="494" t="s">
        <v>263</v>
      </c>
      <c r="I87" s="494"/>
      <c r="J87" s="494"/>
    </row>
    <row r="88" spans="1:10">
      <c r="A88" s="331">
        <v>43882</v>
      </c>
      <c r="B88" s="8">
        <v>10</v>
      </c>
      <c r="C88" s="494" t="s">
        <v>266</v>
      </c>
      <c r="D88" s="494" t="s">
        <v>152</v>
      </c>
      <c r="E88" s="8"/>
      <c r="F88" s="8"/>
      <c r="G88" s="494" t="s">
        <v>272</v>
      </c>
      <c r="H88" s="494"/>
      <c r="I88" s="494"/>
      <c r="J88" s="494"/>
    </row>
    <row r="89" spans="1:10">
      <c r="A89" s="331">
        <v>43882</v>
      </c>
      <c r="B89" s="8">
        <v>11</v>
      </c>
      <c r="C89" s="494" t="s">
        <v>273</v>
      </c>
      <c r="D89" s="494" t="s">
        <v>147</v>
      </c>
      <c r="E89" s="8">
        <v>1</v>
      </c>
      <c r="F89" s="8">
        <v>96</v>
      </c>
      <c r="G89" s="494"/>
      <c r="H89" s="494"/>
      <c r="I89" s="494"/>
      <c r="J89" s="494"/>
    </row>
    <row r="90" spans="1:10">
      <c r="A90" s="331">
        <v>43882</v>
      </c>
      <c r="B90" s="8">
        <v>8</v>
      </c>
      <c r="C90" s="494" t="s">
        <v>264</v>
      </c>
      <c r="D90" s="494" t="s">
        <v>147</v>
      </c>
      <c r="E90" s="8">
        <v>1</v>
      </c>
      <c r="F90" s="8">
        <v>96</v>
      </c>
      <c r="G90" s="494"/>
      <c r="H90" s="494"/>
      <c r="I90" s="494"/>
      <c r="J90" s="494"/>
    </row>
    <row r="91" spans="1:10">
      <c r="A91" s="331">
        <v>43884</v>
      </c>
      <c r="B91" s="8">
        <v>7</v>
      </c>
      <c r="C91" s="494" t="s">
        <v>275</v>
      </c>
      <c r="D91" s="494" t="s">
        <v>147</v>
      </c>
      <c r="E91" s="8">
        <v>1</v>
      </c>
      <c r="F91" s="8">
        <v>96</v>
      </c>
      <c r="G91" s="494" t="s">
        <v>277</v>
      </c>
      <c r="H91" s="494"/>
      <c r="I91" s="494"/>
      <c r="J91" s="494"/>
    </row>
    <row r="92" spans="1:10">
      <c r="A92" s="331">
        <v>43884</v>
      </c>
      <c r="B92" s="8">
        <v>16</v>
      </c>
      <c r="C92" s="494" t="s">
        <v>275</v>
      </c>
      <c r="D92" s="494" t="s">
        <v>417</v>
      </c>
      <c r="E92" s="8"/>
      <c r="F92" s="8"/>
      <c r="G92" s="494" t="s">
        <v>435</v>
      </c>
      <c r="H92" s="494"/>
      <c r="I92" s="494"/>
      <c r="J92" s="494"/>
    </row>
    <row r="93" spans="1:10">
      <c r="A93" s="331">
        <v>43884</v>
      </c>
      <c r="B93" s="8">
        <v>8</v>
      </c>
      <c r="C93" s="494" t="s">
        <v>273</v>
      </c>
      <c r="D93" s="494" t="s">
        <v>147</v>
      </c>
      <c r="E93" s="8">
        <v>1</v>
      </c>
      <c r="F93" s="8">
        <v>96</v>
      </c>
      <c r="G93" s="494" t="s">
        <v>277</v>
      </c>
      <c r="H93" s="494"/>
      <c r="I93" s="494"/>
      <c r="J93" s="494"/>
    </row>
    <row r="94" spans="1:10">
      <c r="A94" s="331">
        <v>43884</v>
      </c>
      <c r="B94" s="8">
        <v>17</v>
      </c>
      <c r="C94" s="494" t="s">
        <v>273</v>
      </c>
      <c r="D94" s="494" t="s">
        <v>417</v>
      </c>
      <c r="E94" s="8"/>
      <c r="F94" s="8"/>
      <c r="G94" s="494" t="s">
        <v>435</v>
      </c>
      <c r="H94" s="494"/>
      <c r="I94" s="494"/>
      <c r="J94" s="494"/>
    </row>
    <row r="95" spans="1:10">
      <c r="A95" s="331">
        <v>43884</v>
      </c>
      <c r="B95" s="8">
        <v>18</v>
      </c>
      <c r="C95" s="494" t="s">
        <v>270</v>
      </c>
      <c r="D95" s="494" t="s">
        <v>417</v>
      </c>
      <c r="E95" s="8"/>
      <c r="F95" s="8"/>
      <c r="G95" s="494" t="s">
        <v>436</v>
      </c>
      <c r="H95" s="494"/>
      <c r="I95" s="494"/>
      <c r="J95" s="494"/>
    </row>
    <row r="96" spans="1:10">
      <c r="A96" s="331">
        <v>43884</v>
      </c>
      <c r="B96" s="8">
        <v>9</v>
      </c>
      <c r="C96" s="494" t="s">
        <v>274</v>
      </c>
      <c r="D96" s="494" t="s">
        <v>147</v>
      </c>
      <c r="E96" s="8">
        <v>1</v>
      </c>
      <c r="F96" s="8">
        <v>96</v>
      </c>
      <c r="G96" s="494"/>
      <c r="H96" s="494"/>
      <c r="I96" s="494"/>
      <c r="J96" s="494"/>
    </row>
    <row r="97" spans="1:10">
      <c r="A97" s="331">
        <v>43884</v>
      </c>
      <c r="B97" s="8">
        <v>10</v>
      </c>
      <c r="C97" s="494" t="s">
        <v>264</v>
      </c>
      <c r="D97" s="494" t="s">
        <v>148</v>
      </c>
      <c r="E97" s="8">
        <v>1</v>
      </c>
      <c r="F97" s="8">
        <v>12</v>
      </c>
      <c r="G97" s="494"/>
      <c r="H97" s="494"/>
      <c r="I97" s="494"/>
      <c r="J97" s="494"/>
    </row>
    <row r="98" spans="1:10">
      <c r="A98" s="331">
        <v>43885</v>
      </c>
      <c r="B98" s="8">
        <v>9</v>
      </c>
      <c r="C98" s="494" t="s">
        <v>274</v>
      </c>
      <c r="D98" s="494" t="s">
        <v>148</v>
      </c>
      <c r="E98" s="8">
        <v>1</v>
      </c>
      <c r="F98" s="8">
        <v>12</v>
      </c>
      <c r="G98" s="494"/>
      <c r="H98" s="494"/>
      <c r="I98" s="494"/>
      <c r="J98" s="494"/>
    </row>
    <row r="99" spans="1:10">
      <c r="A99" s="331">
        <v>43885</v>
      </c>
      <c r="B99" s="8">
        <v>8</v>
      </c>
      <c r="C99" s="494" t="s">
        <v>264</v>
      </c>
      <c r="D99" s="494" t="s">
        <v>153</v>
      </c>
      <c r="E99" s="8">
        <v>1</v>
      </c>
      <c r="F99" s="8">
        <v>12</v>
      </c>
      <c r="G99" s="494" t="s">
        <v>278</v>
      </c>
      <c r="H99" s="494"/>
      <c r="I99" s="494"/>
      <c r="J99" s="494"/>
    </row>
    <row r="100" spans="1:10">
      <c r="A100" s="331">
        <v>43886</v>
      </c>
      <c r="B100" s="8">
        <v>7</v>
      </c>
      <c r="C100" s="494" t="s">
        <v>274</v>
      </c>
      <c r="D100" s="494" t="s">
        <v>153</v>
      </c>
      <c r="E100" s="8">
        <v>1</v>
      </c>
      <c r="F100" s="8">
        <v>12</v>
      </c>
      <c r="G100" s="494"/>
      <c r="H100" s="494"/>
      <c r="I100" s="494"/>
      <c r="J100" s="494"/>
    </row>
    <row r="101" spans="1:10">
      <c r="A101" s="331">
        <v>43887</v>
      </c>
      <c r="B101" s="8">
        <v>7</v>
      </c>
      <c r="C101" s="494" t="s">
        <v>264</v>
      </c>
      <c r="D101" s="494" t="s">
        <v>148</v>
      </c>
      <c r="E101" s="8">
        <v>1</v>
      </c>
      <c r="F101" s="8">
        <v>6</v>
      </c>
      <c r="G101" s="494" t="s">
        <v>279</v>
      </c>
      <c r="H101" s="494"/>
      <c r="I101" s="494"/>
      <c r="J101" s="494"/>
    </row>
    <row r="102" spans="1:10">
      <c r="A102" s="331">
        <v>43888</v>
      </c>
      <c r="B102" s="8">
        <v>8</v>
      </c>
      <c r="C102" s="494" t="s">
        <v>264</v>
      </c>
      <c r="D102" s="494" t="s">
        <v>153</v>
      </c>
      <c r="E102" s="8">
        <v>1</v>
      </c>
      <c r="F102" s="8">
        <v>6</v>
      </c>
      <c r="G102" s="494"/>
      <c r="H102" s="494"/>
      <c r="I102" s="494"/>
      <c r="J102" s="494"/>
    </row>
    <row r="103" spans="1:10">
      <c r="A103" s="331">
        <v>43889</v>
      </c>
      <c r="B103" s="8">
        <v>9</v>
      </c>
      <c r="C103" s="494" t="s">
        <v>274</v>
      </c>
      <c r="D103" s="494" t="s">
        <v>148</v>
      </c>
      <c r="E103" s="8">
        <v>1</v>
      </c>
      <c r="F103" s="8">
        <v>6</v>
      </c>
      <c r="G103" s="494"/>
      <c r="H103" s="494"/>
      <c r="I103" s="494"/>
      <c r="J103" s="494"/>
    </row>
    <row r="104" spans="1:10">
      <c r="A104" s="331">
        <v>43889</v>
      </c>
      <c r="B104" s="8">
        <v>8</v>
      </c>
      <c r="C104" s="494" t="s">
        <v>264</v>
      </c>
      <c r="D104" s="494" t="s">
        <v>148</v>
      </c>
      <c r="E104" s="8">
        <v>5</v>
      </c>
      <c r="F104" s="8">
        <v>6</v>
      </c>
      <c r="G104" s="494" t="s">
        <v>265</v>
      </c>
      <c r="H104" s="494"/>
      <c r="I104" s="494"/>
      <c r="J104" s="494"/>
    </row>
    <row r="105" spans="1:10">
      <c r="A105" s="331">
        <v>43890</v>
      </c>
      <c r="B105" s="8">
        <v>9</v>
      </c>
      <c r="C105" s="494" t="s">
        <v>274</v>
      </c>
      <c r="D105" s="494" t="s">
        <v>153</v>
      </c>
      <c r="E105" s="8">
        <v>1</v>
      </c>
      <c r="F105" s="8">
        <v>6</v>
      </c>
      <c r="G105" s="494"/>
      <c r="H105" s="494"/>
      <c r="I105" s="494"/>
      <c r="J105" s="494"/>
    </row>
    <row r="106" spans="1:10">
      <c r="A106" s="331">
        <v>43890</v>
      </c>
      <c r="B106" s="8">
        <v>8</v>
      </c>
      <c r="C106" s="494" t="s">
        <v>264</v>
      </c>
      <c r="D106" s="494" t="s">
        <v>153</v>
      </c>
      <c r="E106" s="8">
        <v>5</v>
      </c>
      <c r="F106" s="8">
        <v>6</v>
      </c>
      <c r="G106" s="494"/>
      <c r="H106" s="494"/>
      <c r="I106" s="494"/>
      <c r="J106" s="494"/>
    </row>
    <row r="107" spans="1:10">
      <c r="A107" s="331">
        <v>43892</v>
      </c>
      <c r="B107" s="8">
        <v>7</v>
      </c>
      <c r="C107" s="494" t="s">
        <v>274</v>
      </c>
      <c r="D107" s="494" t="s">
        <v>153</v>
      </c>
      <c r="E107" s="8">
        <v>5</v>
      </c>
      <c r="F107" s="8">
        <v>6</v>
      </c>
      <c r="G107" s="494"/>
      <c r="H107" s="494"/>
      <c r="I107" s="494"/>
      <c r="J107" s="494"/>
    </row>
    <row r="108" spans="1:10">
      <c r="A108" s="331">
        <v>43894</v>
      </c>
      <c r="B108" s="8">
        <v>7</v>
      </c>
      <c r="C108" s="494" t="s">
        <v>264</v>
      </c>
      <c r="D108" s="494" t="s">
        <v>152</v>
      </c>
      <c r="E108" s="8"/>
      <c r="F108" s="8"/>
      <c r="G108" s="494" t="s">
        <v>262</v>
      </c>
      <c r="H108" s="494"/>
      <c r="I108" s="494"/>
      <c r="J108" s="494"/>
    </row>
    <row r="109" spans="1:10">
      <c r="A109" s="331">
        <v>43899</v>
      </c>
      <c r="B109" s="8">
        <v>7</v>
      </c>
      <c r="C109" s="494" t="s">
        <v>274</v>
      </c>
      <c r="D109" s="494" t="s">
        <v>152</v>
      </c>
      <c r="E109" s="8"/>
      <c r="F109" s="8"/>
      <c r="G109" s="494" t="s">
        <v>262</v>
      </c>
      <c r="H109" s="494"/>
      <c r="I109" s="494"/>
      <c r="J109" s="494"/>
    </row>
    <row r="110" spans="1:10">
      <c r="A110" s="331">
        <v>44061</v>
      </c>
      <c r="B110" s="8">
        <v>7</v>
      </c>
      <c r="C110" s="494" t="s">
        <v>274</v>
      </c>
      <c r="D110" s="494" t="s">
        <v>146</v>
      </c>
      <c r="E110" s="8">
        <v>1</v>
      </c>
      <c r="F110" s="8">
        <v>6</v>
      </c>
      <c r="G110" s="494" t="s">
        <v>313</v>
      </c>
      <c r="H110" s="494"/>
      <c r="I110" s="494"/>
      <c r="J110" s="494"/>
    </row>
    <row r="111" spans="1:10">
      <c r="A111" s="331">
        <v>44061</v>
      </c>
      <c r="B111" s="8">
        <v>8</v>
      </c>
      <c r="C111" s="494" t="s">
        <v>264</v>
      </c>
      <c r="D111" s="494" t="s">
        <v>146</v>
      </c>
      <c r="E111" s="8">
        <v>1</v>
      </c>
      <c r="F111" s="8">
        <v>6</v>
      </c>
      <c r="G111" s="494" t="s">
        <v>313</v>
      </c>
      <c r="H111" s="494"/>
      <c r="I111" s="494"/>
      <c r="J111" s="494"/>
    </row>
    <row r="112" spans="1:10">
      <c r="A112" s="331">
        <v>44062</v>
      </c>
      <c r="B112" s="8">
        <v>7</v>
      </c>
      <c r="C112" s="494" t="s">
        <v>274</v>
      </c>
      <c r="D112" s="494" t="s">
        <v>338</v>
      </c>
      <c r="E112" s="8">
        <v>1</v>
      </c>
      <c r="F112" s="8">
        <v>6</v>
      </c>
      <c r="G112" s="494"/>
      <c r="H112" s="494"/>
      <c r="I112" s="494"/>
      <c r="J112" s="494"/>
    </row>
    <row r="113" spans="1:10">
      <c r="A113" s="331">
        <v>44062</v>
      </c>
      <c r="B113" s="8">
        <v>8</v>
      </c>
      <c r="C113" s="494" t="s">
        <v>264</v>
      </c>
      <c r="D113" s="494" t="s">
        <v>338</v>
      </c>
      <c r="E113" s="8">
        <v>1</v>
      </c>
      <c r="F113" s="8">
        <v>6</v>
      </c>
      <c r="G113" s="494"/>
      <c r="H113" s="494"/>
      <c r="I113" s="494"/>
      <c r="J113" s="494"/>
    </row>
    <row r="114" spans="1:10">
      <c r="A114" s="331">
        <v>44064</v>
      </c>
      <c r="B114" s="8">
        <v>7</v>
      </c>
      <c r="C114" s="494" t="s">
        <v>274</v>
      </c>
      <c r="D114" s="494" t="s">
        <v>147</v>
      </c>
      <c r="E114" s="8">
        <v>1</v>
      </c>
      <c r="F114" s="8">
        <v>6</v>
      </c>
      <c r="G114" s="494" t="s">
        <v>314</v>
      </c>
      <c r="H114" s="494"/>
      <c r="I114" s="494"/>
      <c r="J114" s="494"/>
    </row>
    <row r="115" spans="1:10">
      <c r="A115" s="331">
        <v>44064</v>
      </c>
      <c r="B115" s="8">
        <v>9</v>
      </c>
      <c r="C115" s="494" t="s">
        <v>274</v>
      </c>
      <c r="D115" s="494" t="s">
        <v>348</v>
      </c>
      <c r="E115" s="8"/>
      <c r="F115" s="8"/>
      <c r="G115" s="494"/>
      <c r="H115" s="494"/>
      <c r="I115" s="494"/>
      <c r="J115" s="494"/>
    </row>
    <row r="116" spans="1:10">
      <c r="A116" s="331">
        <v>44064</v>
      </c>
      <c r="B116" s="8">
        <v>8</v>
      </c>
      <c r="C116" s="494" t="s">
        <v>264</v>
      </c>
      <c r="D116" s="494" t="s">
        <v>147</v>
      </c>
      <c r="E116" s="8">
        <v>1</v>
      </c>
      <c r="F116" s="8">
        <v>6</v>
      </c>
      <c r="G116" s="494" t="s">
        <v>314</v>
      </c>
      <c r="H116" s="494"/>
      <c r="I116" s="494"/>
      <c r="J116" s="494"/>
    </row>
    <row r="117" spans="1:10">
      <c r="A117" s="331">
        <v>44064</v>
      </c>
      <c r="B117" s="8">
        <v>10</v>
      </c>
      <c r="C117" s="494" t="s">
        <v>264</v>
      </c>
      <c r="D117" s="494" t="s">
        <v>348</v>
      </c>
      <c r="E117" s="8"/>
      <c r="F117" s="8"/>
      <c r="G117" s="494"/>
      <c r="H117" s="494"/>
      <c r="I117" s="494"/>
      <c r="J117" s="494"/>
    </row>
    <row r="118" spans="1:10">
      <c r="A118" s="331">
        <v>44065</v>
      </c>
      <c r="B118" s="8">
        <v>7</v>
      </c>
      <c r="C118" s="494" t="s">
        <v>274</v>
      </c>
      <c r="D118" s="494" t="s">
        <v>148</v>
      </c>
      <c r="E118" s="8">
        <v>1</v>
      </c>
      <c r="F118" s="8">
        <v>6</v>
      </c>
      <c r="G118" s="494" t="s">
        <v>315</v>
      </c>
      <c r="H118" s="494"/>
      <c r="I118" s="494"/>
      <c r="J118" s="494"/>
    </row>
    <row r="119" spans="1:10">
      <c r="A119" s="331">
        <v>44065</v>
      </c>
      <c r="B119" s="8">
        <v>8</v>
      </c>
      <c r="C119" s="494" t="s">
        <v>264</v>
      </c>
      <c r="D119" s="494" t="s">
        <v>348</v>
      </c>
      <c r="E119" s="8"/>
      <c r="F119" s="8"/>
      <c r="G119" s="494"/>
      <c r="H119" s="494"/>
      <c r="I119" s="494"/>
      <c r="J119" s="494"/>
    </row>
    <row r="120" spans="1:10">
      <c r="A120" s="331">
        <v>44066</v>
      </c>
      <c r="B120" s="8">
        <v>7</v>
      </c>
      <c r="C120" s="494" t="s">
        <v>274</v>
      </c>
      <c r="D120" s="494" t="s">
        <v>338</v>
      </c>
      <c r="E120" s="8">
        <v>1</v>
      </c>
      <c r="F120" s="8">
        <v>6</v>
      </c>
      <c r="G120" s="494"/>
      <c r="H120" s="494"/>
      <c r="I120" s="494"/>
      <c r="J120" s="494"/>
    </row>
    <row r="121" spans="1:10">
      <c r="A121" s="331">
        <v>44066</v>
      </c>
      <c r="B121" s="8">
        <v>8</v>
      </c>
      <c r="C121" s="494" t="s">
        <v>264</v>
      </c>
      <c r="D121" s="494" t="s">
        <v>148</v>
      </c>
      <c r="E121" s="8">
        <v>1</v>
      </c>
      <c r="F121" s="8">
        <v>6</v>
      </c>
      <c r="G121" s="494" t="s">
        <v>316</v>
      </c>
      <c r="H121" s="494"/>
      <c r="I121" s="494"/>
      <c r="J121" s="494"/>
    </row>
    <row r="122" spans="1:10">
      <c r="A122" s="331">
        <v>44067</v>
      </c>
      <c r="B122" s="8">
        <v>7</v>
      </c>
      <c r="C122" s="494" t="s">
        <v>274</v>
      </c>
      <c r="D122" s="494" t="s">
        <v>348</v>
      </c>
      <c r="E122" s="8"/>
      <c r="F122" s="8"/>
      <c r="G122" s="494"/>
      <c r="H122" s="494"/>
      <c r="I122" s="494"/>
      <c r="J122" s="494"/>
    </row>
    <row r="123" spans="1:10">
      <c r="A123" s="331">
        <v>44067</v>
      </c>
      <c r="B123" s="8">
        <v>8</v>
      </c>
      <c r="C123" s="494" t="s">
        <v>264</v>
      </c>
      <c r="D123" s="494" t="s">
        <v>338</v>
      </c>
      <c r="E123" s="8"/>
      <c r="F123" s="8"/>
      <c r="G123" s="494"/>
      <c r="H123" s="494"/>
      <c r="I123" s="494"/>
      <c r="J123" s="494"/>
    </row>
    <row r="124" spans="1:10">
      <c r="A124" s="331">
        <v>44068</v>
      </c>
      <c r="B124" s="8">
        <v>7</v>
      </c>
      <c r="C124" s="494" t="s">
        <v>274</v>
      </c>
      <c r="D124" s="494" t="s">
        <v>148</v>
      </c>
      <c r="E124" s="8">
        <v>1</v>
      </c>
      <c r="F124" s="8">
        <v>6</v>
      </c>
      <c r="G124" s="494" t="s">
        <v>319</v>
      </c>
      <c r="H124" s="494"/>
      <c r="I124" s="494"/>
      <c r="J124" s="494"/>
    </row>
    <row r="125" spans="1:10">
      <c r="A125" s="331">
        <v>44068</v>
      </c>
      <c r="B125" s="8">
        <v>9</v>
      </c>
      <c r="C125" s="494" t="s">
        <v>274</v>
      </c>
      <c r="D125" s="494" t="s">
        <v>154</v>
      </c>
      <c r="E125" s="8">
        <v>1</v>
      </c>
      <c r="F125" s="8">
        <v>96</v>
      </c>
      <c r="G125" s="494" t="s">
        <v>358</v>
      </c>
      <c r="H125" s="494" t="s">
        <v>317</v>
      </c>
      <c r="I125" s="494"/>
      <c r="J125" s="494"/>
    </row>
    <row r="126" spans="1:10">
      <c r="A126" s="331">
        <v>44068</v>
      </c>
      <c r="B126" s="8">
        <v>8</v>
      </c>
      <c r="C126" s="494" t="s">
        <v>264</v>
      </c>
      <c r="D126" s="494" t="s">
        <v>348</v>
      </c>
      <c r="E126" s="8"/>
      <c r="F126" s="8"/>
      <c r="G126" s="494"/>
      <c r="H126" s="494"/>
      <c r="I126" s="494"/>
      <c r="J126" s="494"/>
    </row>
    <row r="127" spans="1:10">
      <c r="A127" s="331">
        <v>44069</v>
      </c>
      <c r="B127" s="8">
        <v>8</v>
      </c>
      <c r="C127" s="494" t="s">
        <v>274</v>
      </c>
      <c r="D127" s="494" t="s">
        <v>338</v>
      </c>
      <c r="E127" s="8">
        <v>1</v>
      </c>
      <c r="F127" s="8">
        <v>6</v>
      </c>
      <c r="G127" s="494"/>
      <c r="H127" s="494"/>
      <c r="I127" s="494"/>
      <c r="J127" s="494"/>
    </row>
    <row r="128" spans="1:10">
      <c r="A128" s="331">
        <v>44069</v>
      </c>
      <c r="B128" s="8">
        <v>7</v>
      </c>
      <c r="C128" s="494" t="s">
        <v>318</v>
      </c>
      <c r="D128" s="494" t="s">
        <v>338</v>
      </c>
      <c r="E128" s="8">
        <v>1</v>
      </c>
      <c r="F128" s="8">
        <v>96</v>
      </c>
      <c r="G128" s="494" t="s">
        <v>359</v>
      </c>
      <c r="H128" s="494"/>
      <c r="I128" s="494"/>
      <c r="J128" s="494"/>
    </row>
    <row r="129" spans="1:10">
      <c r="A129" s="331">
        <v>44069</v>
      </c>
      <c r="B129" s="8">
        <v>9</v>
      </c>
      <c r="C129" s="494" t="s">
        <v>264</v>
      </c>
      <c r="D129" s="494" t="s">
        <v>148</v>
      </c>
      <c r="E129" s="8">
        <v>1</v>
      </c>
      <c r="F129" s="8">
        <v>6</v>
      </c>
      <c r="G129" s="494" t="s">
        <v>319</v>
      </c>
      <c r="H129" s="494"/>
      <c r="I129" s="494"/>
      <c r="J129" s="494"/>
    </row>
    <row r="130" spans="1:10">
      <c r="A130" s="331">
        <v>44069</v>
      </c>
      <c r="B130" s="8">
        <v>10</v>
      </c>
      <c r="C130" s="494" t="s">
        <v>264</v>
      </c>
      <c r="D130" s="494" t="s">
        <v>154</v>
      </c>
      <c r="E130" s="8">
        <v>1</v>
      </c>
      <c r="F130" s="8">
        <v>96</v>
      </c>
      <c r="G130" s="494" t="s">
        <v>360</v>
      </c>
      <c r="H130" s="494" t="s">
        <v>317</v>
      </c>
      <c r="I130" s="494"/>
      <c r="J130" s="494"/>
    </row>
    <row r="131" spans="1:10">
      <c r="A131" s="331">
        <v>44070</v>
      </c>
      <c r="B131" s="8">
        <v>7</v>
      </c>
      <c r="C131" s="494" t="s">
        <v>274</v>
      </c>
      <c r="D131" s="494" t="s">
        <v>348</v>
      </c>
      <c r="E131" s="8">
        <v>1</v>
      </c>
      <c r="F131" s="8">
        <v>6</v>
      </c>
      <c r="G131" s="494"/>
      <c r="H131" s="494"/>
      <c r="I131" s="494"/>
      <c r="J131" s="494"/>
    </row>
    <row r="132" spans="1:10">
      <c r="A132" s="331">
        <v>44070</v>
      </c>
      <c r="B132" s="8">
        <v>10</v>
      </c>
      <c r="C132" s="494" t="s">
        <v>318</v>
      </c>
      <c r="D132" s="494" t="s">
        <v>338</v>
      </c>
      <c r="E132" s="8">
        <v>1</v>
      </c>
      <c r="F132" s="8">
        <v>96</v>
      </c>
      <c r="G132" s="494"/>
      <c r="H132" s="494"/>
      <c r="I132" s="494"/>
      <c r="J132" s="494"/>
    </row>
    <row r="133" spans="1:10">
      <c r="A133" s="331">
        <v>44070</v>
      </c>
      <c r="B133" s="8">
        <v>12</v>
      </c>
      <c r="C133" s="494" t="s">
        <v>318</v>
      </c>
      <c r="D133" s="494" t="s">
        <v>147</v>
      </c>
      <c r="E133" s="8">
        <v>1</v>
      </c>
      <c r="F133" s="8">
        <v>96</v>
      </c>
      <c r="G133" s="494"/>
      <c r="H133" s="494"/>
      <c r="I133" s="494"/>
      <c r="J133" s="494"/>
    </row>
    <row r="134" spans="1:10">
      <c r="A134" s="331">
        <v>44070</v>
      </c>
      <c r="B134" s="8">
        <v>9</v>
      </c>
      <c r="C134" s="494" t="s">
        <v>264</v>
      </c>
      <c r="D134" s="494" t="s">
        <v>338</v>
      </c>
      <c r="E134" s="8">
        <v>1</v>
      </c>
      <c r="F134" s="8">
        <v>6</v>
      </c>
      <c r="G134" s="494"/>
      <c r="H134" s="494"/>
      <c r="I134" s="494"/>
      <c r="J134" s="494"/>
    </row>
    <row r="135" spans="1:10">
      <c r="A135" s="331">
        <v>44070</v>
      </c>
      <c r="B135" s="8">
        <v>8</v>
      </c>
      <c r="C135" s="494" t="s">
        <v>321</v>
      </c>
      <c r="D135" s="494" t="s">
        <v>338</v>
      </c>
      <c r="E135" s="8">
        <v>1</v>
      </c>
      <c r="F135" s="8">
        <v>96</v>
      </c>
      <c r="G135" s="494"/>
      <c r="H135" s="494"/>
      <c r="I135" s="494"/>
      <c r="J135" s="494"/>
    </row>
    <row r="136" spans="1:10">
      <c r="A136" s="331">
        <v>44071</v>
      </c>
      <c r="B136" s="8">
        <v>9</v>
      </c>
      <c r="C136" s="494" t="s">
        <v>274</v>
      </c>
      <c r="D136" s="494" t="s">
        <v>348</v>
      </c>
      <c r="E136" s="8">
        <v>1</v>
      </c>
      <c r="F136" s="8">
        <v>6</v>
      </c>
      <c r="G136" s="494"/>
      <c r="H136" s="494"/>
      <c r="I136" s="494"/>
      <c r="J136" s="494"/>
    </row>
    <row r="137" spans="1:10">
      <c r="A137" s="331">
        <v>44071</v>
      </c>
      <c r="B137" s="8">
        <v>8</v>
      </c>
      <c r="C137" s="494" t="s">
        <v>318</v>
      </c>
      <c r="D137" s="494" t="s">
        <v>348</v>
      </c>
      <c r="E137" s="8">
        <v>1</v>
      </c>
      <c r="F137" s="8">
        <v>96</v>
      </c>
      <c r="G137" s="494"/>
      <c r="H137" s="494"/>
      <c r="I137" s="494"/>
      <c r="J137" s="494"/>
    </row>
    <row r="138" spans="1:10">
      <c r="A138" s="331">
        <v>44071</v>
      </c>
      <c r="B138" s="8">
        <v>10</v>
      </c>
      <c r="C138" s="494" t="s">
        <v>264</v>
      </c>
      <c r="D138" s="494" t="s">
        <v>348</v>
      </c>
      <c r="E138" s="8">
        <v>1</v>
      </c>
      <c r="F138" s="8">
        <v>6</v>
      </c>
      <c r="G138" s="494"/>
      <c r="H138" s="494"/>
      <c r="I138" s="494"/>
      <c r="J138" s="494"/>
    </row>
    <row r="139" spans="1:10">
      <c r="A139" s="331">
        <v>44071</v>
      </c>
      <c r="B139" s="8">
        <v>11</v>
      </c>
      <c r="C139" s="494" t="s">
        <v>321</v>
      </c>
      <c r="D139" s="494" t="s">
        <v>338</v>
      </c>
      <c r="E139" s="8">
        <v>1</v>
      </c>
      <c r="F139" s="8">
        <v>96</v>
      </c>
      <c r="G139" s="494" t="s">
        <v>322</v>
      </c>
      <c r="H139" s="494"/>
      <c r="I139" s="494"/>
      <c r="J139" s="494"/>
    </row>
    <row r="140" spans="1:10">
      <c r="A140" s="331">
        <v>44072</v>
      </c>
      <c r="B140" s="8">
        <v>10</v>
      </c>
      <c r="C140" s="494" t="s">
        <v>274</v>
      </c>
      <c r="D140" s="494" t="s">
        <v>348</v>
      </c>
      <c r="E140" s="8">
        <v>1</v>
      </c>
      <c r="F140" s="8">
        <v>6</v>
      </c>
      <c r="G140" s="494"/>
      <c r="H140" s="494"/>
      <c r="I140" s="494"/>
      <c r="J140" s="494"/>
    </row>
    <row r="141" spans="1:10">
      <c r="A141" s="331">
        <v>44072</v>
      </c>
      <c r="B141" s="8">
        <v>9</v>
      </c>
      <c r="C141" s="494" t="s">
        <v>318</v>
      </c>
      <c r="D141" s="494" t="s">
        <v>348</v>
      </c>
      <c r="E141" s="8">
        <v>1</v>
      </c>
      <c r="F141" s="8">
        <v>96</v>
      </c>
      <c r="G141" s="494"/>
      <c r="H141" s="494"/>
      <c r="I141" s="494"/>
      <c r="J141" s="494"/>
    </row>
    <row r="142" spans="1:10">
      <c r="A142" s="331">
        <v>44072</v>
      </c>
      <c r="B142" s="8">
        <v>11</v>
      </c>
      <c r="C142" s="494" t="s">
        <v>264</v>
      </c>
      <c r="D142" s="494" t="s">
        <v>348</v>
      </c>
      <c r="E142" s="8">
        <v>1</v>
      </c>
      <c r="F142" s="8">
        <v>6</v>
      </c>
      <c r="G142" s="494"/>
      <c r="H142" s="494"/>
      <c r="I142" s="494"/>
      <c r="J142" s="494"/>
    </row>
    <row r="143" spans="1:10">
      <c r="A143" s="331">
        <v>44074</v>
      </c>
      <c r="B143" s="8">
        <v>9</v>
      </c>
      <c r="C143" s="494" t="s">
        <v>274</v>
      </c>
      <c r="D143" s="494" t="s">
        <v>148</v>
      </c>
      <c r="E143" s="8">
        <v>1</v>
      </c>
      <c r="F143" s="8">
        <v>6</v>
      </c>
      <c r="G143" s="494" t="s">
        <v>315</v>
      </c>
      <c r="H143" s="494"/>
      <c r="I143" s="494"/>
      <c r="J143" s="494"/>
    </row>
    <row r="144" spans="1:10">
      <c r="A144" s="331">
        <v>44074</v>
      </c>
      <c r="B144" s="8">
        <v>8</v>
      </c>
      <c r="C144" s="494" t="s">
        <v>318</v>
      </c>
      <c r="D144" s="494" t="s">
        <v>147</v>
      </c>
      <c r="E144" s="8">
        <v>1</v>
      </c>
      <c r="F144" s="8">
        <v>96</v>
      </c>
      <c r="G144" s="494"/>
      <c r="H144" s="494"/>
      <c r="I144" s="494"/>
      <c r="J144" s="494"/>
    </row>
    <row r="145" spans="1:10">
      <c r="A145" s="331">
        <v>44074</v>
      </c>
      <c r="B145" s="8">
        <v>10</v>
      </c>
      <c r="C145" s="494" t="s">
        <v>264</v>
      </c>
      <c r="D145" s="494" t="s">
        <v>148</v>
      </c>
      <c r="E145" s="8">
        <v>1</v>
      </c>
      <c r="F145" s="8">
        <v>6</v>
      </c>
      <c r="G145" s="494" t="s">
        <v>315</v>
      </c>
      <c r="H145" s="494"/>
      <c r="I145" s="494"/>
      <c r="J145" s="494"/>
    </row>
    <row r="146" spans="1:10">
      <c r="A146" s="331">
        <v>44075</v>
      </c>
      <c r="B146" s="8">
        <v>9</v>
      </c>
      <c r="C146" s="494" t="s">
        <v>274</v>
      </c>
      <c r="D146" s="494"/>
      <c r="E146" s="8">
        <v>1</v>
      </c>
      <c r="F146" s="8">
        <v>6</v>
      </c>
      <c r="G146" s="494"/>
      <c r="H146" s="494"/>
      <c r="I146" s="494"/>
      <c r="J146" s="494"/>
    </row>
    <row r="147" spans="1:10">
      <c r="A147" s="331">
        <v>44075</v>
      </c>
      <c r="B147" s="8">
        <v>7</v>
      </c>
      <c r="C147" s="494" t="s">
        <v>318</v>
      </c>
      <c r="D147" s="494" t="s">
        <v>147</v>
      </c>
      <c r="E147" s="8">
        <v>1</v>
      </c>
      <c r="F147" s="8">
        <v>96</v>
      </c>
      <c r="G147" s="494" t="s">
        <v>324</v>
      </c>
      <c r="H147" s="494"/>
      <c r="I147" s="494"/>
      <c r="J147" s="494"/>
    </row>
    <row r="148" spans="1:10">
      <c r="A148" s="331">
        <v>44075</v>
      </c>
      <c r="B148" s="8">
        <v>8</v>
      </c>
      <c r="C148" s="494" t="s">
        <v>318</v>
      </c>
      <c r="D148" s="494" t="s">
        <v>148</v>
      </c>
      <c r="E148" s="8">
        <v>1</v>
      </c>
      <c r="F148" s="8">
        <v>12</v>
      </c>
      <c r="G148" s="494" t="s">
        <v>325</v>
      </c>
      <c r="H148" s="494"/>
      <c r="I148" s="494"/>
      <c r="J148" s="494"/>
    </row>
    <row r="149" spans="1:10">
      <c r="A149" s="331">
        <v>44075</v>
      </c>
      <c r="B149" s="8">
        <v>10</v>
      </c>
      <c r="C149" s="494" t="s">
        <v>264</v>
      </c>
      <c r="D149" s="494"/>
      <c r="E149" s="8">
        <v>1</v>
      </c>
      <c r="F149" s="8">
        <v>6</v>
      </c>
      <c r="G149" s="494"/>
      <c r="H149" s="494"/>
      <c r="I149" s="494"/>
      <c r="J149" s="494"/>
    </row>
    <row r="150" spans="1:10">
      <c r="A150" s="331">
        <v>44076</v>
      </c>
      <c r="B150" s="8">
        <v>9</v>
      </c>
      <c r="C150" s="494" t="s">
        <v>274</v>
      </c>
      <c r="D150" s="494" t="s">
        <v>348</v>
      </c>
      <c r="E150" s="8">
        <v>1</v>
      </c>
      <c r="F150" s="8">
        <v>6</v>
      </c>
      <c r="G150" s="494"/>
      <c r="H150" s="494"/>
      <c r="I150" s="494"/>
      <c r="J150" s="494"/>
    </row>
    <row r="151" spans="1:10">
      <c r="A151" s="331">
        <v>44076</v>
      </c>
      <c r="B151" s="8">
        <v>8</v>
      </c>
      <c r="C151" s="494" t="s">
        <v>318</v>
      </c>
      <c r="D151" s="494" t="s">
        <v>338</v>
      </c>
      <c r="E151" s="8">
        <v>1</v>
      </c>
      <c r="F151" s="8">
        <v>12</v>
      </c>
      <c r="G151" s="494"/>
      <c r="H151" s="494"/>
      <c r="I151" s="494"/>
      <c r="J151" s="494"/>
    </row>
    <row r="152" spans="1:10">
      <c r="A152" s="331">
        <v>44076</v>
      </c>
      <c r="B152" s="8">
        <v>10</v>
      </c>
      <c r="C152" s="494" t="s">
        <v>264</v>
      </c>
      <c r="D152" s="494" t="s">
        <v>348</v>
      </c>
      <c r="E152" s="8">
        <v>1</v>
      </c>
      <c r="F152" s="8">
        <v>6</v>
      </c>
      <c r="G152" s="494"/>
      <c r="H152" s="494"/>
      <c r="I152" s="494"/>
      <c r="J152" s="494"/>
    </row>
    <row r="153" spans="1:10">
      <c r="A153" s="331">
        <v>44077</v>
      </c>
      <c r="B153" s="8">
        <v>9</v>
      </c>
      <c r="C153" s="494" t="s">
        <v>274</v>
      </c>
      <c r="D153" s="494" t="s">
        <v>348</v>
      </c>
      <c r="E153" s="8">
        <v>1</v>
      </c>
      <c r="F153" s="8">
        <v>6</v>
      </c>
      <c r="G153" s="494"/>
      <c r="H153" s="494"/>
      <c r="I153" s="494"/>
      <c r="J153" s="494"/>
    </row>
    <row r="154" spans="1:10">
      <c r="A154" s="331">
        <v>44077</v>
      </c>
      <c r="B154" s="8">
        <v>8</v>
      </c>
      <c r="C154" s="494" t="s">
        <v>318</v>
      </c>
      <c r="D154" s="494" t="s">
        <v>148</v>
      </c>
      <c r="E154" s="8">
        <v>1</v>
      </c>
      <c r="F154" s="8">
        <v>6</v>
      </c>
      <c r="G154" s="494"/>
      <c r="H154" s="494"/>
      <c r="I154" s="494"/>
      <c r="J154" s="494"/>
    </row>
    <row r="155" spans="1:10">
      <c r="A155" s="331">
        <v>44077</v>
      </c>
      <c r="B155" s="8">
        <v>10</v>
      </c>
      <c r="C155" s="494" t="s">
        <v>264</v>
      </c>
      <c r="D155" s="494" t="s">
        <v>348</v>
      </c>
      <c r="E155" s="8">
        <v>1</v>
      </c>
      <c r="F155" s="8">
        <v>6</v>
      </c>
      <c r="G155" s="494"/>
      <c r="H155" s="494"/>
      <c r="I155" s="494"/>
      <c r="J155" s="494"/>
    </row>
    <row r="156" spans="1:10">
      <c r="A156" s="331">
        <v>44078</v>
      </c>
      <c r="B156" s="8">
        <v>9</v>
      </c>
      <c r="C156" s="494" t="s">
        <v>274</v>
      </c>
      <c r="D156" s="494" t="s">
        <v>348</v>
      </c>
      <c r="E156" s="8">
        <v>1</v>
      </c>
      <c r="F156" s="8">
        <v>6</v>
      </c>
      <c r="G156" s="494"/>
      <c r="H156" s="494"/>
      <c r="I156" s="494"/>
      <c r="J156" s="494"/>
    </row>
    <row r="157" spans="1:10">
      <c r="A157" s="331">
        <v>44078</v>
      </c>
      <c r="B157" s="8">
        <v>8</v>
      </c>
      <c r="C157" s="494" t="s">
        <v>318</v>
      </c>
      <c r="D157" s="494" t="s">
        <v>338</v>
      </c>
      <c r="E157" s="8">
        <v>1</v>
      </c>
      <c r="F157" s="8">
        <v>6</v>
      </c>
      <c r="G157" s="494"/>
      <c r="H157" s="494"/>
      <c r="I157" s="494"/>
      <c r="J157" s="494"/>
    </row>
    <row r="158" spans="1:10">
      <c r="A158" s="331">
        <v>44078</v>
      </c>
      <c r="B158" s="8">
        <v>10</v>
      </c>
      <c r="C158" s="494" t="s">
        <v>264</v>
      </c>
      <c r="D158" s="494" t="s">
        <v>154</v>
      </c>
      <c r="E158" s="8">
        <v>1</v>
      </c>
      <c r="F158" s="8">
        <v>96</v>
      </c>
      <c r="G158" s="494" t="s">
        <v>333</v>
      </c>
      <c r="H158" s="494" t="s">
        <v>317</v>
      </c>
      <c r="I158" s="494"/>
      <c r="J158" s="494"/>
    </row>
    <row r="159" spans="1:10">
      <c r="A159" s="331">
        <v>44078</v>
      </c>
      <c r="B159" s="8">
        <v>11</v>
      </c>
      <c r="C159" s="494" t="s">
        <v>264</v>
      </c>
      <c r="D159" s="494" t="s">
        <v>148</v>
      </c>
      <c r="E159" s="8">
        <v>1</v>
      </c>
      <c r="F159" s="8">
        <v>6</v>
      </c>
      <c r="G159" s="494" t="s">
        <v>330</v>
      </c>
      <c r="H159" s="494"/>
      <c r="I159" s="494"/>
      <c r="J159" s="494"/>
    </row>
    <row r="160" spans="1:10">
      <c r="A160" s="331">
        <v>44079</v>
      </c>
      <c r="B160" s="8">
        <v>11</v>
      </c>
      <c r="C160" s="494" t="s">
        <v>274</v>
      </c>
      <c r="D160" s="494"/>
      <c r="E160" s="8"/>
      <c r="F160" s="8"/>
      <c r="G160" s="494" t="s">
        <v>331</v>
      </c>
      <c r="H160" s="494"/>
      <c r="I160" s="494"/>
      <c r="J160" s="494"/>
    </row>
    <row r="161" spans="1:10">
      <c r="A161" s="331">
        <v>44079</v>
      </c>
      <c r="B161" s="8">
        <v>10</v>
      </c>
      <c r="C161" s="494" t="s">
        <v>318</v>
      </c>
      <c r="D161" s="494" t="s">
        <v>148</v>
      </c>
      <c r="E161" s="8">
        <v>5</v>
      </c>
      <c r="F161" s="8">
        <v>6</v>
      </c>
      <c r="G161" s="494"/>
      <c r="H161" s="494"/>
      <c r="I161" s="494"/>
      <c r="J161" s="494"/>
    </row>
    <row r="162" spans="1:10">
      <c r="A162" s="331">
        <v>44079</v>
      </c>
      <c r="B162" s="8">
        <v>9</v>
      </c>
      <c r="C162" s="494" t="s">
        <v>264</v>
      </c>
      <c r="D162" s="494" t="s">
        <v>348</v>
      </c>
      <c r="E162" s="8">
        <v>1</v>
      </c>
      <c r="F162" s="8">
        <v>6</v>
      </c>
      <c r="G162" s="494"/>
      <c r="H162" s="494"/>
      <c r="I162" s="494"/>
      <c r="J162" s="494"/>
    </row>
    <row r="163" spans="1:10">
      <c r="A163" s="331">
        <v>44079</v>
      </c>
      <c r="B163" s="8">
        <v>8</v>
      </c>
      <c r="C163" s="494" t="s">
        <v>321</v>
      </c>
      <c r="D163" s="494" t="s">
        <v>338</v>
      </c>
      <c r="E163" s="8">
        <v>1</v>
      </c>
      <c r="F163" s="8">
        <v>96</v>
      </c>
      <c r="G163" s="494"/>
      <c r="H163" s="494"/>
      <c r="I163" s="494"/>
      <c r="J163" s="494"/>
    </row>
    <row r="164" spans="1:10">
      <c r="A164" s="331">
        <v>44080</v>
      </c>
      <c r="B164" s="8">
        <v>10</v>
      </c>
      <c r="C164" s="494" t="s">
        <v>318</v>
      </c>
      <c r="D164" s="494" t="s">
        <v>338</v>
      </c>
      <c r="E164" s="8">
        <v>5</v>
      </c>
      <c r="F164" s="8">
        <v>6</v>
      </c>
      <c r="G164" s="494"/>
      <c r="H164" s="494"/>
      <c r="I164" s="494"/>
      <c r="J164" s="494"/>
    </row>
    <row r="165" spans="1:10">
      <c r="A165" s="331">
        <v>44080</v>
      </c>
      <c r="B165" s="8">
        <v>9</v>
      </c>
      <c r="C165" s="494" t="s">
        <v>264</v>
      </c>
      <c r="D165" s="494" t="s">
        <v>348</v>
      </c>
      <c r="E165" s="8">
        <v>1</v>
      </c>
      <c r="F165" s="8">
        <v>6</v>
      </c>
      <c r="G165" s="494"/>
      <c r="H165" s="494"/>
      <c r="I165" s="494"/>
      <c r="J165" s="494"/>
    </row>
    <row r="166" spans="1:10">
      <c r="A166" s="331">
        <v>44080</v>
      </c>
      <c r="B166" s="8">
        <v>8</v>
      </c>
      <c r="C166" s="494" t="s">
        <v>321</v>
      </c>
      <c r="D166" s="494" t="s">
        <v>338</v>
      </c>
      <c r="E166" s="8">
        <v>1</v>
      </c>
      <c r="F166" s="8">
        <v>96</v>
      </c>
      <c r="G166" s="494"/>
      <c r="H166" s="494"/>
      <c r="I166" s="494"/>
      <c r="J166" s="494"/>
    </row>
    <row r="167" spans="1:10">
      <c r="A167" s="331">
        <v>44082</v>
      </c>
      <c r="B167" s="8">
        <v>8</v>
      </c>
      <c r="C167" s="494" t="s">
        <v>318</v>
      </c>
      <c r="D167" s="494" t="s">
        <v>154</v>
      </c>
      <c r="E167" s="8">
        <v>1</v>
      </c>
      <c r="F167" s="8">
        <v>96</v>
      </c>
      <c r="G167" s="494" t="s">
        <v>336</v>
      </c>
      <c r="H167" s="494" t="s">
        <v>334</v>
      </c>
      <c r="I167" s="494"/>
      <c r="J167" s="494"/>
    </row>
    <row r="168" spans="1:10">
      <c r="A168" s="331">
        <v>44082</v>
      </c>
      <c r="B168" s="8">
        <v>9</v>
      </c>
      <c r="C168" s="494" t="s">
        <v>318</v>
      </c>
      <c r="D168" s="494" t="s">
        <v>152</v>
      </c>
      <c r="E168" s="8">
        <v>5</v>
      </c>
      <c r="F168" s="8">
        <v>6</v>
      </c>
      <c r="G168" s="494" t="s">
        <v>272</v>
      </c>
      <c r="H168" s="494"/>
      <c r="I168" s="494"/>
      <c r="J168" s="494"/>
    </row>
    <row r="169" spans="1:10">
      <c r="A169" s="331">
        <v>44082</v>
      </c>
      <c r="B169" s="8">
        <v>11</v>
      </c>
      <c r="C169" s="494" t="s">
        <v>264</v>
      </c>
      <c r="D169" s="494" t="s">
        <v>348</v>
      </c>
      <c r="E169" s="8">
        <v>1</v>
      </c>
      <c r="F169" s="8">
        <v>6</v>
      </c>
      <c r="G169" s="494"/>
      <c r="H169" s="494"/>
      <c r="I169" s="494"/>
      <c r="J169" s="494"/>
    </row>
    <row r="170" spans="1:10">
      <c r="A170" s="331">
        <v>44082</v>
      </c>
      <c r="B170" s="8">
        <v>10</v>
      </c>
      <c r="C170" s="494" t="s">
        <v>321</v>
      </c>
      <c r="D170" s="494" t="s">
        <v>147</v>
      </c>
      <c r="E170" s="8">
        <v>1</v>
      </c>
      <c r="F170" s="8">
        <v>96</v>
      </c>
      <c r="G170" s="494" t="s">
        <v>337</v>
      </c>
      <c r="H170" s="494"/>
      <c r="I170" s="494"/>
      <c r="J170" s="494"/>
    </row>
    <row r="171" spans="1:10">
      <c r="A171" s="331">
        <v>44083</v>
      </c>
      <c r="B171" s="8">
        <v>10</v>
      </c>
      <c r="C171" s="494" t="s">
        <v>335</v>
      </c>
      <c r="D171" s="494" t="s">
        <v>338</v>
      </c>
      <c r="E171" s="8">
        <v>1</v>
      </c>
      <c r="F171" s="8">
        <v>96</v>
      </c>
      <c r="G171" s="494"/>
      <c r="H171" s="494"/>
      <c r="I171" s="494"/>
      <c r="J171" s="494"/>
    </row>
    <row r="172" spans="1:10">
      <c r="A172" s="331">
        <v>44083</v>
      </c>
      <c r="B172" s="8">
        <v>8</v>
      </c>
      <c r="C172" s="494" t="s">
        <v>264</v>
      </c>
      <c r="D172" s="494" t="s">
        <v>148</v>
      </c>
      <c r="E172" s="8">
        <v>1</v>
      </c>
      <c r="F172" s="8">
        <v>6</v>
      </c>
      <c r="G172" s="494"/>
      <c r="H172" s="494"/>
      <c r="I172" s="494"/>
      <c r="J172" s="494"/>
    </row>
    <row r="173" spans="1:10">
      <c r="A173" s="331">
        <v>44083</v>
      </c>
      <c r="B173" s="8">
        <v>9</v>
      </c>
      <c r="C173" s="494" t="s">
        <v>321</v>
      </c>
      <c r="D173" s="494" t="s">
        <v>148</v>
      </c>
      <c r="E173" s="8">
        <v>1</v>
      </c>
      <c r="F173" s="8">
        <v>12</v>
      </c>
      <c r="G173" s="494"/>
      <c r="H173" s="494"/>
      <c r="I173" s="494"/>
      <c r="J173" s="494"/>
    </row>
    <row r="174" spans="1:10">
      <c r="A174" s="331">
        <v>44086</v>
      </c>
      <c r="B174" s="8">
        <v>10</v>
      </c>
      <c r="C174" s="494" t="s">
        <v>335</v>
      </c>
      <c r="D174" s="494" t="s">
        <v>348</v>
      </c>
      <c r="E174" s="8">
        <v>1</v>
      </c>
      <c r="F174" s="8">
        <v>96</v>
      </c>
      <c r="G174" s="494"/>
      <c r="H174" s="494"/>
      <c r="I174" s="494"/>
      <c r="J174" s="494"/>
    </row>
    <row r="175" spans="1:10">
      <c r="A175" s="331">
        <v>44086</v>
      </c>
      <c r="B175" s="8">
        <v>8</v>
      </c>
      <c r="C175" s="494" t="s">
        <v>264</v>
      </c>
      <c r="D175" s="494" t="s">
        <v>148</v>
      </c>
      <c r="E175" s="8">
        <v>1</v>
      </c>
      <c r="F175" s="8">
        <v>6</v>
      </c>
      <c r="G175" s="494" t="s">
        <v>340</v>
      </c>
      <c r="H175" s="494"/>
      <c r="I175" s="494"/>
      <c r="J175" s="494"/>
    </row>
    <row r="176" spans="1:10">
      <c r="A176" s="331">
        <v>44086</v>
      </c>
      <c r="B176" s="8">
        <v>9</v>
      </c>
      <c r="C176" s="494" t="s">
        <v>321</v>
      </c>
      <c r="D176" s="494" t="s">
        <v>348</v>
      </c>
      <c r="E176" s="8">
        <v>1</v>
      </c>
      <c r="F176" s="8">
        <v>12</v>
      </c>
      <c r="G176" s="494"/>
      <c r="H176" s="494"/>
      <c r="I176" s="494"/>
      <c r="J176" s="494"/>
    </row>
    <row r="177" spans="1:10">
      <c r="A177" s="331">
        <v>44088</v>
      </c>
      <c r="B177" s="8">
        <v>8</v>
      </c>
      <c r="C177" s="494" t="s">
        <v>335</v>
      </c>
      <c r="D177" s="494" t="s">
        <v>147</v>
      </c>
      <c r="E177" s="8">
        <v>1</v>
      </c>
      <c r="F177" s="8">
        <v>96</v>
      </c>
      <c r="G177" s="494" t="s">
        <v>341</v>
      </c>
      <c r="H177" s="494"/>
      <c r="I177" s="494"/>
      <c r="J177" s="494"/>
    </row>
    <row r="178" spans="1:10">
      <c r="A178" s="331">
        <v>44088</v>
      </c>
      <c r="B178" s="8">
        <v>10</v>
      </c>
      <c r="C178" s="494" t="s">
        <v>264</v>
      </c>
      <c r="D178" s="494" t="s">
        <v>348</v>
      </c>
      <c r="E178" s="8">
        <v>1</v>
      </c>
      <c r="F178" s="8">
        <v>6</v>
      </c>
      <c r="G178" s="494"/>
      <c r="H178" s="494"/>
      <c r="I178" s="494"/>
      <c r="J178" s="494"/>
    </row>
    <row r="179" spans="1:10">
      <c r="A179" s="331">
        <v>44088</v>
      </c>
      <c r="B179" s="8">
        <v>9</v>
      </c>
      <c r="C179" s="494" t="s">
        <v>321</v>
      </c>
      <c r="D179" s="494" t="s">
        <v>348</v>
      </c>
      <c r="E179" s="8">
        <v>1</v>
      </c>
      <c r="F179" s="8">
        <v>12</v>
      </c>
      <c r="G179" s="494"/>
      <c r="H179" s="494"/>
      <c r="I179" s="494"/>
      <c r="J179" s="494"/>
    </row>
    <row r="180" spans="1:10">
      <c r="A180" s="331">
        <v>44089</v>
      </c>
      <c r="B180" s="8">
        <v>7</v>
      </c>
      <c r="C180" s="494" t="s">
        <v>335</v>
      </c>
      <c r="D180" s="494" t="s">
        <v>348</v>
      </c>
      <c r="E180" s="8">
        <v>1</v>
      </c>
      <c r="F180" s="8">
        <v>96</v>
      </c>
      <c r="G180" s="494"/>
      <c r="H180" s="494"/>
      <c r="I180" s="494"/>
      <c r="J180" s="494"/>
    </row>
    <row r="181" spans="1:10">
      <c r="A181" s="331">
        <v>44089</v>
      </c>
      <c r="B181" s="8">
        <v>9</v>
      </c>
      <c r="C181" s="494" t="s">
        <v>264</v>
      </c>
      <c r="D181" s="494" t="s">
        <v>348</v>
      </c>
      <c r="E181" s="8">
        <v>1</v>
      </c>
      <c r="F181" s="8">
        <v>6</v>
      </c>
      <c r="G181" s="494"/>
      <c r="H181" s="494"/>
      <c r="I181" s="494"/>
      <c r="J181" s="494"/>
    </row>
    <row r="182" spans="1:10">
      <c r="A182" s="331">
        <v>44089</v>
      </c>
      <c r="B182" s="8">
        <v>8</v>
      </c>
      <c r="C182" s="494" t="s">
        <v>321</v>
      </c>
      <c r="D182" s="494" t="s">
        <v>348</v>
      </c>
      <c r="E182" s="8">
        <v>1</v>
      </c>
      <c r="F182" s="8">
        <v>12</v>
      </c>
      <c r="G182" s="494"/>
      <c r="H182" s="494"/>
      <c r="I182" s="494"/>
      <c r="J182" s="494"/>
    </row>
    <row r="183" spans="1:10">
      <c r="A183" s="331">
        <v>44090</v>
      </c>
      <c r="B183" s="8">
        <v>7</v>
      </c>
      <c r="C183" s="494" t="s">
        <v>335</v>
      </c>
      <c r="D183" s="494" t="s">
        <v>147</v>
      </c>
      <c r="E183" s="8">
        <v>1</v>
      </c>
      <c r="F183" s="8">
        <v>96</v>
      </c>
      <c r="G183" s="494" t="s">
        <v>342</v>
      </c>
      <c r="H183" s="494"/>
      <c r="I183" s="494"/>
      <c r="J183" s="494"/>
    </row>
    <row r="184" spans="1:10">
      <c r="A184" s="331">
        <v>44090</v>
      </c>
      <c r="B184" s="8">
        <v>9</v>
      </c>
      <c r="C184" s="494" t="s">
        <v>264</v>
      </c>
      <c r="D184" s="494" t="s">
        <v>148</v>
      </c>
      <c r="E184" s="8">
        <v>1</v>
      </c>
      <c r="F184" s="8">
        <v>6</v>
      </c>
      <c r="G184" s="494" t="s">
        <v>343</v>
      </c>
      <c r="H184" s="494"/>
      <c r="I184" s="494"/>
      <c r="J184" s="494"/>
    </row>
    <row r="185" spans="1:10">
      <c r="A185" s="331">
        <v>44090</v>
      </c>
      <c r="B185" s="8">
        <v>8</v>
      </c>
      <c r="C185" s="494" t="s">
        <v>321</v>
      </c>
      <c r="D185" s="494" t="s">
        <v>148</v>
      </c>
      <c r="E185" s="8">
        <v>1</v>
      </c>
      <c r="F185" s="8">
        <v>6</v>
      </c>
      <c r="G185" s="494"/>
      <c r="H185" s="494"/>
      <c r="I185" s="494"/>
      <c r="J185" s="494"/>
    </row>
    <row r="186" spans="1:10">
      <c r="A186" s="331">
        <v>44092</v>
      </c>
      <c r="B186" s="8">
        <v>7</v>
      </c>
      <c r="C186" s="494" t="s">
        <v>335</v>
      </c>
      <c r="D186" s="494" t="s">
        <v>148</v>
      </c>
      <c r="E186" s="8">
        <v>1</v>
      </c>
      <c r="F186" s="8">
        <v>12</v>
      </c>
      <c r="G186" s="494" t="s">
        <v>347</v>
      </c>
      <c r="H186" s="494"/>
      <c r="I186" s="494"/>
      <c r="J186" s="494"/>
    </row>
    <row r="187" spans="1:10">
      <c r="A187" s="331">
        <v>44092</v>
      </c>
      <c r="B187" s="8">
        <v>9</v>
      </c>
      <c r="C187" s="494" t="s">
        <v>264</v>
      </c>
      <c r="D187" s="494" t="s">
        <v>148</v>
      </c>
      <c r="E187" s="8">
        <v>1</v>
      </c>
      <c r="F187" s="8">
        <v>6</v>
      </c>
      <c r="G187" s="494" t="s">
        <v>345</v>
      </c>
      <c r="H187" s="494"/>
      <c r="I187" s="494"/>
      <c r="J187" s="494"/>
    </row>
    <row r="188" spans="1:10">
      <c r="A188" s="331">
        <v>44092</v>
      </c>
      <c r="B188" s="8">
        <v>8</v>
      </c>
      <c r="C188" s="494" t="s">
        <v>321</v>
      </c>
      <c r="D188" s="494" t="s">
        <v>148</v>
      </c>
      <c r="E188" s="8">
        <v>5</v>
      </c>
      <c r="F188" s="8">
        <v>6</v>
      </c>
      <c r="G188" s="494" t="s">
        <v>345</v>
      </c>
      <c r="H188" s="494"/>
      <c r="I188" s="494"/>
      <c r="J188" s="494"/>
    </row>
    <row r="189" spans="1:10">
      <c r="A189" s="331">
        <v>44094</v>
      </c>
      <c r="B189" s="8">
        <v>8</v>
      </c>
      <c r="C189" s="494" t="s">
        <v>335</v>
      </c>
      <c r="D189" s="494" t="s">
        <v>348</v>
      </c>
      <c r="E189" s="8">
        <v>1</v>
      </c>
      <c r="F189" s="8">
        <v>12</v>
      </c>
      <c r="G189" s="494"/>
      <c r="H189" s="494"/>
      <c r="I189" s="494"/>
      <c r="J189" s="494"/>
    </row>
    <row r="190" spans="1:10">
      <c r="A190" s="331">
        <v>44094</v>
      </c>
      <c r="B190" s="8">
        <v>10</v>
      </c>
      <c r="C190" s="494" t="s">
        <v>264</v>
      </c>
      <c r="D190" s="494" t="s">
        <v>348</v>
      </c>
      <c r="E190" s="8">
        <v>1</v>
      </c>
      <c r="F190" s="8">
        <v>6</v>
      </c>
      <c r="G190" s="494"/>
      <c r="H190" s="494"/>
      <c r="I190" s="494"/>
      <c r="J190" s="494"/>
    </row>
    <row r="191" spans="1:10">
      <c r="A191" s="331">
        <v>44094</v>
      </c>
      <c r="B191" s="8">
        <v>9</v>
      </c>
      <c r="C191" s="494" t="s">
        <v>321</v>
      </c>
      <c r="D191" s="494" t="s">
        <v>348</v>
      </c>
      <c r="E191" s="8">
        <v>5</v>
      </c>
      <c r="F191" s="8">
        <v>6</v>
      </c>
      <c r="G191" s="494"/>
      <c r="H191" s="494"/>
      <c r="I191" s="494"/>
      <c r="J191" s="494"/>
    </row>
    <row r="192" spans="1:10">
      <c r="A192" s="331">
        <v>44095</v>
      </c>
      <c r="B192" s="8">
        <v>8</v>
      </c>
      <c r="C192" s="494" t="s">
        <v>335</v>
      </c>
      <c r="D192" s="494" t="s">
        <v>348</v>
      </c>
      <c r="E192" s="8">
        <v>1</v>
      </c>
      <c r="F192" s="8">
        <v>12</v>
      </c>
      <c r="G192" s="494"/>
      <c r="H192" s="494"/>
      <c r="I192" s="494"/>
      <c r="J192" s="494"/>
    </row>
    <row r="193" spans="1:10">
      <c r="A193" s="331">
        <v>44095</v>
      </c>
      <c r="B193" s="8">
        <v>10</v>
      </c>
      <c r="C193" s="494" t="s">
        <v>264</v>
      </c>
      <c r="D193" s="494" t="s">
        <v>348</v>
      </c>
      <c r="E193" s="8">
        <v>1</v>
      </c>
      <c r="F193" s="8">
        <v>6</v>
      </c>
      <c r="G193" s="494"/>
      <c r="H193" s="494"/>
      <c r="I193" s="494"/>
      <c r="J193" s="494"/>
    </row>
    <row r="194" spans="1:10">
      <c r="A194" s="331">
        <v>44095</v>
      </c>
      <c r="B194" s="8">
        <v>9</v>
      </c>
      <c r="C194" s="494" t="s">
        <v>321</v>
      </c>
      <c r="D194" s="494" t="s">
        <v>348</v>
      </c>
      <c r="E194" s="8">
        <v>5</v>
      </c>
      <c r="F194" s="8">
        <v>6</v>
      </c>
      <c r="G194" s="494"/>
      <c r="H194" s="494"/>
      <c r="I194" s="494"/>
      <c r="J194" s="494"/>
    </row>
    <row r="195" spans="1:10">
      <c r="A195" s="331">
        <v>44097</v>
      </c>
      <c r="B195" s="8">
        <v>7</v>
      </c>
      <c r="C195" s="494" t="s">
        <v>335</v>
      </c>
      <c r="D195" s="494" t="s">
        <v>148</v>
      </c>
      <c r="E195" s="8">
        <v>1</v>
      </c>
      <c r="F195" s="8">
        <v>6</v>
      </c>
      <c r="G195" s="494" t="s">
        <v>350</v>
      </c>
      <c r="H195" s="494"/>
      <c r="I195" s="494"/>
      <c r="J195" s="494"/>
    </row>
    <row r="196" spans="1:10">
      <c r="A196" s="331">
        <v>44097</v>
      </c>
      <c r="B196" s="8">
        <v>9</v>
      </c>
      <c r="C196" s="494" t="s">
        <v>321</v>
      </c>
      <c r="D196" s="494" t="s">
        <v>154</v>
      </c>
      <c r="E196" s="8">
        <v>1</v>
      </c>
      <c r="F196" s="8">
        <v>96</v>
      </c>
      <c r="G196" s="494" t="s">
        <v>352</v>
      </c>
      <c r="H196" s="494" t="s">
        <v>334</v>
      </c>
      <c r="I196" s="494"/>
      <c r="J196" s="494"/>
    </row>
    <row r="197" spans="1:10">
      <c r="A197" s="331">
        <v>44097</v>
      </c>
      <c r="B197" s="8">
        <v>10</v>
      </c>
      <c r="C197" s="494" t="s">
        <v>321</v>
      </c>
      <c r="D197" s="494" t="s">
        <v>152</v>
      </c>
      <c r="E197" s="8">
        <v>5</v>
      </c>
      <c r="F197" s="8" t="s">
        <v>411</v>
      </c>
      <c r="G197" s="494" t="s">
        <v>262</v>
      </c>
      <c r="H197" s="494"/>
      <c r="I197" s="494"/>
      <c r="J197" s="494"/>
    </row>
    <row r="198" spans="1:10">
      <c r="A198" s="331">
        <v>44098</v>
      </c>
      <c r="B198" s="8">
        <v>8</v>
      </c>
      <c r="C198" s="494" t="s">
        <v>335</v>
      </c>
      <c r="D198" s="494" t="s">
        <v>338</v>
      </c>
      <c r="E198" s="8">
        <v>5</v>
      </c>
      <c r="F198" s="8">
        <v>6</v>
      </c>
      <c r="G198" s="494"/>
      <c r="H198" s="494"/>
      <c r="I198" s="494"/>
      <c r="J198" s="494"/>
    </row>
    <row r="199" spans="1:10">
      <c r="A199" s="331">
        <v>44098</v>
      </c>
      <c r="B199" s="8">
        <v>9</v>
      </c>
      <c r="C199" s="494" t="s">
        <v>321</v>
      </c>
      <c r="D199" s="494" t="s">
        <v>338</v>
      </c>
      <c r="E199" s="8">
        <v>1</v>
      </c>
      <c r="F199" s="8">
        <v>96</v>
      </c>
      <c r="G199" s="494"/>
      <c r="H199" s="494"/>
      <c r="I199" s="494"/>
      <c r="J199" s="494"/>
    </row>
    <row r="200" spans="1:10">
      <c r="A200" s="331">
        <v>44099</v>
      </c>
      <c r="B200" s="8">
        <v>8</v>
      </c>
      <c r="C200" s="494" t="s">
        <v>335</v>
      </c>
      <c r="D200" s="494" t="s">
        <v>348</v>
      </c>
      <c r="E200" s="8">
        <v>5</v>
      </c>
      <c r="F200" s="8">
        <v>6</v>
      </c>
      <c r="G200" s="494"/>
      <c r="H200" s="494"/>
      <c r="I200" s="494"/>
      <c r="J200" s="494"/>
    </row>
    <row r="201" spans="1:10">
      <c r="A201" s="331">
        <v>44099</v>
      </c>
      <c r="B201" s="8">
        <v>9</v>
      </c>
      <c r="C201" s="494" t="s">
        <v>349</v>
      </c>
      <c r="D201" s="494" t="s">
        <v>338</v>
      </c>
      <c r="E201" s="8">
        <v>1</v>
      </c>
      <c r="F201" s="8">
        <v>96</v>
      </c>
      <c r="G201" s="494"/>
      <c r="H201" s="494"/>
      <c r="I201" s="494"/>
      <c r="J201" s="494"/>
    </row>
    <row r="202" spans="1:10">
      <c r="A202" s="331">
        <v>44101</v>
      </c>
      <c r="B202" s="8">
        <v>8</v>
      </c>
      <c r="C202" s="494" t="s">
        <v>335</v>
      </c>
      <c r="D202" s="494" t="s">
        <v>348</v>
      </c>
      <c r="E202" s="8">
        <v>5</v>
      </c>
      <c r="F202" s="8">
        <v>6</v>
      </c>
      <c r="G202" s="494"/>
      <c r="H202" s="494"/>
      <c r="I202" s="494"/>
      <c r="J202" s="494"/>
    </row>
    <row r="203" spans="1:10">
      <c r="A203" s="331">
        <v>44101</v>
      </c>
      <c r="B203" s="8">
        <v>9</v>
      </c>
      <c r="C203" s="494" t="s">
        <v>349</v>
      </c>
      <c r="D203" s="494" t="s">
        <v>348</v>
      </c>
      <c r="E203" s="8">
        <v>1</v>
      </c>
      <c r="F203" s="8">
        <v>96</v>
      </c>
      <c r="G203" s="494"/>
      <c r="H203" s="494"/>
      <c r="I203" s="494"/>
      <c r="J203" s="494"/>
    </row>
    <row r="204" spans="1:10">
      <c r="A204" s="331">
        <v>44102</v>
      </c>
      <c r="B204" s="8">
        <v>7</v>
      </c>
      <c r="C204" s="494" t="s">
        <v>335</v>
      </c>
      <c r="D204" s="494" t="s">
        <v>154</v>
      </c>
      <c r="E204" s="8">
        <v>1</v>
      </c>
      <c r="F204" s="8">
        <v>96</v>
      </c>
      <c r="G204" s="494" t="s">
        <v>357</v>
      </c>
      <c r="H204" s="494" t="s">
        <v>354</v>
      </c>
      <c r="I204" s="494"/>
      <c r="J204" s="494"/>
    </row>
    <row r="205" spans="1:10">
      <c r="A205" s="331">
        <v>44102</v>
      </c>
      <c r="B205" s="8">
        <v>8</v>
      </c>
      <c r="C205" s="494" t="s">
        <v>335</v>
      </c>
      <c r="D205" s="494" t="s">
        <v>348</v>
      </c>
      <c r="E205" s="8">
        <v>4</v>
      </c>
      <c r="F205" s="8">
        <v>6</v>
      </c>
      <c r="G205" s="494"/>
      <c r="H205" s="494"/>
      <c r="I205" s="494"/>
      <c r="J205" s="494"/>
    </row>
    <row r="206" spans="1:10">
      <c r="A206" s="331">
        <v>44103</v>
      </c>
      <c r="B206" s="8">
        <v>8</v>
      </c>
      <c r="C206" s="494" t="s">
        <v>335</v>
      </c>
      <c r="D206" s="494" t="s">
        <v>152</v>
      </c>
      <c r="E206" s="8">
        <v>5</v>
      </c>
      <c r="F206" s="8" t="s">
        <v>411</v>
      </c>
      <c r="G206" s="494" t="s">
        <v>262</v>
      </c>
      <c r="H206" s="494"/>
      <c r="I206" s="494"/>
      <c r="J206" s="494"/>
    </row>
    <row r="207" spans="1:10">
      <c r="A207" s="331">
        <v>44103</v>
      </c>
      <c r="B207" s="8">
        <v>7</v>
      </c>
      <c r="C207" s="494" t="s">
        <v>355</v>
      </c>
      <c r="D207" s="494" t="s">
        <v>338</v>
      </c>
      <c r="E207" s="8">
        <v>1</v>
      </c>
      <c r="F207" s="8">
        <v>96</v>
      </c>
      <c r="G207" s="494"/>
      <c r="H207" s="494"/>
      <c r="I207" s="494"/>
      <c r="J207" s="494"/>
    </row>
    <row r="208" spans="1:10">
      <c r="A208" s="331">
        <v>44103</v>
      </c>
      <c r="B208" s="8">
        <v>10</v>
      </c>
      <c r="C208" s="494" t="s">
        <v>349</v>
      </c>
      <c r="D208" s="494" t="s">
        <v>148</v>
      </c>
      <c r="E208" s="8">
        <v>1</v>
      </c>
      <c r="F208" s="8">
        <v>12</v>
      </c>
      <c r="G208" s="494"/>
      <c r="H208" s="494"/>
      <c r="I208" s="494"/>
      <c r="J208" s="494"/>
    </row>
    <row r="209" spans="1:10">
      <c r="A209" s="331">
        <v>44104</v>
      </c>
      <c r="B209" s="8">
        <v>7</v>
      </c>
      <c r="C209" s="494" t="s">
        <v>355</v>
      </c>
      <c r="D209" s="494" t="s">
        <v>148</v>
      </c>
      <c r="E209" s="8">
        <v>1</v>
      </c>
      <c r="F209" s="8">
        <v>12</v>
      </c>
      <c r="G209" s="494"/>
      <c r="H209" s="494"/>
      <c r="I209" s="494"/>
      <c r="J209" s="494"/>
    </row>
    <row r="210" spans="1:10">
      <c r="A210" s="331">
        <v>44104</v>
      </c>
      <c r="B210" s="8">
        <v>8</v>
      </c>
      <c r="C210" s="494" t="s">
        <v>349</v>
      </c>
      <c r="D210" s="494" t="s">
        <v>338</v>
      </c>
      <c r="E210" s="8">
        <v>1</v>
      </c>
      <c r="F210" s="8">
        <v>12</v>
      </c>
      <c r="G210" s="494"/>
      <c r="H210" s="494"/>
      <c r="I210" s="494"/>
      <c r="J210" s="494"/>
    </row>
    <row r="211" spans="1:10">
      <c r="A211" s="331">
        <v>44105</v>
      </c>
      <c r="B211" s="8">
        <v>13</v>
      </c>
      <c r="C211" s="494" t="s">
        <v>355</v>
      </c>
      <c r="D211" s="494" t="s">
        <v>348</v>
      </c>
      <c r="E211" s="8">
        <v>1</v>
      </c>
      <c r="F211" s="8">
        <v>12</v>
      </c>
      <c r="G211" s="494"/>
      <c r="H211" s="494"/>
      <c r="I211" s="494"/>
      <c r="J211" s="494"/>
    </row>
    <row r="212" spans="1:10">
      <c r="A212" s="331">
        <v>44105</v>
      </c>
      <c r="B212" s="8">
        <v>11</v>
      </c>
      <c r="C212" s="494" t="s">
        <v>349</v>
      </c>
      <c r="D212" s="494" t="s">
        <v>147</v>
      </c>
      <c r="E212" s="8">
        <v>1</v>
      </c>
      <c r="F212" s="8">
        <v>12</v>
      </c>
      <c r="G212" s="494" t="s">
        <v>363</v>
      </c>
      <c r="H212" s="494"/>
      <c r="I212" s="494"/>
      <c r="J212" s="494"/>
    </row>
    <row r="213" spans="1:10">
      <c r="A213" s="331">
        <v>44105</v>
      </c>
      <c r="B213" s="8">
        <v>12</v>
      </c>
      <c r="C213" s="494" t="s">
        <v>349</v>
      </c>
      <c r="D213" s="494" t="s">
        <v>348</v>
      </c>
      <c r="E213" s="8">
        <v>1</v>
      </c>
      <c r="F213" s="8">
        <v>12</v>
      </c>
      <c r="G213" s="494"/>
      <c r="H213" s="494"/>
      <c r="I213" s="494"/>
      <c r="J213" s="494"/>
    </row>
    <row r="214" spans="1:10">
      <c r="A214" s="331">
        <v>44106</v>
      </c>
      <c r="B214" s="8">
        <v>12</v>
      </c>
      <c r="C214" s="494" t="s">
        <v>355</v>
      </c>
      <c r="D214" s="494" t="s">
        <v>348</v>
      </c>
      <c r="E214" s="8">
        <v>1</v>
      </c>
      <c r="F214" s="8">
        <v>12</v>
      </c>
      <c r="G214" s="494"/>
      <c r="H214" s="494"/>
      <c r="I214" s="494"/>
      <c r="J214" s="494"/>
    </row>
    <row r="215" spans="1:10">
      <c r="A215" s="331">
        <v>44106</v>
      </c>
      <c r="B215" s="8">
        <v>11</v>
      </c>
      <c r="C215" s="494" t="s">
        <v>349</v>
      </c>
      <c r="D215" s="494" t="s">
        <v>348</v>
      </c>
      <c r="E215" s="8">
        <v>1</v>
      </c>
      <c r="F215" s="8">
        <v>12</v>
      </c>
      <c r="G215" s="494"/>
      <c r="H215" s="494"/>
      <c r="I215" s="494"/>
      <c r="J215" s="494"/>
    </row>
    <row r="216" spans="1:10">
      <c r="A216" s="331">
        <v>44107</v>
      </c>
      <c r="B216" s="8">
        <v>12</v>
      </c>
      <c r="C216" s="494" t="s">
        <v>355</v>
      </c>
      <c r="D216" s="494" t="s">
        <v>148</v>
      </c>
      <c r="E216" s="8">
        <v>1</v>
      </c>
      <c r="F216" s="8">
        <v>6</v>
      </c>
      <c r="G216" s="494"/>
      <c r="H216" s="494"/>
      <c r="I216" s="494"/>
      <c r="J216" s="494"/>
    </row>
    <row r="217" spans="1:10">
      <c r="A217" s="331">
        <v>44107</v>
      </c>
      <c r="B217" s="8">
        <v>11</v>
      </c>
      <c r="C217" s="494" t="s">
        <v>349</v>
      </c>
      <c r="D217" s="494" t="s">
        <v>148</v>
      </c>
      <c r="E217" s="8">
        <v>1</v>
      </c>
      <c r="F217" s="8">
        <v>6</v>
      </c>
      <c r="G217" s="494"/>
      <c r="H217" s="494"/>
      <c r="I217" s="494"/>
      <c r="J217" s="494"/>
    </row>
    <row r="218" spans="1:10">
      <c r="A218" s="331">
        <v>44109</v>
      </c>
      <c r="B218" s="8">
        <v>12</v>
      </c>
      <c r="C218" s="494" t="s">
        <v>355</v>
      </c>
      <c r="D218" s="494" t="s">
        <v>148</v>
      </c>
      <c r="E218" s="8">
        <v>5</v>
      </c>
      <c r="F218" s="8">
        <v>6</v>
      </c>
      <c r="G218" s="494"/>
      <c r="H218" s="494"/>
      <c r="I218" s="494"/>
      <c r="J218" s="494"/>
    </row>
    <row r="219" spans="1:10">
      <c r="A219" s="331">
        <v>44109</v>
      </c>
      <c r="B219" s="8">
        <v>11</v>
      </c>
      <c r="C219" s="494" t="s">
        <v>349</v>
      </c>
      <c r="D219" s="494" t="s">
        <v>148</v>
      </c>
      <c r="E219" s="8">
        <v>5</v>
      </c>
      <c r="F219" s="8">
        <v>6</v>
      </c>
      <c r="G219" s="494"/>
      <c r="H219" s="494"/>
      <c r="I219" s="494"/>
      <c r="J219" s="494"/>
    </row>
    <row r="220" spans="1:10">
      <c r="A220" s="331">
        <v>44110</v>
      </c>
      <c r="B220" s="8">
        <v>14</v>
      </c>
      <c r="C220" s="494" t="s">
        <v>355</v>
      </c>
      <c r="D220" s="494" t="s">
        <v>338</v>
      </c>
      <c r="E220" s="8">
        <v>5</v>
      </c>
      <c r="F220" s="8">
        <v>6</v>
      </c>
      <c r="G220" s="494"/>
      <c r="H220" s="494"/>
      <c r="I220" s="494"/>
      <c r="J220" s="494"/>
    </row>
    <row r="221" spans="1:10">
      <c r="A221" s="331">
        <v>44110</v>
      </c>
      <c r="B221" s="8">
        <v>13</v>
      </c>
      <c r="C221" s="494" t="s">
        <v>349</v>
      </c>
      <c r="D221" s="494" t="s">
        <v>338</v>
      </c>
      <c r="E221" s="8">
        <v>5</v>
      </c>
      <c r="F221" s="8">
        <v>6</v>
      </c>
      <c r="G221" s="494"/>
      <c r="H221" s="494"/>
      <c r="I221" s="494"/>
      <c r="J221" s="494"/>
    </row>
    <row r="222" spans="1:10">
      <c r="A222" s="331">
        <v>44111</v>
      </c>
      <c r="B222" s="8">
        <v>13</v>
      </c>
      <c r="C222" s="494" t="s">
        <v>355</v>
      </c>
      <c r="D222" s="494" t="s">
        <v>348</v>
      </c>
      <c r="E222" s="8">
        <v>5</v>
      </c>
      <c r="F222" s="8">
        <v>6</v>
      </c>
      <c r="G222" s="494"/>
      <c r="H222" s="494"/>
      <c r="I222" s="494"/>
      <c r="J222" s="494"/>
    </row>
    <row r="223" spans="1:10">
      <c r="A223" s="331">
        <v>44111</v>
      </c>
      <c r="B223" s="8">
        <v>12</v>
      </c>
      <c r="C223" s="494" t="s">
        <v>349</v>
      </c>
      <c r="D223" s="494" t="s">
        <v>348</v>
      </c>
      <c r="E223" s="8">
        <v>5</v>
      </c>
      <c r="F223" s="8">
        <v>6</v>
      </c>
      <c r="G223" s="494"/>
      <c r="H223" s="494"/>
      <c r="I223" s="494"/>
      <c r="J223" s="494"/>
    </row>
    <row r="224" spans="1:10">
      <c r="A224" s="331">
        <v>44112</v>
      </c>
      <c r="B224" s="8">
        <v>10</v>
      </c>
      <c r="C224" s="494" t="s">
        <v>355</v>
      </c>
      <c r="D224" s="494" t="s">
        <v>348</v>
      </c>
      <c r="E224" s="8">
        <v>5</v>
      </c>
      <c r="F224" s="8">
        <v>6</v>
      </c>
      <c r="G224" s="494"/>
      <c r="H224" s="494"/>
      <c r="I224" s="494"/>
      <c r="J224" s="494"/>
    </row>
    <row r="225" spans="1:10">
      <c r="A225" s="331">
        <v>44112</v>
      </c>
      <c r="B225" s="8">
        <v>11</v>
      </c>
      <c r="C225" s="494" t="s">
        <v>349</v>
      </c>
      <c r="D225" s="494" t="s">
        <v>154</v>
      </c>
      <c r="E225" s="8"/>
      <c r="F225" s="8"/>
      <c r="G225" s="494" t="s">
        <v>375</v>
      </c>
      <c r="H225" s="494" t="s">
        <v>373</v>
      </c>
      <c r="I225" s="494"/>
      <c r="J225" s="494"/>
    </row>
    <row r="226" spans="1:10">
      <c r="A226" s="331">
        <v>44112</v>
      </c>
      <c r="B226" s="8">
        <v>13</v>
      </c>
      <c r="C226" s="494" t="s">
        <v>349</v>
      </c>
      <c r="D226" s="494" t="s">
        <v>148</v>
      </c>
      <c r="E226" s="8">
        <v>3</v>
      </c>
      <c r="F226" s="8">
        <v>6</v>
      </c>
      <c r="G226" s="494" t="s">
        <v>376</v>
      </c>
      <c r="H226" s="494"/>
      <c r="I226" s="494"/>
      <c r="J226" s="494"/>
    </row>
    <row r="227" spans="1:10">
      <c r="A227" s="331">
        <v>44113</v>
      </c>
      <c r="B227" s="8">
        <v>11</v>
      </c>
      <c r="C227" s="494" t="s">
        <v>355</v>
      </c>
      <c r="D227" s="494" t="s">
        <v>154</v>
      </c>
      <c r="E227" s="8">
        <v>1</v>
      </c>
      <c r="F227" s="8">
        <v>12</v>
      </c>
      <c r="G227" s="494" t="s">
        <v>410</v>
      </c>
      <c r="H227" s="494" t="s">
        <v>373</v>
      </c>
      <c r="I227" s="494"/>
      <c r="J227" s="494"/>
    </row>
    <row r="228" spans="1:10">
      <c r="A228" s="331">
        <v>44113</v>
      </c>
      <c r="B228" s="8">
        <v>12</v>
      </c>
      <c r="C228" s="494" t="s">
        <v>355</v>
      </c>
      <c r="D228" s="494" t="s">
        <v>152</v>
      </c>
      <c r="E228" s="8"/>
      <c r="F228" s="8"/>
      <c r="G228" s="494" t="s">
        <v>292</v>
      </c>
      <c r="H228" s="494"/>
      <c r="I228" s="494"/>
      <c r="J228" s="494"/>
    </row>
    <row r="229" spans="1:10">
      <c r="A229" s="331">
        <v>44113</v>
      </c>
      <c r="B229" s="8">
        <v>10</v>
      </c>
      <c r="C229" s="494" t="s">
        <v>349</v>
      </c>
      <c r="D229" s="494" t="s">
        <v>348</v>
      </c>
      <c r="E229" s="8">
        <v>3</v>
      </c>
      <c r="F229" s="8">
        <v>6</v>
      </c>
      <c r="G229" s="494"/>
      <c r="H229" s="494"/>
      <c r="I229" s="494"/>
      <c r="J229" s="494"/>
    </row>
    <row r="230" spans="1:10">
      <c r="A230" s="331">
        <v>44116</v>
      </c>
      <c r="B230" s="8">
        <v>11</v>
      </c>
      <c r="C230" s="494" t="s">
        <v>374</v>
      </c>
      <c r="D230" s="494" t="s">
        <v>148</v>
      </c>
      <c r="E230" s="8">
        <v>1</v>
      </c>
      <c r="F230" s="8">
        <v>6</v>
      </c>
      <c r="G230" s="494" t="s">
        <v>377</v>
      </c>
      <c r="H230" s="494"/>
      <c r="I230" s="494"/>
      <c r="J230" s="494"/>
    </row>
    <row r="231" spans="1:10">
      <c r="A231" s="331">
        <v>44116</v>
      </c>
      <c r="B231" s="8">
        <v>10</v>
      </c>
      <c r="C231" s="494" t="s">
        <v>349</v>
      </c>
      <c r="D231" s="494" t="s">
        <v>148</v>
      </c>
      <c r="E231" s="8">
        <v>1</v>
      </c>
      <c r="F231" s="8">
        <v>6</v>
      </c>
      <c r="G231" s="494" t="s">
        <v>377</v>
      </c>
      <c r="H231" s="494"/>
      <c r="I231" s="494"/>
      <c r="J231" s="494"/>
    </row>
    <row r="232" spans="1:10">
      <c r="A232" s="331">
        <v>44117</v>
      </c>
      <c r="B232" s="8">
        <v>12</v>
      </c>
      <c r="C232" s="494" t="s">
        <v>374</v>
      </c>
      <c r="D232" s="494" t="s">
        <v>338</v>
      </c>
      <c r="E232" s="8">
        <v>1</v>
      </c>
      <c r="F232" s="8">
        <v>6</v>
      </c>
      <c r="G232" s="494"/>
      <c r="H232" s="494"/>
      <c r="I232" s="494"/>
      <c r="J232" s="494"/>
    </row>
    <row r="233" spans="1:10">
      <c r="A233" s="331">
        <v>44117</v>
      </c>
      <c r="B233" s="8">
        <v>11</v>
      </c>
      <c r="C233" s="494" t="s">
        <v>349</v>
      </c>
      <c r="D233" s="494" t="s">
        <v>348</v>
      </c>
      <c r="E233" s="8">
        <v>1</v>
      </c>
      <c r="F233" s="8">
        <v>6</v>
      </c>
      <c r="G233" s="494"/>
      <c r="H233" s="494"/>
      <c r="I233" s="494"/>
      <c r="J233" s="494"/>
    </row>
    <row r="234" spans="1:10">
      <c r="A234" s="331">
        <v>44118</v>
      </c>
      <c r="B234" s="8">
        <v>12</v>
      </c>
      <c r="C234" s="494" t="s">
        <v>374</v>
      </c>
      <c r="D234" s="494" t="s">
        <v>338</v>
      </c>
      <c r="E234" s="8">
        <v>1</v>
      </c>
      <c r="F234" s="8">
        <v>6</v>
      </c>
      <c r="G234" s="494"/>
      <c r="H234" s="494"/>
      <c r="I234" s="494"/>
      <c r="J234" s="494"/>
    </row>
    <row r="235" spans="1:10">
      <c r="A235" s="331">
        <v>44118</v>
      </c>
      <c r="B235" s="8">
        <v>16</v>
      </c>
      <c r="C235" s="494" t="s">
        <v>374</v>
      </c>
      <c r="D235" s="494" t="s">
        <v>348</v>
      </c>
      <c r="E235" s="8"/>
      <c r="F235" s="8"/>
      <c r="G235" s="494"/>
      <c r="H235" s="494"/>
      <c r="I235" s="494"/>
      <c r="J235" s="494"/>
    </row>
    <row r="236" spans="1:10">
      <c r="A236" s="331">
        <v>44118</v>
      </c>
      <c r="B236" s="8">
        <v>11</v>
      </c>
      <c r="C236" s="494" t="s">
        <v>349</v>
      </c>
      <c r="D236" s="494" t="s">
        <v>348</v>
      </c>
      <c r="E236" s="8">
        <v>1</v>
      </c>
      <c r="F236" s="8">
        <v>6</v>
      </c>
      <c r="G236" s="494"/>
      <c r="H236" s="494"/>
      <c r="I236" s="494"/>
      <c r="J236" s="494"/>
    </row>
    <row r="237" spans="1:10">
      <c r="A237" s="331">
        <v>44119</v>
      </c>
      <c r="B237" s="8">
        <v>8</v>
      </c>
      <c r="C237" s="494" t="s">
        <v>374</v>
      </c>
      <c r="D237" s="494" t="s">
        <v>348</v>
      </c>
      <c r="E237" s="8">
        <v>1</v>
      </c>
      <c r="F237" s="8">
        <v>6</v>
      </c>
      <c r="G237" s="494" t="s">
        <v>380</v>
      </c>
      <c r="H237" s="494"/>
      <c r="I237" s="494"/>
      <c r="J237" s="494"/>
    </row>
    <row r="238" spans="1:10">
      <c r="A238" s="331">
        <v>44119</v>
      </c>
      <c r="B238" s="8">
        <v>12</v>
      </c>
      <c r="C238" s="494" t="s">
        <v>349</v>
      </c>
      <c r="D238" s="494" t="s">
        <v>148</v>
      </c>
      <c r="E238" s="8">
        <v>2</v>
      </c>
      <c r="F238" s="8">
        <v>6</v>
      </c>
      <c r="G238" s="494" t="s">
        <v>379</v>
      </c>
      <c r="H238" s="494"/>
      <c r="I238" s="494"/>
      <c r="J238" s="494"/>
    </row>
    <row r="239" spans="1:10">
      <c r="A239" s="331">
        <v>44120</v>
      </c>
      <c r="B239" s="8">
        <v>8</v>
      </c>
      <c r="C239" s="494" t="s">
        <v>374</v>
      </c>
      <c r="D239" s="494" t="s">
        <v>338</v>
      </c>
      <c r="E239" s="8">
        <v>1</v>
      </c>
      <c r="F239" s="8">
        <v>6</v>
      </c>
      <c r="G239" s="494"/>
      <c r="H239" s="494"/>
      <c r="I239" s="494"/>
      <c r="J239" s="494"/>
    </row>
    <row r="240" spans="1:10">
      <c r="A240" s="331">
        <v>44120</v>
      </c>
      <c r="B240" s="8">
        <v>12</v>
      </c>
      <c r="C240" s="494" t="s">
        <v>349</v>
      </c>
      <c r="D240" s="494" t="s">
        <v>338</v>
      </c>
      <c r="E240" s="8">
        <v>2</v>
      </c>
      <c r="F240" s="8">
        <v>6</v>
      </c>
      <c r="G240" s="494"/>
      <c r="H240" s="494"/>
      <c r="I240" s="494"/>
      <c r="J240" s="494"/>
    </row>
    <row r="241" spans="1:10">
      <c r="A241" s="331">
        <v>44121</v>
      </c>
      <c r="B241" s="8">
        <v>8</v>
      </c>
      <c r="C241" s="494" t="s">
        <v>374</v>
      </c>
      <c r="D241" s="494" t="s">
        <v>338</v>
      </c>
      <c r="E241" s="8">
        <v>1</v>
      </c>
      <c r="F241" s="8">
        <v>6</v>
      </c>
      <c r="G241" s="494"/>
      <c r="H241" s="494"/>
      <c r="I241" s="494"/>
      <c r="J241" s="494"/>
    </row>
    <row r="242" spans="1:10">
      <c r="A242" s="331">
        <v>44121</v>
      </c>
      <c r="B242" s="8">
        <v>12</v>
      </c>
      <c r="C242" s="494" t="s">
        <v>349</v>
      </c>
      <c r="D242" s="494" t="s">
        <v>148</v>
      </c>
      <c r="E242" s="8">
        <v>4</v>
      </c>
      <c r="F242" s="8">
        <v>6</v>
      </c>
      <c r="G242" s="494" t="s">
        <v>381</v>
      </c>
      <c r="H242" s="494"/>
      <c r="I242" s="494"/>
      <c r="J242" s="494"/>
    </row>
    <row r="243" spans="1:10">
      <c r="A243" s="331">
        <v>44123</v>
      </c>
      <c r="B243" s="8">
        <v>8</v>
      </c>
      <c r="C243" s="494" t="s">
        <v>374</v>
      </c>
      <c r="D243" s="494" t="s">
        <v>348</v>
      </c>
      <c r="E243" s="8">
        <v>1</v>
      </c>
      <c r="F243" s="8">
        <v>6</v>
      </c>
      <c r="G243" s="494"/>
      <c r="H243" s="494"/>
      <c r="I243" s="494"/>
      <c r="J243" s="494"/>
    </row>
    <row r="244" spans="1:10">
      <c r="A244" s="331">
        <v>44123</v>
      </c>
      <c r="B244" s="8">
        <v>12</v>
      </c>
      <c r="C244" s="494" t="s">
        <v>349</v>
      </c>
      <c r="D244" s="494" t="s">
        <v>348</v>
      </c>
      <c r="E244" s="8">
        <v>4</v>
      </c>
      <c r="F244" s="8">
        <v>6</v>
      </c>
      <c r="G244" s="494"/>
      <c r="H244" s="494"/>
      <c r="I244" s="494"/>
      <c r="J244" s="494"/>
    </row>
    <row r="245" spans="1:10">
      <c r="A245" s="331">
        <v>44124</v>
      </c>
      <c r="B245" s="8">
        <v>7</v>
      </c>
      <c r="C245" s="494" t="s">
        <v>374</v>
      </c>
      <c r="D245" s="494" t="s">
        <v>348</v>
      </c>
      <c r="E245" s="8">
        <v>1</v>
      </c>
      <c r="F245" s="8">
        <v>6</v>
      </c>
      <c r="G245" s="494"/>
      <c r="H245" s="494"/>
      <c r="I245" s="494" t="s">
        <v>469</v>
      </c>
      <c r="J245" s="494" t="s">
        <v>470</v>
      </c>
    </row>
    <row r="246" spans="1:10">
      <c r="A246" s="331">
        <v>44124</v>
      </c>
      <c r="B246" s="8">
        <v>8</v>
      </c>
      <c r="C246" s="494" t="s">
        <v>349</v>
      </c>
      <c r="D246" s="494" t="s">
        <v>154</v>
      </c>
      <c r="E246" s="8">
        <v>1</v>
      </c>
      <c r="F246" s="8">
        <v>12</v>
      </c>
      <c r="G246" s="494" t="s">
        <v>418</v>
      </c>
      <c r="H246" s="494" t="s">
        <v>354</v>
      </c>
      <c r="I246" s="494" t="s">
        <v>469</v>
      </c>
      <c r="J246" s="494" t="s">
        <v>470</v>
      </c>
    </row>
    <row r="247" spans="1:10">
      <c r="A247" s="331">
        <v>44124</v>
      </c>
      <c r="B247" s="8">
        <v>13</v>
      </c>
      <c r="C247" s="494" t="s">
        <v>349</v>
      </c>
      <c r="D247" s="494" t="s">
        <v>417</v>
      </c>
      <c r="E247" s="8"/>
      <c r="F247" s="8"/>
      <c r="G247" s="494" t="s">
        <v>508</v>
      </c>
      <c r="H247" s="494"/>
      <c r="I247" s="494" t="s">
        <v>469</v>
      </c>
      <c r="J247" s="494" t="s">
        <v>470</v>
      </c>
    </row>
    <row r="248" spans="1:10">
      <c r="A248" s="331">
        <v>44125</v>
      </c>
      <c r="B248" s="8">
        <v>8</v>
      </c>
      <c r="C248" s="494" t="s">
        <v>374</v>
      </c>
      <c r="D248" s="494" t="s">
        <v>348</v>
      </c>
      <c r="E248" s="8">
        <v>1</v>
      </c>
      <c r="F248" s="8">
        <v>6</v>
      </c>
      <c r="G248" s="494"/>
      <c r="H248" s="494" t="s">
        <v>384</v>
      </c>
      <c r="I248" s="494"/>
      <c r="J248" s="494"/>
    </row>
    <row r="249" spans="1:10">
      <c r="A249" s="331">
        <v>44126</v>
      </c>
      <c r="B249" s="8">
        <v>7</v>
      </c>
      <c r="C249" s="494" t="s">
        <v>374</v>
      </c>
      <c r="D249" s="494" t="s">
        <v>154</v>
      </c>
      <c r="E249" s="8">
        <v>1</v>
      </c>
      <c r="F249" s="8">
        <v>12</v>
      </c>
      <c r="G249" s="494" t="s">
        <v>393</v>
      </c>
      <c r="H249" s="494" t="s">
        <v>384</v>
      </c>
      <c r="I249" s="494"/>
      <c r="J249" s="494"/>
    </row>
    <row r="250" spans="1:10">
      <c r="A250" s="331">
        <v>44127</v>
      </c>
      <c r="B250" s="8">
        <v>7</v>
      </c>
      <c r="C250" s="494" t="s">
        <v>385</v>
      </c>
      <c r="D250" s="494" t="s">
        <v>338</v>
      </c>
      <c r="E250" s="8">
        <v>1</v>
      </c>
      <c r="F250" s="8">
        <v>12</v>
      </c>
      <c r="G250" s="494"/>
      <c r="H250" s="494"/>
      <c r="I250" s="494"/>
      <c r="J250" s="494"/>
    </row>
    <row r="251" spans="1:10">
      <c r="A251" s="331">
        <v>44129</v>
      </c>
      <c r="B251" s="8">
        <v>7</v>
      </c>
      <c r="C251" s="494" t="s">
        <v>385</v>
      </c>
      <c r="D251" s="494" t="s">
        <v>338</v>
      </c>
      <c r="E251" s="8">
        <v>1</v>
      </c>
      <c r="F251" s="8">
        <v>12</v>
      </c>
      <c r="G251" s="494"/>
      <c r="H251" s="494"/>
      <c r="I251" s="494"/>
      <c r="J251" s="494"/>
    </row>
    <row r="252" spans="1:10">
      <c r="A252" s="331">
        <v>44131</v>
      </c>
      <c r="B252" s="8">
        <v>7</v>
      </c>
      <c r="C252" s="494" t="s">
        <v>355</v>
      </c>
      <c r="D252" s="494" t="s">
        <v>276</v>
      </c>
      <c r="E252" s="8"/>
      <c r="F252" s="8"/>
      <c r="G252" s="494" t="s">
        <v>396</v>
      </c>
      <c r="H252" s="494"/>
      <c r="I252" s="494"/>
      <c r="J252" s="494"/>
    </row>
    <row r="253" spans="1:10">
      <c r="A253" s="331">
        <v>44131</v>
      </c>
      <c r="B253" s="8">
        <v>8</v>
      </c>
      <c r="C253" s="494" t="s">
        <v>385</v>
      </c>
      <c r="D253" s="494" t="s">
        <v>348</v>
      </c>
      <c r="E253" s="8">
        <v>1</v>
      </c>
      <c r="F253" s="8">
        <v>12</v>
      </c>
      <c r="G253" s="494"/>
      <c r="H253" s="494"/>
      <c r="I253" s="494"/>
      <c r="J253" s="494"/>
    </row>
    <row r="254" spans="1:10">
      <c r="A254" s="331">
        <v>44132</v>
      </c>
      <c r="B254" s="8">
        <v>7</v>
      </c>
      <c r="C254" s="494" t="s">
        <v>385</v>
      </c>
      <c r="D254" s="494" t="s">
        <v>348</v>
      </c>
      <c r="E254" s="8">
        <v>1</v>
      </c>
      <c r="F254" s="8">
        <v>12</v>
      </c>
      <c r="G254" s="494"/>
      <c r="H254" s="494"/>
      <c r="I254" s="494"/>
      <c r="J254" s="494"/>
    </row>
    <row r="255" spans="1:10">
      <c r="A255" s="331">
        <v>44133</v>
      </c>
      <c r="B255" s="8">
        <v>7</v>
      </c>
      <c r="C255" s="494" t="s">
        <v>385</v>
      </c>
      <c r="D255" s="494" t="s">
        <v>348</v>
      </c>
      <c r="E255" s="8">
        <v>1</v>
      </c>
      <c r="F255" s="8">
        <v>12</v>
      </c>
      <c r="G255" s="494"/>
      <c r="H255" s="494"/>
      <c r="I255" s="494"/>
      <c r="J255" s="494"/>
    </row>
    <row r="256" spans="1:10">
      <c r="A256" s="331">
        <v>44134</v>
      </c>
      <c r="B256" s="8">
        <v>7</v>
      </c>
      <c r="C256" s="494" t="s">
        <v>385</v>
      </c>
      <c r="D256" s="494" t="s">
        <v>348</v>
      </c>
      <c r="E256" s="8">
        <v>1</v>
      </c>
      <c r="F256" s="8">
        <v>12</v>
      </c>
      <c r="G256" s="494"/>
      <c r="H256" s="494"/>
      <c r="I256" s="494"/>
      <c r="J256" s="494"/>
    </row>
    <row r="257" spans="1:10">
      <c r="A257" s="331">
        <v>44135</v>
      </c>
      <c r="B257" s="8">
        <v>7</v>
      </c>
      <c r="C257" s="494" t="s">
        <v>385</v>
      </c>
      <c r="D257" s="494" t="s">
        <v>148</v>
      </c>
      <c r="E257" s="8">
        <v>1</v>
      </c>
      <c r="F257" s="8">
        <v>6</v>
      </c>
      <c r="G257" s="494"/>
      <c r="H257" s="494"/>
      <c r="I257" s="494"/>
      <c r="J257" s="494"/>
    </row>
    <row r="258" spans="1:10">
      <c r="A258" s="331">
        <v>44137</v>
      </c>
      <c r="B258" s="8">
        <v>7</v>
      </c>
      <c r="C258" s="494" t="s">
        <v>385</v>
      </c>
      <c r="D258" s="494" t="s">
        <v>348</v>
      </c>
      <c r="E258" s="8">
        <v>2</v>
      </c>
      <c r="F258" s="8">
        <v>6</v>
      </c>
      <c r="G258" s="494"/>
      <c r="H258" s="494"/>
      <c r="I258" s="494"/>
      <c r="J258" s="494"/>
    </row>
    <row r="259" spans="1:10">
      <c r="A259" s="331">
        <v>44138</v>
      </c>
      <c r="B259" s="8">
        <v>7</v>
      </c>
      <c r="C259" s="494" t="s">
        <v>385</v>
      </c>
      <c r="D259" s="494"/>
      <c r="E259" s="8">
        <v>1</v>
      </c>
      <c r="F259" s="8">
        <v>6</v>
      </c>
      <c r="G259" s="494"/>
      <c r="H259" s="494"/>
      <c r="I259" s="494"/>
      <c r="J259" s="494"/>
    </row>
    <row r="260" spans="1:10">
      <c r="A260" s="331">
        <v>44139</v>
      </c>
      <c r="B260" s="8">
        <v>7</v>
      </c>
      <c r="C260" s="494" t="s">
        <v>385</v>
      </c>
      <c r="D260" s="494" t="s">
        <v>348</v>
      </c>
      <c r="E260" s="8">
        <v>1</v>
      </c>
      <c r="F260" s="8">
        <v>6</v>
      </c>
      <c r="G260" s="494"/>
      <c r="H260" s="494"/>
      <c r="I260" s="494"/>
      <c r="J260" s="494"/>
    </row>
    <row r="261" spans="1:10">
      <c r="A261" s="331">
        <v>44140</v>
      </c>
      <c r="B261" s="8">
        <v>7</v>
      </c>
      <c r="C261" s="494" t="s">
        <v>385</v>
      </c>
      <c r="D261" s="494" t="s">
        <v>148</v>
      </c>
      <c r="E261" s="8">
        <v>6</v>
      </c>
      <c r="F261" s="8">
        <v>6</v>
      </c>
      <c r="G261" s="494" t="s">
        <v>404</v>
      </c>
      <c r="H261" s="494"/>
      <c r="I261" s="494"/>
      <c r="J261" s="494"/>
    </row>
    <row r="262" spans="1:10">
      <c r="A262" s="331">
        <v>44141</v>
      </c>
      <c r="B262" s="8">
        <v>7</v>
      </c>
      <c r="C262" s="494" t="s">
        <v>385</v>
      </c>
      <c r="D262" s="494" t="s">
        <v>348</v>
      </c>
      <c r="E262" s="8">
        <v>6</v>
      </c>
      <c r="F262" s="8">
        <v>6</v>
      </c>
      <c r="G262" s="494"/>
      <c r="H262" s="494"/>
      <c r="I262" s="494"/>
      <c r="J262" s="494"/>
    </row>
    <row r="263" spans="1:10">
      <c r="A263" s="331">
        <v>44142</v>
      </c>
      <c r="B263" s="8">
        <v>7</v>
      </c>
      <c r="C263" s="494" t="s">
        <v>385</v>
      </c>
      <c r="D263" s="494" t="s">
        <v>148</v>
      </c>
      <c r="E263" s="8"/>
      <c r="F263" s="8"/>
      <c r="G263" s="494" t="s">
        <v>407</v>
      </c>
      <c r="H263" s="494"/>
      <c r="I263" s="494"/>
      <c r="J263" s="494"/>
    </row>
    <row r="264" spans="1:10">
      <c r="A264" s="331">
        <v>44144</v>
      </c>
      <c r="B264" s="8">
        <v>7</v>
      </c>
      <c r="C264" s="494" t="s">
        <v>385</v>
      </c>
      <c r="D264" s="494" t="s">
        <v>348</v>
      </c>
      <c r="E264" s="8">
        <v>5</v>
      </c>
      <c r="F264" s="8">
        <v>10</v>
      </c>
      <c r="G264" s="494"/>
      <c r="H264" s="494"/>
      <c r="I264" s="494"/>
      <c r="J264" s="494"/>
    </row>
    <row r="265" spans="1:10">
      <c r="A265" s="331">
        <v>44145</v>
      </c>
      <c r="B265" s="8">
        <v>12</v>
      </c>
      <c r="C265" s="494" t="s">
        <v>385</v>
      </c>
      <c r="D265" s="494" t="s">
        <v>348</v>
      </c>
      <c r="E265" s="8">
        <v>5</v>
      </c>
      <c r="F265" s="8">
        <v>10</v>
      </c>
      <c r="G265" s="494"/>
      <c r="H265" s="494"/>
      <c r="I265" s="494"/>
      <c r="J265" s="494"/>
    </row>
    <row r="266" spans="1:10">
      <c r="A266" s="331">
        <v>44147</v>
      </c>
      <c r="B266" s="8">
        <v>11</v>
      </c>
      <c r="C266" s="494" t="s">
        <v>385</v>
      </c>
      <c r="D266" s="494" t="s">
        <v>348</v>
      </c>
      <c r="E266" s="8">
        <v>5</v>
      </c>
      <c r="F266" s="8">
        <v>10</v>
      </c>
      <c r="G266" s="494"/>
      <c r="H266" s="494"/>
      <c r="I266" s="494"/>
      <c r="J266" s="494"/>
    </row>
    <row r="267" spans="1:10">
      <c r="A267" s="331">
        <v>44149</v>
      </c>
      <c r="B267" s="8">
        <v>10</v>
      </c>
      <c r="C267" s="494" t="s">
        <v>385</v>
      </c>
      <c r="D267" s="494" t="s">
        <v>348</v>
      </c>
      <c r="E267" s="8">
        <v>5</v>
      </c>
      <c r="F267" s="8">
        <v>10</v>
      </c>
      <c r="G267" s="494"/>
      <c r="H267" s="494"/>
      <c r="I267" s="494"/>
      <c r="J267" s="494"/>
    </row>
    <row r="268" spans="1:10">
      <c r="A268" s="331">
        <v>44151</v>
      </c>
      <c r="B268" s="8">
        <v>9</v>
      </c>
      <c r="C268" s="494" t="s">
        <v>385</v>
      </c>
      <c r="D268" s="494" t="s">
        <v>348</v>
      </c>
      <c r="E268" s="8">
        <v>5</v>
      </c>
      <c r="F268" s="8">
        <v>10</v>
      </c>
      <c r="G268" s="494"/>
      <c r="H268" s="494"/>
      <c r="I268" s="494"/>
      <c r="J268" s="494"/>
    </row>
    <row r="269" spans="1:10">
      <c r="A269" s="331">
        <v>44152</v>
      </c>
      <c r="B269" s="8">
        <v>11</v>
      </c>
      <c r="C269" s="494" t="s">
        <v>355</v>
      </c>
      <c r="D269" s="494" t="s">
        <v>146</v>
      </c>
      <c r="E269" s="8">
        <v>1</v>
      </c>
      <c r="F269" s="8">
        <v>6</v>
      </c>
      <c r="G269" s="494" t="s">
        <v>434</v>
      </c>
      <c r="H269" s="494"/>
      <c r="I269" s="494"/>
      <c r="J269" s="494"/>
    </row>
    <row r="270" spans="1:10">
      <c r="A270" s="331">
        <v>44153</v>
      </c>
      <c r="B270" s="8">
        <v>8</v>
      </c>
      <c r="C270" s="494" t="s">
        <v>355</v>
      </c>
      <c r="D270" s="494" t="s">
        <v>348</v>
      </c>
      <c r="E270" s="8">
        <v>1</v>
      </c>
      <c r="F270" s="8">
        <v>6</v>
      </c>
      <c r="G270" s="494"/>
      <c r="H270" s="494"/>
      <c r="I270" s="494"/>
      <c r="J270" s="494"/>
    </row>
    <row r="271" spans="1:10">
      <c r="A271" s="331">
        <v>44153</v>
      </c>
      <c r="B271" s="8">
        <v>7</v>
      </c>
      <c r="C271" s="494" t="s">
        <v>385</v>
      </c>
      <c r="D271" s="494" t="s">
        <v>348</v>
      </c>
      <c r="E271" s="8">
        <v>5</v>
      </c>
      <c r="F271" s="8">
        <v>10</v>
      </c>
      <c r="G271" s="494"/>
      <c r="H271" s="494"/>
      <c r="I271" s="494"/>
      <c r="J271" s="494"/>
    </row>
    <row r="272" spans="1:10">
      <c r="A272" s="331">
        <v>44155</v>
      </c>
      <c r="B272" s="8">
        <v>8</v>
      </c>
      <c r="C272" s="494" t="s">
        <v>355</v>
      </c>
      <c r="D272" s="494" t="s">
        <v>148</v>
      </c>
      <c r="E272" s="8">
        <v>5</v>
      </c>
      <c r="F272" s="8">
        <v>6</v>
      </c>
      <c r="G272" s="494"/>
      <c r="H272" s="494"/>
      <c r="I272" s="494"/>
      <c r="J272" s="494"/>
    </row>
    <row r="273" spans="1:10">
      <c r="A273" s="331">
        <v>44157</v>
      </c>
      <c r="B273" s="8">
        <v>8</v>
      </c>
      <c r="C273" s="494" t="s">
        <v>355</v>
      </c>
      <c r="D273" s="494" t="s">
        <v>154</v>
      </c>
      <c r="E273" s="8">
        <v>1</v>
      </c>
      <c r="F273" s="8">
        <v>6</v>
      </c>
      <c r="G273" s="494" t="s">
        <v>444</v>
      </c>
      <c r="H273" s="494" t="s">
        <v>373</v>
      </c>
      <c r="I273" s="494"/>
      <c r="J273" s="494"/>
    </row>
    <row r="274" spans="1:10">
      <c r="A274" s="331">
        <v>44158</v>
      </c>
      <c r="B274" s="8">
        <v>11</v>
      </c>
      <c r="C274" s="494" t="s">
        <v>355</v>
      </c>
      <c r="D274" s="494" t="s">
        <v>148</v>
      </c>
      <c r="E274" s="8"/>
      <c r="F274" s="8"/>
      <c r="G274" s="494" t="s">
        <v>451</v>
      </c>
      <c r="H274" s="494"/>
      <c r="I274" s="494"/>
      <c r="J274" s="494"/>
    </row>
    <row r="275" spans="1:10">
      <c r="A275" s="331">
        <v>44159</v>
      </c>
      <c r="B275" s="8">
        <v>10</v>
      </c>
      <c r="C275" s="494" t="s">
        <v>374</v>
      </c>
      <c r="D275" s="494" t="s">
        <v>348</v>
      </c>
      <c r="E275" s="8">
        <v>1</v>
      </c>
      <c r="F275" s="8">
        <v>6</v>
      </c>
      <c r="G275" s="494"/>
      <c r="H275" s="494"/>
      <c r="I275" s="494"/>
      <c r="J275" s="494"/>
    </row>
    <row r="276" spans="1:10">
      <c r="A276" s="331">
        <v>44160</v>
      </c>
      <c r="B276" s="8">
        <v>9</v>
      </c>
      <c r="C276" s="494" t="s">
        <v>374</v>
      </c>
      <c r="D276" s="494" t="s">
        <v>348</v>
      </c>
      <c r="E276" s="8">
        <v>1</v>
      </c>
      <c r="F276" s="8">
        <v>6</v>
      </c>
      <c r="G276" s="494"/>
      <c r="H276" s="494"/>
      <c r="I276" s="494"/>
      <c r="J276" s="494"/>
    </row>
    <row r="277" spans="1:10">
      <c r="A277" s="331">
        <v>44162</v>
      </c>
      <c r="B277" s="8">
        <v>9</v>
      </c>
      <c r="C277" s="494" t="s">
        <v>374</v>
      </c>
      <c r="D277" s="494" t="s">
        <v>348</v>
      </c>
      <c r="E277" s="8">
        <v>1</v>
      </c>
      <c r="F277" s="8">
        <v>6</v>
      </c>
      <c r="G277" s="494"/>
      <c r="H277" s="494"/>
      <c r="I277" s="494"/>
      <c r="J277" s="494"/>
    </row>
    <row r="278" spans="1:10">
      <c r="A278" s="331">
        <v>44164</v>
      </c>
      <c r="B278" s="8">
        <v>15</v>
      </c>
      <c r="C278" s="494" t="s">
        <v>355</v>
      </c>
      <c r="D278" s="494" t="s">
        <v>276</v>
      </c>
      <c r="E278" s="8">
        <v>1</v>
      </c>
      <c r="F278" s="8"/>
      <c r="G278" s="494"/>
      <c r="H278" s="494"/>
      <c r="I278" s="494"/>
      <c r="J278" s="494"/>
    </row>
    <row r="279" spans="1:10">
      <c r="A279" s="331">
        <v>44164</v>
      </c>
      <c r="B279" s="8">
        <v>8</v>
      </c>
      <c r="C279" s="494" t="s">
        <v>374</v>
      </c>
      <c r="D279" s="494" t="s">
        <v>348</v>
      </c>
      <c r="E279" s="8">
        <v>1</v>
      </c>
      <c r="F279" s="8">
        <v>6</v>
      </c>
      <c r="G279" s="494"/>
      <c r="H279" s="494"/>
      <c r="I279" s="494"/>
      <c r="J279" s="494"/>
    </row>
    <row r="280" spans="1:10">
      <c r="A280" s="331">
        <v>44165</v>
      </c>
      <c r="B280" s="8">
        <v>8</v>
      </c>
      <c r="C280" s="494" t="s">
        <v>355</v>
      </c>
      <c r="D280" s="494" t="s">
        <v>348</v>
      </c>
      <c r="E280" s="8">
        <v>1</v>
      </c>
      <c r="F280" s="8">
        <v>6</v>
      </c>
      <c r="G280" s="494"/>
      <c r="H280" s="494"/>
      <c r="I280" s="494"/>
      <c r="J280" s="494"/>
    </row>
    <row r="281" spans="1:10">
      <c r="A281" s="331">
        <v>44166</v>
      </c>
      <c r="B281" s="8">
        <v>8</v>
      </c>
      <c r="C281" s="494" t="s">
        <v>355</v>
      </c>
      <c r="D281" s="494" t="s">
        <v>348</v>
      </c>
      <c r="E281" s="8">
        <v>1</v>
      </c>
      <c r="F281" s="8">
        <v>6</v>
      </c>
      <c r="G281" s="494"/>
      <c r="H281" s="494"/>
      <c r="I281" s="494"/>
      <c r="J281" s="494"/>
    </row>
    <row r="282" spans="1:10">
      <c r="A282" s="331">
        <v>44168</v>
      </c>
      <c r="B282" s="8">
        <v>8</v>
      </c>
      <c r="C282" s="494" t="s">
        <v>355</v>
      </c>
      <c r="D282" s="494" t="s">
        <v>348</v>
      </c>
      <c r="E282" s="8">
        <v>1</v>
      </c>
      <c r="F282" s="8">
        <v>6</v>
      </c>
      <c r="G282" s="494"/>
      <c r="H282" s="494"/>
      <c r="I282" s="494"/>
      <c r="J282" s="494"/>
    </row>
    <row r="283" spans="1:10">
      <c r="A283" s="331">
        <v>44168</v>
      </c>
      <c r="B283" s="8">
        <v>12</v>
      </c>
      <c r="C283" s="494" t="s">
        <v>355</v>
      </c>
      <c r="D283" s="494" t="s">
        <v>440</v>
      </c>
      <c r="E283" s="8"/>
      <c r="F283" s="8"/>
      <c r="G283" s="494" t="s">
        <v>457</v>
      </c>
      <c r="H283" s="494"/>
      <c r="I283" s="494"/>
      <c r="J283" s="494"/>
    </row>
    <row r="284" spans="1:10">
      <c r="A284" s="331">
        <v>44169</v>
      </c>
      <c r="B284" s="8">
        <v>7</v>
      </c>
      <c r="C284" s="494" t="s">
        <v>374</v>
      </c>
      <c r="D284" s="494" t="s">
        <v>148</v>
      </c>
      <c r="E284" s="8">
        <v>2</v>
      </c>
      <c r="F284" s="8">
        <v>6</v>
      </c>
      <c r="G284" s="494" t="s">
        <v>458</v>
      </c>
      <c r="H284" s="494"/>
      <c r="I284" s="494"/>
      <c r="J284" s="494"/>
    </row>
    <row r="285" spans="1:10">
      <c r="A285" s="331">
        <v>44170</v>
      </c>
      <c r="B285" s="8">
        <v>7</v>
      </c>
      <c r="C285" s="494" t="s">
        <v>374</v>
      </c>
      <c r="D285" s="494" t="s">
        <v>348</v>
      </c>
      <c r="E285" s="8">
        <v>2</v>
      </c>
      <c r="F285" s="8">
        <v>6</v>
      </c>
      <c r="G285" s="494"/>
      <c r="H285" s="494"/>
      <c r="I285" s="494"/>
      <c r="J285" s="494"/>
    </row>
    <row r="286" spans="1:10">
      <c r="A286" s="331">
        <v>44172</v>
      </c>
      <c r="B286" s="8">
        <v>7</v>
      </c>
      <c r="C286" s="494" t="s">
        <v>374</v>
      </c>
      <c r="D286" s="494" t="s">
        <v>148</v>
      </c>
      <c r="E286" s="8">
        <v>5</v>
      </c>
      <c r="F286" s="8">
        <v>10</v>
      </c>
      <c r="G286" s="494" t="s">
        <v>461</v>
      </c>
      <c r="H286" s="494"/>
      <c r="I286" s="494"/>
      <c r="J286" s="494"/>
    </row>
    <row r="287" spans="1:10">
      <c r="A287" s="331">
        <v>44173</v>
      </c>
      <c r="B287" s="8">
        <v>7</v>
      </c>
      <c r="C287" s="494" t="s">
        <v>374</v>
      </c>
      <c r="D287" s="494" t="s">
        <v>348</v>
      </c>
      <c r="E287" s="8">
        <v>5</v>
      </c>
      <c r="F287" s="8">
        <v>10</v>
      </c>
      <c r="G287" s="494"/>
      <c r="H287" s="494"/>
      <c r="I287" s="494"/>
      <c r="J287" s="494"/>
    </row>
    <row r="288" spans="1:10">
      <c r="A288" s="331">
        <v>44175</v>
      </c>
      <c r="B288" s="8">
        <v>8</v>
      </c>
      <c r="C288" s="494" t="s">
        <v>374</v>
      </c>
      <c r="D288" s="494" t="s">
        <v>348</v>
      </c>
      <c r="E288" s="8">
        <v>5</v>
      </c>
      <c r="F288" s="8">
        <v>10</v>
      </c>
      <c r="G288" s="494"/>
      <c r="H288" s="494"/>
      <c r="I288" s="494"/>
      <c r="J288" s="494"/>
    </row>
    <row r="289" spans="1:10">
      <c r="A289" s="331">
        <v>44177</v>
      </c>
      <c r="B289" s="8">
        <v>10</v>
      </c>
      <c r="C289" s="494" t="s">
        <v>374</v>
      </c>
      <c r="D289" s="494" t="s">
        <v>348</v>
      </c>
      <c r="E289" s="8">
        <v>5</v>
      </c>
      <c r="F289" s="8">
        <v>10</v>
      </c>
      <c r="G289" s="494"/>
      <c r="H289" s="494"/>
      <c r="I289" s="494"/>
      <c r="J289" s="494"/>
    </row>
    <row r="290" spans="1:10">
      <c r="A290" s="331">
        <v>44178</v>
      </c>
      <c r="B290" s="8">
        <v>7</v>
      </c>
      <c r="C290" s="494" t="s">
        <v>374</v>
      </c>
      <c r="D290" s="494" t="s">
        <v>152</v>
      </c>
      <c r="E290" s="8">
        <v>38</v>
      </c>
      <c r="F290" s="8" t="s">
        <v>411</v>
      </c>
      <c r="G290" s="494" t="s">
        <v>463</v>
      </c>
      <c r="H290" s="494"/>
      <c r="I290" s="494"/>
      <c r="J290" s="494"/>
    </row>
    <row r="291" spans="1:10">
      <c r="A291" s="331">
        <v>44179</v>
      </c>
      <c r="B291" s="8">
        <v>8</v>
      </c>
      <c r="C291" s="494" t="s">
        <v>374</v>
      </c>
      <c r="D291" s="494" t="s">
        <v>276</v>
      </c>
      <c r="E291" s="8"/>
      <c r="F291" s="8"/>
      <c r="G291" s="494"/>
      <c r="H291" s="494"/>
      <c r="I291" s="494" t="s">
        <v>469</v>
      </c>
      <c r="J291" s="494" t="s">
        <v>470</v>
      </c>
    </row>
    <row r="292" spans="1:10">
      <c r="A292" s="331">
        <v>44183</v>
      </c>
      <c r="B292" s="8">
        <v>8</v>
      </c>
      <c r="C292" s="494" t="s">
        <v>374</v>
      </c>
      <c r="D292" s="494" t="s">
        <v>440</v>
      </c>
      <c r="E292" s="8"/>
      <c r="F292" s="8"/>
      <c r="G292" s="494" t="s">
        <v>457</v>
      </c>
      <c r="H292" s="494"/>
      <c r="I292" s="494" t="s">
        <v>469</v>
      </c>
      <c r="J292" s="494" t="s">
        <v>470</v>
      </c>
    </row>
    <row r="293" spans="1:10">
      <c r="A293" s="331">
        <v>44207</v>
      </c>
      <c r="B293" s="8">
        <v>11</v>
      </c>
      <c r="C293" s="494" t="s">
        <v>374</v>
      </c>
      <c r="D293" s="494" t="s">
        <v>146</v>
      </c>
      <c r="E293" s="8">
        <v>1</v>
      </c>
      <c r="F293" s="8">
        <v>6</v>
      </c>
      <c r="G293" s="494"/>
      <c r="H293" s="494"/>
      <c r="I293" s="494" t="s">
        <v>469</v>
      </c>
      <c r="J293" s="494" t="s">
        <v>470</v>
      </c>
    </row>
    <row r="294" spans="1:10">
      <c r="A294" s="331">
        <v>44208</v>
      </c>
      <c r="B294" s="8">
        <v>9</v>
      </c>
      <c r="C294" s="494" t="s">
        <v>374</v>
      </c>
      <c r="D294" s="494" t="s">
        <v>348</v>
      </c>
      <c r="E294" s="8">
        <v>1</v>
      </c>
      <c r="F294" s="8">
        <v>6</v>
      </c>
      <c r="G294" s="494"/>
      <c r="H294" s="494"/>
      <c r="I294" s="494" t="s">
        <v>469</v>
      </c>
      <c r="J294" s="494" t="s">
        <v>470</v>
      </c>
    </row>
    <row r="295" spans="1:10">
      <c r="A295" s="331">
        <v>44209</v>
      </c>
      <c r="B295" s="8">
        <v>12</v>
      </c>
      <c r="C295" s="494" t="s">
        <v>374</v>
      </c>
      <c r="D295" s="494" t="s">
        <v>148</v>
      </c>
      <c r="E295" s="8"/>
      <c r="F295" s="8"/>
      <c r="G295" s="494" t="s">
        <v>499</v>
      </c>
      <c r="H295" s="494"/>
      <c r="I295" s="494" t="s">
        <v>506</v>
      </c>
      <c r="J295" s="494" t="s">
        <v>507</v>
      </c>
    </row>
    <row r="296" spans="1:10">
      <c r="A296" s="331">
        <v>44209</v>
      </c>
      <c r="B296" s="8">
        <v>17</v>
      </c>
      <c r="C296" s="494" t="s">
        <v>374</v>
      </c>
      <c r="D296" s="494" t="s">
        <v>440</v>
      </c>
      <c r="E296" s="8"/>
      <c r="F296" s="8"/>
      <c r="G296" s="494" t="s">
        <v>500</v>
      </c>
      <c r="H296" s="494"/>
      <c r="I296" s="494" t="s">
        <v>506</v>
      </c>
      <c r="J296" s="494" t="s">
        <v>507</v>
      </c>
    </row>
    <row r="297" spans="1:10">
      <c r="A297" s="331">
        <v>44212</v>
      </c>
      <c r="B297" s="8">
        <v>7</v>
      </c>
      <c r="C297" s="494" t="s">
        <v>374</v>
      </c>
      <c r="D297" s="494" t="s">
        <v>146</v>
      </c>
      <c r="E297" s="8">
        <v>1</v>
      </c>
      <c r="F297" s="8">
        <v>6</v>
      </c>
      <c r="G297" s="494" t="s">
        <v>509</v>
      </c>
      <c r="H297" s="494"/>
      <c r="I297" s="494" t="s">
        <v>469</v>
      </c>
      <c r="J297" s="494" t="s">
        <v>470</v>
      </c>
    </row>
    <row r="298" spans="1:10">
      <c r="A298" s="331">
        <v>44214</v>
      </c>
      <c r="B298" s="8">
        <v>11</v>
      </c>
      <c r="C298" s="494" t="s">
        <v>374</v>
      </c>
      <c r="D298" s="494" t="s">
        <v>148</v>
      </c>
      <c r="E298" s="8">
        <v>1</v>
      </c>
      <c r="F298" s="8">
        <v>6</v>
      </c>
      <c r="G298" s="494" t="s">
        <v>502</v>
      </c>
      <c r="H298" s="494"/>
      <c r="I298" s="494" t="s">
        <v>469</v>
      </c>
      <c r="J298" s="494" t="s">
        <v>470</v>
      </c>
    </row>
    <row r="299" spans="1:10">
      <c r="A299" s="331">
        <v>44216</v>
      </c>
      <c r="B299" s="8">
        <v>10</v>
      </c>
      <c r="C299" s="494" t="s">
        <v>374</v>
      </c>
      <c r="D299" s="494" t="s">
        <v>348</v>
      </c>
      <c r="E299" s="8">
        <v>1</v>
      </c>
      <c r="F299" s="8">
        <v>6</v>
      </c>
      <c r="G299" s="494"/>
      <c r="H299" s="494"/>
      <c r="I299" s="494" t="s">
        <v>469</v>
      </c>
      <c r="J299" s="494" t="s">
        <v>470</v>
      </c>
    </row>
    <row r="300" spans="1:10">
      <c r="A300" s="331">
        <v>44217</v>
      </c>
      <c r="B300" s="8">
        <v>13</v>
      </c>
      <c r="C300" s="494" t="s">
        <v>374</v>
      </c>
      <c r="D300" s="494" t="s">
        <v>348</v>
      </c>
      <c r="E300" s="8">
        <v>1</v>
      </c>
      <c r="F300" s="8">
        <v>6</v>
      </c>
      <c r="G300" s="494"/>
      <c r="H300" s="494"/>
      <c r="I300" s="494" t="s">
        <v>469</v>
      </c>
      <c r="J300" s="494" t="s">
        <v>470</v>
      </c>
    </row>
    <row r="301" spans="1:10">
      <c r="A301" s="331">
        <v>44218</v>
      </c>
      <c r="B301" s="8">
        <v>12</v>
      </c>
      <c r="C301" s="494" t="s">
        <v>355</v>
      </c>
      <c r="D301" s="494"/>
      <c r="E301" s="8">
        <v>1</v>
      </c>
      <c r="F301" s="8">
        <v>6</v>
      </c>
      <c r="G301" s="494" t="s">
        <v>510</v>
      </c>
      <c r="H301" s="494"/>
      <c r="I301" s="494" t="s">
        <v>469</v>
      </c>
      <c r="J301" s="494" t="s">
        <v>470</v>
      </c>
    </row>
    <row r="302" spans="1:10">
      <c r="A302" s="331">
        <v>44219</v>
      </c>
      <c r="B302" s="8">
        <v>8</v>
      </c>
      <c r="C302" s="494" t="s">
        <v>355</v>
      </c>
      <c r="D302" s="494" t="s">
        <v>146</v>
      </c>
      <c r="E302" s="8">
        <v>1</v>
      </c>
      <c r="F302" s="8">
        <v>6</v>
      </c>
      <c r="G302" s="494" t="s">
        <v>515</v>
      </c>
      <c r="H302" s="494"/>
      <c r="I302" s="494" t="s">
        <v>469</v>
      </c>
      <c r="J302" s="494" t="s">
        <v>470</v>
      </c>
    </row>
    <row r="303" spans="1:10">
      <c r="A303" s="331">
        <v>44221</v>
      </c>
      <c r="B303" s="8">
        <v>8</v>
      </c>
      <c r="C303" s="494" t="s">
        <v>374</v>
      </c>
      <c r="D303" s="494" t="s">
        <v>148</v>
      </c>
      <c r="E303" s="8">
        <v>2</v>
      </c>
      <c r="F303" s="8">
        <v>6</v>
      </c>
      <c r="G303" s="494" t="s">
        <v>498</v>
      </c>
      <c r="H303" s="494"/>
      <c r="I303" s="494" t="s">
        <v>469</v>
      </c>
      <c r="J303" s="494" t="s">
        <v>470</v>
      </c>
    </row>
    <row r="304" spans="1:10">
      <c r="A304" s="331">
        <v>44222</v>
      </c>
      <c r="B304" s="8">
        <v>9</v>
      </c>
      <c r="C304" s="494" t="s">
        <v>374</v>
      </c>
      <c r="D304" s="494" t="s">
        <v>338</v>
      </c>
      <c r="E304" s="8">
        <v>2</v>
      </c>
      <c r="F304" s="8">
        <v>6</v>
      </c>
      <c r="G304" s="494"/>
      <c r="H304" s="494"/>
      <c r="I304" s="494" t="s">
        <v>469</v>
      </c>
      <c r="J304" s="494" t="s">
        <v>470</v>
      </c>
    </row>
    <row r="305" spans="1:10">
      <c r="A305" s="331">
        <v>44223</v>
      </c>
      <c r="B305" s="8">
        <v>8</v>
      </c>
      <c r="C305" s="494" t="s">
        <v>374</v>
      </c>
      <c r="D305" s="494" t="s">
        <v>348</v>
      </c>
      <c r="E305" s="8">
        <v>2</v>
      </c>
      <c r="F305" s="8">
        <v>6</v>
      </c>
      <c r="G305" s="494"/>
      <c r="H305" s="494"/>
      <c r="I305" s="494" t="s">
        <v>469</v>
      </c>
      <c r="J305" s="494" t="s">
        <v>470</v>
      </c>
    </row>
    <row r="306" spans="1:10">
      <c r="A306" s="331">
        <v>44225</v>
      </c>
      <c r="B306" s="8">
        <v>10</v>
      </c>
      <c r="C306" s="494" t="s">
        <v>374</v>
      </c>
      <c r="D306" s="494" t="s">
        <v>348</v>
      </c>
      <c r="E306" s="8">
        <v>2</v>
      </c>
      <c r="F306" s="8">
        <v>6</v>
      </c>
      <c r="G306" s="494"/>
      <c r="H306" s="494"/>
      <c r="I306" s="494" t="s">
        <v>469</v>
      </c>
      <c r="J306" s="494" t="s">
        <v>470</v>
      </c>
    </row>
    <row r="307" spans="1:10">
      <c r="A307" s="331">
        <v>44227</v>
      </c>
      <c r="B307" s="8">
        <v>11</v>
      </c>
      <c r="C307" s="494" t="s">
        <v>374</v>
      </c>
      <c r="D307" s="494" t="s">
        <v>348</v>
      </c>
      <c r="E307" s="8">
        <v>2</v>
      </c>
      <c r="F307" s="8">
        <v>6</v>
      </c>
      <c r="G307" s="494"/>
      <c r="H307" s="494"/>
      <c r="I307" s="494" t="s">
        <v>469</v>
      </c>
      <c r="J307" s="494" t="s">
        <v>470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774E-59FA-4A3A-BD15-B00A2E554004}">
  <dimension ref="A1:J98"/>
  <sheetViews>
    <sheetView workbookViewId="0">
      <selection activeCell="G35" sqref="G35"/>
    </sheetView>
  </sheetViews>
  <sheetFormatPr defaultRowHeight="14.25"/>
  <cols>
    <col min="1" max="1" width="14.265625" bestFit="1" customWidth="1"/>
    <col min="2" max="2" width="6.53125" bestFit="1" customWidth="1"/>
    <col min="3" max="3" width="28.796875" bestFit="1" customWidth="1"/>
    <col min="4" max="4" width="17.1328125" bestFit="1" customWidth="1"/>
    <col min="5" max="5" width="3.86328125" bestFit="1" customWidth="1"/>
    <col min="6" max="6" width="7" bestFit="1" customWidth="1"/>
    <col min="7" max="7" width="80.53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43850</v>
      </c>
      <c r="B2" s="8">
        <v>7</v>
      </c>
      <c r="C2" s="494" t="s">
        <v>232</v>
      </c>
      <c r="D2" s="494" t="s">
        <v>149</v>
      </c>
      <c r="E2" s="8">
        <v>96</v>
      </c>
      <c r="F2" s="8">
        <v>96</v>
      </c>
      <c r="G2" s="494"/>
      <c r="H2" s="494" t="s">
        <v>149</v>
      </c>
      <c r="I2" s="494"/>
      <c r="J2" s="494"/>
    </row>
    <row r="3" spans="1:10">
      <c r="A3" s="331">
        <v>43851</v>
      </c>
      <c r="B3" s="8">
        <v>7</v>
      </c>
      <c r="C3" s="494" t="s">
        <v>232</v>
      </c>
      <c r="D3" s="494" t="s">
        <v>153</v>
      </c>
      <c r="E3" s="8"/>
      <c r="F3" s="8"/>
      <c r="G3" s="494"/>
      <c r="H3" s="494"/>
      <c r="I3" s="494"/>
      <c r="J3" s="494"/>
    </row>
    <row r="4" spans="1:10">
      <c r="A4" s="331">
        <v>43852</v>
      </c>
      <c r="B4" s="8">
        <v>7</v>
      </c>
      <c r="C4" s="494" t="s">
        <v>232</v>
      </c>
      <c r="D4" s="494" t="s">
        <v>153</v>
      </c>
      <c r="E4" s="8"/>
      <c r="F4" s="8"/>
      <c r="G4" s="494"/>
      <c r="H4" s="494"/>
      <c r="I4" s="494"/>
      <c r="J4" s="494"/>
    </row>
    <row r="5" spans="1:10">
      <c r="A5" s="331">
        <v>43855</v>
      </c>
      <c r="B5" s="8">
        <v>7</v>
      </c>
      <c r="C5" s="494" t="s">
        <v>232</v>
      </c>
      <c r="D5" s="494" t="s">
        <v>147</v>
      </c>
      <c r="E5" s="8">
        <v>96</v>
      </c>
      <c r="F5" s="8">
        <v>96</v>
      </c>
      <c r="G5" s="494"/>
      <c r="H5" s="494"/>
      <c r="I5" s="494"/>
      <c r="J5" s="494"/>
    </row>
    <row r="6" spans="1:10">
      <c r="A6" s="331">
        <v>43856</v>
      </c>
      <c r="B6" s="8">
        <v>7</v>
      </c>
      <c r="C6" s="494" t="s">
        <v>280</v>
      </c>
      <c r="D6" s="494" t="s">
        <v>148</v>
      </c>
      <c r="E6" s="8">
        <v>1</v>
      </c>
      <c r="F6" s="8">
        <v>24</v>
      </c>
      <c r="G6" s="494"/>
      <c r="H6" s="494"/>
      <c r="I6" s="494"/>
      <c r="J6" s="494"/>
    </row>
    <row r="7" spans="1:10">
      <c r="A7" s="331">
        <v>43861</v>
      </c>
      <c r="B7" s="8">
        <v>11</v>
      </c>
      <c r="C7" s="494" t="s">
        <v>280</v>
      </c>
      <c r="D7" s="494" t="s">
        <v>148</v>
      </c>
      <c r="E7" s="8">
        <v>1</v>
      </c>
      <c r="F7" s="8">
        <v>6</v>
      </c>
      <c r="G7" s="494"/>
      <c r="H7" s="494"/>
      <c r="I7" s="494"/>
      <c r="J7" s="494"/>
    </row>
    <row r="8" spans="1:10">
      <c r="A8" s="331">
        <v>43862</v>
      </c>
      <c r="B8" s="8">
        <v>7</v>
      </c>
      <c r="C8" s="494" t="s">
        <v>280</v>
      </c>
      <c r="D8" s="494" t="s">
        <v>153</v>
      </c>
      <c r="E8" s="8">
        <v>1</v>
      </c>
      <c r="F8" s="8">
        <v>6</v>
      </c>
      <c r="G8" s="494"/>
      <c r="H8" s="494"/>
      <c r="I8" s="494"/>
      <c r="J8" s="494"/>
    </row>
    <row r="9" spans="1:10">
      <c r="A9" s="331">
        <v>43864</v>
      </c>
      <c r="B9" s="8">
        <v>11</v>
      </c>
      <c r="C9" s="494" t="s">
        <v>280</v>
      </c>
      <c r="D9" s="494" t="s">
        <v>148</v>
      </c>
      <c r="E9" s="8">
        <v>5</v>
      </c>
      <c r="F9" s="8">
        <v>6</v>
      </c>
      <c r="G9" s="494"/>
      <c r="H9" s="494"/>
      <c r="I9" s="494"/>
      <c r="J9" s="494"/>
    </row>
    <row r="10" spans="1:10">
      <c r="A10" s="331">
        <v>43865</v>
      </c>
      <c r="B10" s="8">
        <v>12</v>
      </c>
      <c r="C10" s="494" t="s">
        <v>280</v>
      </c>
      <c r="D10" s="494" t="s">
        <v>153</v>
      </c>
      <c r="E10" s="8">
        <v>5</v>
      </c>
      <c r="F10" s="8">
        <v>6</v>
      </c>
      <c r="G10" s="494"/>
      <c r="H10" s="494"/>
      <c r="I10" s="494"/>
      <c r="J10" s="494"/>
    </row>
    <row r="11" spans="1:10">
      <c r="A11" s="331">
        <v>43867</v>
      </c>
      <c r="B11" s="8">
        <v>10</v>
      </c>
      <c r="C11" s="494" t="s">
        <v>280</v>
      </c>
      <c r="D11" s="494" t="s">
        <v>154</v>
      </c>
      <c r="E11" s="8">
        <v>1</v>
      </c>
      <c r="F11" s="8">
        <v>96</v>
      </c>
      <c r="G11" s="494"/>
      <c r="H11" s="494" t="s">
        <v>260</v>
      </c>
      <c r="I11" s="494"/>
      <c r="J11" s="494"/>
    </row>
    <row r="12" spans="1:10">
      <c r="A12" s="331">
        <v>43871</v>
      </c>
      <c r="B12" s="8">
        <v>14</v>
      </c>
      <c r="C12" s="494" t="s">
        <v>284</v>
      </c>
      <c r="D12" s="494" t="s">
        <v>147</v>
      </c>
      <c r="E12" s="8">
        <v>1</v>
      </c>
      <c r="F12" s="8">
        <v>96</v>
      </c>
      <c r="G12" s="494"/>
      <c r="H12" s="494"/>
      <c r="I12" s="494"/>
      <c r="J12" s="494"/>
    </row>
    <row r="13" spans="1:10">
      <c r="A13" s="331">
        <v>43873</v>
      </c>
      <c r="B13" s="8">
        <v>9</v>
      </c>
      <c r="C13" s="494" t="s">
        <v>284</v>
      </c>
      <c r="D13" s="494" t="s">
        <v>148</v>
      </c>
      <c r="E13" s="8">
        <v>1</v>
      </c>
      <c r="F13" s="8">
        <v>24</v>
      </c>
      <c r="G13" s="494"/>
      <c r="H13" s="494"/>
      <c r="I13" s="494"/>
      <c r="J13" s="494"/>
    </row>
    <row r="14" spans="1:10">
      <c r="A14" s="331">
        <v>43874</v>
      </c>
      <c r="B14" s="8">
        <v>11</v>
      </c>
      <c r="C14" s="494" t="s">
        <v>284</v>
      </c>
      <c r="D14" s="494" t="s">
        <v>153</v>
      </c>
      <c r="E14" s="8">
        <v>1</v>
      </c>
      <c r="F14" s="8">
        <v>24</v>
      </c>
      <c r="G14" s="494"/>
      <c r="H14" s="494"/>
      <c r="I14" s="494"/>
      <c r="J14" s="494"/>
    </row>
    <row r="15" spans="1:10">
      <c r="A15" s="331">
        <v>43875</v>
      </c>
      <c r="B15" s="8">
        <v>11</v>
      </c>
      <c r="C15" s="494" t="s">
        <v>284</v>
      </c>
      <c r="D15" s="494" t="s">
        <v>148</v>
      </c>
      <c r="E15" s="8">
        <v>1</v>
      </c>
      <c r="F15" s="8">
        <v>6</v>
      </c>
      <c r="G15" s="494"/>
      <c r="H15" s="494"/>
      <c r="I15" s="494"/>
      <c r="J15" s="494"/>
    </row>
    <row r="16" spans="1:10">
      <c r="A16" s="331">
        <v>43876</v>
      </c>
      <c r="B16" s="8">
        <v>10</v>
      </c>
      <c r="C16" s="494" t="s">
        <v>284</v>
      </c>
      <c r="D16" s="494" t="s">
        <v>153</v>
      </c>
      <c r="E16" s="8">
        <v>1</v>
      </c>
      <c r="F16" s="8">
        <v>6</v>
      </c>
      <c r="G16" s="494"/>
      <c r="H16" s="494"/>
      <c r="I16" s="494"/>
      <c r="J16" s="494"/>
    </row>
    <row r="17" spans="1:10">
      <c r="A17" s="331">
        <v>43877</v>
      </c>
      <c r="B17" s="8">
        <v>9</v>
      </c>
      <c r="C17" s="494" t="s">
        <v>284</v>
      </c>
      <c r="D17" s="494" t="s">
        <v>148</v>
      </c>
      <c r="E17" s="8">
        <v>1</v>
      </c>
      <c r="F17" s="8">
        <v>6</v>
      </c>
      <c r="G17" s="494"/>
      <c r="H17" s="494"/>
      <c r="I17" s="494"/>
      <c r="J17" s="494"/>
    </row>
    <row r="18" spans="1:10">
      <c r="A18" s="331">
        <v>43878</v>
      </c>
      <c r="B18" s="8">
        <v>9</v>
      </c>
      <c r="C18" s="494" t="s">
        <v>284</v>
      </c>
      <c r="D18" s="494" t="s">
        <v>153</v>
      </c>
      <c r="E18" s="8">
        <v>1</v>
      </c>
      <c r="F18" s="8">
        <v>6</v>
      </c>
      <c r="G18" s="494"/>
      <c r="H18" s="494"/>
      <c r="I18" s="494"/>
      <c r="J18" s="494"/>
    </row>
    <row r="19" spans="1:10">
      <c r="A19" s="331">
        <v>43880</v>
      </c>
      <c r="B19" s="8">
        <v>12</v>
      </c>
      <c r="C19" s="494" t="s">
        <v>284</v>
      </c>
      <c r="D19" s="494" t="s">
        <v>148</v>
      </c>
      <c r="E19" s="8">
        <v>5</v>
      </c>
      <c r="F19" s="8">
        <v>6</v>
      </c>
      <c r="G19" s="494"/>
      <c r="H19" s="494"/>
      <c r="I19" s="494"/>
      <c r="J19" s="494"/>
    </row>
    <row r="20" spans="1:10">
      <c r="A20" s="331">
        <v>43881</v>
      </c>
      <c r="B20" s="8">
        <v>10</v>
      </c>
      <c r="C20" s="494" t="s">
        <v>284</v>
      </c>
      <c r="D20" s="494" t="s">
        <v>153</v>
      </c>
      <c r="E20" s="8">
        <v>5</v>
      </c>
      <c r="F20" s="8">
        <v>6</v>
      </c>
      <c r="G20" s="494"/>
      <c r="H20" s="494"/>
      <c r="I20" s="494"/>
      <c r="J20" s="494"/>
    </row>
    <row r="21" spans="1:10">
      <c r="A21" s="331">
        <v>43882</v>
      </c>
      <c r="B21" s="8">
        <v>12</v>
      </c>
      <c r="C21" s="494" t="s">
        <v>284</v>
      </c>
      <c r="D21" s="494" t="s">
        <v>154</v>
      </c>
      <c r="E21" s="8">
        <v>1</v>
      </c>
      <c r="F21" s="8">
        <v>96</v>
      </c>
      <c r="G21" s="494" t="s">
        <v>412</v>
      </c>
      <c r="H21" s="494" t="s">
        <v>263</v>
      </c>
      <c r="I21" s="494"/>
      <c r="J21" s="494"/>
    </row>
    <row r="22" spans="1:10">
      <c r="A22" s="331">
        <v>43882</v>
      </c>
      <c r="B22" s="8">
        <v>14</v>
      </c>
      <c r="C22" s="494" t="s">
        <v>284</v>
      </c>
      <c r="D22" s="494" t="s">
        <v>152</v>
      </c>
      <c r="E22" s="8"/>
      <c r="F22" s="8"/>
      <c r="G22" s="494" t="s">
        <v>292</v>
      </c>
      <c r="H22" s="494"/>
      <c r="I22" s="494"/>
      <c r="J22" s="494"/>
    </row>
    <row r="23" spans="1:10">
      <c r="A23" s="331">
        <v>43883</v>
      </c>
      <c r="B23" s="8">
        <v>8</v>
      </c>
      <c r="C23" s="494" t="s">
        <v>290</v>
      </c>
      <c r="D23" s="494" t="s">
        <v>153</v>
      </c>
      <c r="E23" s="8">
        <v>1</v>
      </c>
      <c r="F23" s="8">
        <v>96</v>
      </c>
      <c r="G23" s="494"/>
      <c r="H23" s="494"/>
      <c r="I23" s="494"/>
      <c r="J23" s="494"/>
    </row>
    <row r="24" spans="1:10">
      <c r="A24" s="331">
        <v>43884</v>
      </c>
      <c r="B24" s="8">
        <v>11</v>
      </c>
      <c r="C24" s="494" t="s">
        <v>290</v>
      </c>
      <c r="D24" s="494" t="s">
        <v>147</v>
      </c>
      <c r="E24" s="8">
        <v>1</v>
      </c>
      <c r="F24" s="8">
        <v>96</v>
      </c>
      <c r="G24" s="494"/>
      <c r="H24" s="494"/>
      <c r="I24" s="494"/>
      <c r="J24" s="494"/>
    </row>
    <row r="25" spans="1:10">
      <c r="A25" s="331">
        <v>43884</v>
      </c>
      <c r="B25" s="8">
        <v>12</v>
      </c>
      <c r="C25" s="494" t="s">
        <v>290</v>
      </c>
      <c r="D25" s="494" t="s">
        <v>148</v>
      </c>
      <c r="E25" s="8">
        <v>1</v>
      </c>
      <c r="F25" s="8">
        <v>24</v>
      </c>
      <c r="G25" s="494"/>
      <c r="H25" s="494"/>
      <c r="I25" s="494"/>
      <c r="J25" s="494"/>
    </row>
    <row r="26" spans="1:10">
      <c r="A26" s="331">
        <v>43885</v>
      </c>
      <c r="B26" s="8">
        <v>10</v>
      </c>
      <c r="C26" s="494" t="s">
        <v>290</v>
      </c>
      <c r="D26" s="494" t="s">
        <v>153</v>
      </c>
      <c r="E26" s="8"/>
      <c r="F26" s="8"/>
      <c r="G26" s="494"/>
      <c r="H26" s="494"/>
      <c r="I26" s="494"/>
      <c r="J26" s="494"/>
    </row>
    <row r="27" spans="1:10">
      <c r="A27" s="331">
        <v>43890</v>
      </c>
      <c r="B27" s="8">
        <v>10</v>
      </c>
      <c r="C27" s="494" t="s">
        <v>290</v>
      </c>
      <c r="D27" s="494" t="s">
        <v>148</v>
      </c>
      <c r="E27" s="8">
        <v>1</v>
      </c>
      <c r="F27" s="8">
        <v>6</v>
      </c>
      <c r="G27" s="494"/>
      <c r="H27" s="494"/>
      <c r="I27" s="494"/>
      <c r="J27" s="494"/>
    </row>
    <row r="28" spans="1:10">
      <c r="A28" s="331">
        <v>43891</v>
      </c>
      <c r="B28" s="8">
        <v>7</v>
      </c>
      <c r="C28" s="494" t="s">
        <v>290</v>
      </c>
      <c r="D28" s="494" t="s">
        <v>148</v>
      </c>
      <c r="E28" s="8">
        <v>5</v>
      </c>
      <c r="F28" s="8">
        <v>6</v>
      </c>
      <c r="G28" s="494"/>
      <c r="H28" s="494"/>
      <c r="I28" s="494"/>
      <c r="J28" s="494"/>
    </row>
    <row r="29" spans="1:10">
      <c r="A29" s="331">
        <v>43892</v>
      </c>
      <c r="B29" s="8">
        <v>8</v>
      </c>
      <c r="C29" s="494" t="s">
        <v>290</v>
      </c>
      <c r="D29" s="494" t="s">
        <v>153</v>
      </c>
      <c r="E29" s="8">
        <v>5</v>
      </c>
      <c r="F29" s="8">
        <v>6</v>
      </c>
      <c r="G29" s="494"/>
      <c r="H29" s="494"/>
      <c r="I29" s="494"/>
      <c r="J29" s="494"/>
    </row>
    <row r="30" spans="1:10">
      <c r="A30" s="331">
        <v>43898</v>
      </c>
      <c r="B30" s="8">
        <v>7</v>
      </c>
      <c r="C30" s="494" t="s">
        <v>290</v>
      </c>
      <c r="D30" s="494" t="s">
        <v>152</v>
      </c>
      <c r="E30" s="8"/>
      <c r="F30" s="8"/>
      <c r="G30" s="494" t="s">
        <v>262</v>
      </c>
      <c r="H30" s="494"/>
      <c r="I30" s="494"/>
      <c r="J30" s="494"/>
    </row>
    <row r="31" spans="1:10">
      <c r="A31" s="331">
        <v>43883</v>
      </c>
      <c r="B31" s="8">
        <v>12</v>
      </c>
      <c r="C31" s="494" t="s">
        <v>311</v>
      </c>
      <c r="D31" s="494" t="s">
        <v>153</v>
      </c>
      <c r="E31" s="8">
        <v>1</v>
      </c>
      <c r="F31" s="8">
        <v>96</v>
      </c>
      <c r="G31" s="494"/>
      <c r="H31" s="494"/>
      <c r="I31" s="494"/>
      <c r="J31" s="494"/>
    </row>
    <row r="32" spans="1:10">
      <c r="A32" s="331">
        <v>43884</v>
      </c>
      <c r="B32" s="8">
        <v>13</v>
      </c>
      <c r="C32" s="494" t="s">
        <v>311</v>
      </c>
      <c r="D32" s="494" t="s">
        <v>147</v>
      </c>
      <c r="E32" s="8">
        <v>1</v>
      </c>
      <c r="F32" s="8">
        <v>96</v>
      </c>
      <c r="G32" s="494" t="s">
        <v>294</v>
      </c>
      <c r="H32" s="494"/>
      <c r="I32" s="494"/>
      <c r="J32" s="494"/>
    </row>
    <row r="33" spans="1:10">
      <c r="A33" s="331">
        <v>43884</v>
      </c>
      <c r="B33" s="8">
        <v>14</v>
      </c>
      <c r="C33" s="494" t="s">
        <v>311</v>
      </c>
      <c r="D33" s="494" t="s">
        <v>148</v>
      </c>
      <c r="E33" s="8">
        <v>1</v>
      </c>
      <c r="F33" s="8">
        <v>24</v>
      </c>
      <c r="G33" s="494" t="s">
        <v>294</v>
      </c>
      <c r="H33" s="494"/>
      <c r="I33" s="494"/>
      <c r="J33" s="494"/>
    </row>
    <row r="34" spans="1:10">
      <c r="A34" s="331">
        <v>43885</v>
      </c>
      <c r="B34" s="8">
        <v>11</v>
      </c>
      <c r="C34" s="494" t="s">
        <v>311</v>
      </c>
      <c r="D34" s="494" t="s">
        <v>153</v>
      </c>
      <c r="E34" s="8"/>
      <c r="F34" s="8"/>
      <c r="G34" s="494" t="s">
        <v>294</v>
      </c>
      <c r="H34" s="494"/>
      <c r="I34" s="494"/>
      <c r="J34" s="494"/>
    </row>
    <row r="35" spans="1:10">
      <c r="A35" s="331">
        <v>43890</v>
      </c>
      <c r="B35" s="8">
        <v>11</v>
      </c>
      <c r="C35" s="494" t="s">
        <v>311</v>
      </c>
      <c r="D35" s="494" t="s">
        <v>148</v>
      </c>
      <c r="E35" s="8">
        <v>1</v>
      </c>
      <c r="F35" s="8">
        <v>6</v>
      </c>
      <c r="G35" s="494" t="s">
        <v>294</v>
      </c>
      <c r="H35" s="494"/>
      <c r="I35" s="494"/>
      <c r="J35" s="494"/>
    </row>
    <row r="36" spans="1:10">
      <c r="A36" s="331">
        <v>43891</v>
      </c>
      <c r="B36" s="8">
        <v>8</v>
      </c>
      <c r="C36" s="494" t="s">
        <v>311</v>
      </c>
      <c r="D36" s="494" t="s">
        <v>148</v>
      </c>
      <c r="E36" s="8">
        <v>5</v>
      </c>
      <c r="F36" s="8">
        <v>6</v>
      </c>
      <c r="G36" s="494" t="s">
        <v>294</v>
      </c>
      <c r="H36" s="494"/>
      <c r="I36" s="494"/>
      <c r="J36" s="494"/>
    </row>
    <row r="37" spans="1:10">
      <c r="A37" s="331">
        <v>43892</v>
      </c>
      <c r="B37" s="8">
        <v>9</v>
      </c>
      <c r="C37" s="494" t="s">
        <v>311</v>
      </c>
      <c r="D37" s="494" t="s">
        <v>153</v>
      </c>
      <c r="E37" s="8">
        <v>5</v>
      </c>
      <c r="F37" s="8">
        <v>6</v>
      </c>
      <c r="G37" s="494"/>
      <c r="H37" s="494"/>
      <c r="I37" s="494"/>
      <c r="J37" s="494"/>
    </row>
    <row r="38" spans="1:10">
      <c r="A38" s="331">
        <v>43897</v>
      </c>
      <c r="B38" s="8">
        <v>7</v>
      </c>
      <c r="C38" s="494" t="s">
        <v>311</v>
      </c>
      <c r="D38" s="494" t="s">
        <v>152</v>
      </c>
      <c r="E38" s="8">
        <v>5</v>
      </c>
      <c r="F38" s="8" t="s">
        <v>411</v>
      </c>
      <c r="G38" s="494" t="s">
        <v>295</v>
      </c>
      <c r="H38" s="494"/>
      <c r="I38" s="494"/>
      <c r="J38" s="494"/>
    </row>
    <row r="39" spans="1:10">
      <c r="A39" s="331">
        <v>43928</v>
      </c>
      <c r="B39" s="8">
        <v>8</v>
      </c>
      <c r="C39" s="494" t="s">
        <v>311</v>
      </c>
      <c r="D39" s="494" t="s">
        <v>276</v>
      </c>
      <c r="E39" s="8"/>
      <c r="F39" s="8"/>
      <c r="G39" s="494" t="s">
        <v>312</v>
      </c>
      <c r="H39" s="494"/>
      <c r="I39" s="494"/>
      <c r="J39" s="494"/>
    </row>
    <row r="40" spans="1:10">
      <c r="A40" s="331">
        <v>44152</v>
      </c>
      <c r="B40" s="8">
        <v>10</v>
      </c>
      <c r="C40" s="494" t="s">
        <v>311</v>
      </c>
      <c r="D40" s="494" t="s">
        <v>146</v>
      </c>
      <c r="E40" s="8">
        <v>1</v>
      </c>
      <c r="F40" s="8">
        <v>6</v>
      </c>
      <c r="G40" s="494" t="s">
        <v>433</v>
      </c>
      <c r="H40" s="494"/>
      <c r="I40" s="494"/>
      <c r="J40" s="494"/>
    </row>
    <row r="41" spans="1:10">
      <c r="A41" s="331">
        <v>44153</v>
      </c>
      <c r="B41" s="8">
        <v>9</v>
      </c>
      <c r="C41" s="494" t="s">
        <v>311</v>
      </c>
      <c r="D41" s="494" t="s">
        <v>348</v>
      </c>
      <c r="E41" s="8">
        <v>1</v>
      </c>
      <c r="F41" s="8">
        <v>6</v>
      </c>
      <c r="G41" s="494"/>
      <c r="H41" s="494"/>
      <c r="I41" s="494"/>
      <c r="J41" s="494"/>
    </row>
    <row r="42" spans="1:10">
      <c r="A42" s="331">
        <v>44155</v>
      </c>
      <c r="B42" s="8">
        <v>12</v>
      </c>
      <c r="C42" s="494" t="s">
        <v>311</v>
      </c>
      <c r="D42" s="494" t="s">
        <v>348</v>
      </c>
      <c r="E42" s="8">
        <v>1</v>
      </c>
      <c r="F42" s="8">
        <v>6</v>
      </c>
      <c r="G42" s="494"/>
      <c r="H42" s="494"/>
      <c r="I42" s="494"/>
      <c r="J42" s="494"/>
    </row>
    <row r="43" spans="1:10">
      <c r="A43" s="331">
        <v>44157</v>
      </c>
      <c r="B43" s="8">
        <v>12</v>
      </c>
      <c r="C43" s="494" t="s">
        <v>311</v>
      </c>
      <c r="D43" s="494" t="s">
        <v>148</v>
      </c>
      <c r="E43" s="8">
        <v>5</v>
      </c>
      <c r="F43" s="8">
        <v>6</v>
      </c>
      <c r="G43" s="494"/>
      <c r="H43" s="494"/>
      <c r="I43" s="494"/>
      <c r="J43" s="494"/>
    </row>
    <row r="44" spans="1:10">
      <c r="A44" s="331">
        <v>44158</v>
      </c>
      <c r="B44" s="8">
        <v>12</v>
      </c>
      <c r="C44" s="494" t="s">
        <v>311</v>
      </c>
      <c r="D44" s="494" t="s">
        <v>154</v>
      </c>
      <c r="E44" s="8">
        <v>1</v>
      </c>
      <c r="F44" s="8">
        <v>6</v>
      </c>
      <c r="G44" s="494" t="s">
        <v>446</v>
      </c>
      <c r="H44" s="494" t="s">
        <v>317</v>
      </c>
      <c r="I44" s="494"/>
      <c r="J44" s="494"/>
    </row>
    <row r="45" spans="1:10">
      <c r="A45" s="331">
        <v>44159</v>
      </c>
      <c r="B45" s="8">
        <v>8</v>
      </c>
      <c r="C45" s="494" t="s">
        <v>311</v>
      </c>
      <c r="D45" s="494" t="s">
        <v>148</v>
      </c>
      <c r="E45" s="8"/>
      <c r="F45" s="8"/>
      <c r="G45" s="494" t="s">
        <v>448</v>
      </c>
      <c r="H45" s="494"/>
      <c r="I45" s="494"/>
      <c r="J45" s="494"/>
    </row>
    <row r="46" spans="1:10">
      <c r="A46" s="331">
        <v>44164</v>
      </c>
      <c r="B46" s="8">
        <v>14</v>
      </c>
      <c r="C46" s="494" t="s">
        <v>311</v>
      </c>
      <c r="D46" s="494" t="s">
        <v>276</v>
      </c>
      <c r="E46" s="8">
        <v>1</v>
      </c>
      <c r="F46" s="8"/>
      <c r="G46" s="494"/>
      <c r="H46" s="494"/>
      <c r="I46" s="494"/>
      <c r="J46" s="494"/>
    </row>
    <row r="47" spans="1:10">
      <c r="A47" s="331">
        <v>44159</v>
      </c>
      <c r="B47" s="8">
        <v>9</v>
      </c>
      <c r="C47" s="494" t="s">
        <v>445</v>
      </c>
      <c r="D47" s="494" t="s">
        <v>348</v>
      </c>
      <c r="E47" s="8">
        <v>1</v>
      </c>
      <c r="F47" s="8">
        <v>6</v>
      </c>
      <c r="G47" s="494"/>
      <c r="H47" s="494"/>
      <c r="I47" s="494"/>
      <c r="J47" s="494"/>
    </row>
    <row r="48" spans="1:10">
      <c r="A48" s="331">
        <v>44160</v>
      </c>
      <c r="B48" s="8">
        <v>10</v>
      </c>
      <c r="C48" s="494" t="s">
        <v>445</v>
      </c>
      <c r="D48" s="494" t="s">
        <v>348</v>
      </c>
      <c r="E48" s="8">
        <v>1</v>
      </c>
      <c r="F48" s="8">
        <v>6</v>
      </c>
      <c r="G48" s="494"/>
      <c r="H48" s="494"/>
      <c r="I48" s="494"/>
      <c r="J48" s="494"/>
    </row>
    <row r="49" spans="1:10">
      <c r="A49" s="331">
        <v>44162</v>
      </c>
      <c r="B49" s="8">
        <v>10</v>
      </c>
      <c r="C49" s="494" t="s">
        <v>445</v>
      </c>
      <c r="D49" s="494" t="s">
        <v>348</v>
      </c>
      <c r="E49" s="8">
        <v>1</v>
      </c>
      <c r="F49" s="8">
        <v>6</v>
      </c>
      <c r="G49" s="494"/>
      <c r="H49" s="494"/>
      <c r="I49" s="494"/>
      <c r="J49" s="494"/>
    </row>
    <row r="50" spans="1:10">
      <c r="A50" s="331">
        <v>44164</v>
      </c>
      <c r="B50" s="8">
        <v>9</v>
      </c>
      <c r="C50" s="494" t="s">
        <v>445</v>
      </c>
      <c r="D50" s="494" t="s">
        <v>148</v>
      </c>
      <c r="E50" s="8">
        <v>2</v>
      </c>
      <c r="F50" s="8">
        <v>6</v>
      </c>
      <c r="G50" s="494"/>
      <c r="H50" s="494"/>
      <c r="I50" s="494"/>
      <c r="J50" s="494"/>
    </row>
    <row r="51" spans="1:10">
      <c r="A51" s="331">
        <v>44165</v>
      </c>
      <c r="B51" s="8">
        <v>7</v>
      </c>
      <c r="C51" s="494" t="s">
        <v>445</v>
      </c>
      <c r="D51" s="494" t="s">
        <v>148</v>
      </c>
      <c r="E51" s="8">
        <v>5</v>
      </c>
      <c r="F51" s="8">
        <v>10</v>
      </c>
      <c r="G51" s="494"/>
      <c r="H51" s="494"/>
      <c r="I51" s="494"/>
      <c r="J51" s="494"/>
    </row>
    <row r="52" spans="1:10">
      <c r="A52" s="331">
        <v>44166</v>
      </c>
      <c r="B52" s="8">
        <v>7</v>
      </c>
      <c r="C52" s="494" t="s">
        <v>445</v>
      </c>
      <c r="D52" s="494" t="s">
        <v>348</v>
      </c>
      <c r="E52" s="8">
        <v>5</v>
      </c>
      <c r="F52" s="8">
        <v>10</v>
      </c>
      <c r="G52" s="494"/>
      <c r="H52" s="494"/>
      <c r="I52" s="494"/>
      <c r="J52" s="494"/>
    </row>
    <row r="53" spans="1:10">
      <c r="A53" s="331">
        <v>44168</v>
      </c>
      <c r="B53" s="8">
        <v>7</v>
      </c>
      <c r="C53" s="494" t="s">
        <v>445</v>
      </c>
      <c r="D53" s="494" t="s">
        <v>348</v>
      </c>
      <c r="E53" s="8">
        <v>5</v>
      </c>
      <c r="F53" s="8">
        <v>10</v>
      </c>
      <c r="G53" s="494"/>
      <c r="H53" s="494"/>
      <c r="I53" s="494"/>
      <c r="J53" s="494"/>
    </row>
    <row r="54" spans="1:10">
      <c r="A54" s="331">
        <v>44170</v>
      </c>
      <c r="B54" s="8">
        <v>8</v>
      </c>
      <c r="C54" s="494" t="s">
        <v>445</v>
      </c>
      <c r="D54" s="494" t="s">
        <v>348</v>
      </c>
      <c r="E54" s="8">
        <v>5</v>
      </c>
      <c r="F54" s="8">
        <v>10</v>
      </c>
      <c r="G54" s="494"/>
      <c r="H54" s="494"/>
      <c r="I54" s="494"/>
      <c r="J54" s="494"/>
    </row>
    <row r="55" spans="1:10">
      <c r="A55" s="331">
        <v>44171</v>
      </c>
      <c r="B55" s="8">
        <v>7</v>
      </c>
      <c r="C55" s="494" t="s">
        <v>445</v>
      </c>
      <c r="D55" s="494" t="s">
        <v>152</v>
      </c>
      <c r="E55" s="8">
        <v>40</v>
      </c>
      <c r="F55" s="8" t="s">
        <v>411</v>
      </c>
      <c r="G55" s="494" t="s">
        <v>460</v>
      </c>
      <c r="H55" s="494"/>
      <c r="I55" s="494"/>
      <c r="J55" s="494"/>
    </row>
    <row r="56" spans="1:10">
      <c r="A56" s="331">
        <v>44179</v>
      </c>
      <c r="B56" s="8">
        <v>7</v>
      </c>
      <c r="C56" s="494" t="s">
        <v>445</v>
      </c>
      <c r="D56" s="494" t="s">
        <v>276</v>
      </c>
      <c r="E56" s="8"/>
      <c r="F56" s="8"/>
      <c r="G56" s="494"/>
      <c r="H56" s="494"/>
      <c r="I56" s="494" t="s">
        <v>469</v>
      </c>
      <c r="J56" s="494" t="s">
        <v>470</v>
      </c>
    </row>
    <row r="57" spans="1:10">
      <c r="A57" s="331">
        <v>44183</v>
      </c>
      <c r="B57" s="8">
        <v>7</v>
      </c>
      <c r="C57" s="494" t="s">
        <v>445</v>
      </c>
      <c r="D57" s="494" t="s">
        <v>440</v>
      </c>
      <c r="E57" s="8"/>
      <c r="F57" s="8"/>
      <c r="G57" s="494" t="s">
        <v>457</v>
      </c>
      <c r="H57" s="494"/>
      <c r="I57" s="494" t="s">
        <v>469</v>
      </c>
      <c r="J57" s="494" t="s">
        <v>470</v>
      </c>
    </row>
    <row r="58" spans="1:10">
      <c r="A58" s="331">
        <v>44207</v>
      </c>
      <c r="B58" s="8">
        <v>12</v>
      </c>
      <c r="C58" s="494" t="s">
        <v>445</v>
      </c>
      <c r="D58" s="494" t="s">
        <v>146</v>
      </c>
      <c r="E58" s="8">
        <v>1</v>
      </c>
      <c r="F58" s="8">
        <v>6</v>
      </c>
      <c r="G58" s="494"/>
      <c r="H58" s="494"/>
      <c r="I58" s="494" t="s">
        <v>469</v>
      </c>
      <c r="J58" s="494" t="s">
        <v>470</v>
      </c>
    </row>
    <row r="59" spans="1:10">
      <c r="A59" s="331">
        <v>44208</v>
      </c>
      <c r="B59" s="8">
        <v>10</v>
      </c>
      <c r="C59" s="494" t="s">
        <v>445</v>
      </c>
      <c r="D59" s="494" t="s">
        <v>348</v>
      </c>
      <c r="E59" s="8">
        <v>1</v>
      </c>
      <c r="F59" s="8">
        <v>6</v>
      </c>
      <c r="G59" s="494"/>
      <c r="H59" s="494"/>
      <c r="I59" s="494" t="s">
        <v>469</v>
      </c>
      <c r="J59" s="494" t="s">
        <v>470</v>
      </c>
    </row>
    <row r="60" spans="1:10">
      <c r="A60" s="331">
        <v>44209</v>
      </c>
      <c r="B60" s="8">
        <v>13</v>
      </c>
      <c r="C60" s="494" t="s">
        <v>445</v>
      </c>
      <c r="D60" s="494" t="s">
        <v>148</v>
      </c>
      <c r="E60" s="8"/>
      <c r="F60" s="8"/>
      <c r="G60" s="494" t="s">
        <v>499</v>
      </c>
      <c r="H60" s="494"/>
      <c r="I60" s="494" t="s">
        <v>506</v>
      </c>
      <c r="J60" s="494" t="s">
        <v>507</v>
      </c>
    </row>
    <row r="61" spans="1:10">
      <c r="A61" s="331">
        <v>44209</v>
      </c>
      <c r="B61" s="8">
        <v>18</v>
      </c>
      <c r="C61" s="494" t="s">
        <v>445</v>
      </c>
      <c r="D61" s="494" t="s">
        <v>440</v>
      </c>
      <c r="E61" s="8"/>
      <c r="F61" s="8"/>
      <c r="G61" s="494" t="s">
        <v>500</v>
      </c>
      <c r="H61" s="494"/>
      <c r="I61" s="494" t="s">
        <v>506</v>
      </c>
      <c r="J61" s="494" t="s">
        <v>507</v>
      </c>
    </row>
    <row r="62" spans="1:10">
      <c r="A62" s="331">
        <v>44212</v>
      </c>
      <c r="B62" s="8">
        <v>8</v>
      </c>
      <c r="C62" s="494" t="s">
        <v>445</v>
      </c>
      <c r="D62" s="494" t="s">
        <v>146</v>
      </c>
      <c r="E62" s="8">
        <v>1</v>
      </c>
      <c r="F62" s="8">
        <v>6</v>
      </c>
      <c r="G62" s="494" t="s">
        <v>509</v>
      </c>
      <c r="H62" s="494"/>
      <c r="I62" s="494" t="s">
        <v>469</v>
      </c>
      <c r="J62" s="494" t="s">
        <v>470</v>
      </c>
    </row>
    <row r="63" spans="1:10">
      <c r="A63" s="331">
        <v>44214</v>
      </c>
      <c r="B63" s="8">
        <v>12</v>
      </c>
      <c r="C63" s="494" t="s">
        <v>445</v>
      </c>
      <c r="D63" s="494" t="s">
        <v>148</v>
      </c>
      <c r="E63" s="8">
        <v>1</v>
      </c>
      <c r="F63" s="8">
        <v>6</v>
      </c>
      <c r="G63" s="494" t="s">
        <v>502</v>
      </c>
      <c r="H63" s="494"/>
      <c r="I63" s="494" t="s">
        <v>469</v>
      </c>
      <c r="J63" s="494" t="s">
        <v>470</v>
      </c>
    </row>
    <row r="64" spans="1:10">
      <c r="A64" s="331">
        <v>44216</v>
      </c>
      <c r="B64" s="8">
        <v>11</v>
      </c>
      <c r="C64" s="494" t="s">
        <v>445</v>
      </c>
      <c r="D64" s="494" t="s">
        <v>348</v>
      </c>
      <c r="E64" s="8">
        <v>1</v>
      </c>
      <c r="F64" s="8">
        <v>6</v>
      </c>
      <c r="G64" s="494"/>
      <c r="H64" s="494"/>
      <c r="I64" s="494" t="s">
        <v>469</v>
      </c>
      <c r="J64" s="494" t="s">
        <v>470</v>
      </c>
    </row>
    <row r="65" spans="1:10">
      <c r="A65" s="331">
        <v>44217</v>
      </c>
      <c r="B65" s="8">
        <v>10</v>
      </c>
      <c r="C65" s="494" t="s">
        <v>445</v>
      </c>
      <c r="D65" s="494" t="s">
        <v>148</v>
      </c>
      <c r="E65" s="8"/>
      <c r="F65" s="8"/>
      <c r="G65" s="494" t="s">
        <v>503</v>
      </c>
      <c r="H65" s="494"/>
      <c r="I65" s="494" t="s">
        <v>469</v>
      </c>
      <c r="J65" s="494" t="s">
        <v>470</v>
      </c>
    </row>
    <row r="66" spans="1:10">
      <c r="A66" s="331">
        <v>43856</v>
      </c>
      <c r="B66" s="8">
        <v>8</v>
      </c>
      <c r="C66" s="494" t="s">
        <v>281</v>
      </c>
      <c r="D66" s="494" t="s">
        <v>148</v>
      </c>
      <c r="E66" s="8">
        <v>1</v>
      </c>
      <c r="F66" s="8">
        <v>24</v>
      </c>
      <c r="G66" s="494"/>
      <c r="H66" s="494"/>
      <c r="I66" s="494"/>
      <c r="J66" s="494"/>
    </row>
    <row r="67" spans="1:10">
      <c r="A67" s="331">
        <v>43861</v>
      </c>
      <c r="B67" s="8">
        <v>12</v>
      </c>
      <c r="C67" s="494" t="s">
        <v>281</v>
      </c>
      <c r="D67" s="494" t="s">
        <v>148</v>
      </c>
      <c r="E67" s="8">
        <v>1</v>
      </c>
      <c r="F67" s="8">
        <v>6</v>
      </c>
      <c r="G67" s="494"/>
      <c r="H67" s="494"/>
      <c r="I67" s="494"/>
      <c r="J67" s="494"/>
    </row>
    <row r="68" spans="1:10">
      <c r="A68" s="331">
        <v>43862</v>
      </c>
      <c r="B68" s="8">
        <v>8</v>
      </c>
      <c r="C68" s="494" t="s">
        <v>281</v>
      </c>
      <c r="D68" s="494" t="s">
        <v>153</v>
      </c>
      <c r="E68" s="8">
        <v>1</v>
      </c>
      <c r="F68" s="8">
        <v>6</v>
      </c>
      <c r="G68" s="494"/>
      <c r="H68" s="494"/>
      <c r="I68" s="494"/>
      <c r="J68" s="494"/>
    </row>
    <row r="69" spans="1:10">
      <c r="A69" s="331">
        <v>43864</v>
      </c>
      <c r="B69" s="8">
        <v>12</v>
      </c>
      <c r="C69" s="494" t="s">
        <v>281</v>
      </c>
      <c r="D69" s="494" t="s">
        <v>148</v>
      </c>
      <c r="E69" s="8">
        <v>5</v>
      </c>
      <c r="F69" s="8">
        <v>6</v>
      </c>
      <c r="G69" s="494"/>
      <c r="H69" s="494"/>
      <c r="I69" s="494"/>
      <c r="J69" s="494"/>
    </row>
    <row r="70" spans="1:10">
      <c r="A70" s="331">
        <v>43865</v>
      </c>
      <c r="B70" s="8">
        <v>13</v>
      </c>
      <c r="C70" s="494" t="s">
        <v>281</v>
      </c>
      <c r="D70" s="494" t="s">
        <v>153</v>
      </c>
      <c r="E70" s="8">
        <v>5</v>
      </c>
      <c r="F70" s="8">
        <v>6</v>
      </c>
      <c r="G70" s="494"/>
      <c r="H70" s="494"/>
      <c r="I70" s="494"/>
      <c r="J70" s="494"/>
    </row>
    <row r="71" spans="1:10">
      <c r="A71" s="331">
        <v>43867</v>
      </c>
      <c r="B71" s="8">
        <v>11</v>
      </c>
      <c r="C71" s="494" t="s">
        <v>281</v>
      </c>
      <c r="D71" s="494" t="s">
        <v>154</v>
      </c>
      <c r="E71" s="8">
        <v>1</v>
      </c>
      <c r="F71" s="8">
        <v>96</v>
      </c>
      <c r="G71" s="494"/>
      <c r="H71" s="494" t="s">
        <v>260</v>
      </c>
      <c r="I71" s="494"/>
      <c r="J71" s="494"/>
    </row>
    <row r="72" spans="1:10">
      <c r="A72" s="331">
        <v>43871</v>
      </c>
      <c r="B72" s="8">
        <v>15</v>
      </c>
      <c r="C72" s="494" t="s">
        <v>285</v>
      </c>
      <c r="D72" s="494" t="s">
        <v>147</v>
      </c>
      <c r="E72" s="8">
        <v>1</v>
      </c>
      <c r="F72" s="8">
        <v>96</v>
      </c>
      <c r="G72" s="494"/>
      <c r="H72" s="494"/>
      <c r="I72" s="494"/>
      <c r="J72" s="494"/>
    </row>
    <row r="73" spans="1:10">
      <c r="A73" s="331">
        <v>43873</v>
      </c>
      <c r="B73" s="8">
        <v>10</v>
      </c>
      <c r="C73" s="494" t="s">
        <v>285</v>
      </c>
      <c r="D73" s="494" t="s">
        <v>148</v>
      </c>
      <c r="E73" s="8">
        <v>1</v>
      </c>
      <c r="F73" s="8">
        <v>24</v>
      </c>
      <c r="G73" s="494"/>
      <c r="H73" s="494"/>
      <c r="I73" s="494"/>
      <c r="J73" s="494"/>
    </row>
    <row r="74" spans="1:10">
      <c r="A74" s="331">
        <v>43874</v>
      </c>
      <c r="B74" s="8">
        <v>12</v>
      </c>
      <c r="C74" s="494" t="s">
        <v>285</v>
      </c>
      <c r="D74" s="494" t="s">
        <v>153</v>
      </c>
      <c r="E74" s="8">
        <v>1</v>
      </c>
      <c r="F74" s="8">
        <v>24</v>
      </c>
      <c r="G74" s="494"/>
      <c r="H74" s="494"/>
      <c r="I74" s="494"/>
      <c r="J74" s="494"/>
    </row>
    <row r="75" spans="1:10">
      <c r="A75" s="331">
        <v>43875</v>
      </c>
      <c r="B75" s="8">
        <v>12</v>
      </c>
      <c r="C75" s="494" t="s">
        <v>285</v>
      </c>
      <c r="D75" s="494" t="s">
        <v>148</v>
      </c>
      <c r="E75" s="8">
        <v>1</v>
      </c>
      <c r="F75" s="8">
        <v>6</v>
      </c>
      <c r="G75" s="494"/>
      <c r="H75" s="494"/>
      <c r="I75" s="494"/>
      <c r="J75" s="494"/>
    </row>
    <row r="76" spans="1:10">
      <c r="A76" s="331">
        <v>43876</v>
      </c>
      <c r="B76" s="8">
        <v>11</v>
      </c>
      <c r="C76" s="494" t="s">
        <v>285</v>
      </c>
      <c r="D76" s="494" t="s">
        <v>153</v>
      </c>
      <c r="E76" s="8">
        <v>1</v>
      </c>
      <c r="F76" s="8">
        <v>6</v>
      </c>
      <c r="G76" s="494"/>
      <c r="H76" s="494"/>
      <c r="I76" s="494"/>
      <c r="J76" s="494"/>
    </row>
    <row r="77" spans="1:10">
      <c r="A77" s="331">
        <v>43878</v>
      </c>
      <c r="B77" s="8">
        <v>10</v>
      </c>
      <c r="C77" s="494" t="s">
        <v>285</v>
      </c>
      <c r="D77" s="494" t="s">
        <v>148</v>
      </c>
      <c r="E77" s="8">
        <v>5</v>
      </c>
      <c r="F77" s="8">
        <v>6</v>
      </c>
      <c r="G77" s="494"/>
      <c r="H77" s="494"/>
      <c r="I77" s="494"/>
      <c r="J77" s="494"/>
    </row>
    <row r="78" spans="1:10">
      <c r="A78" s="331">
        <v>43879</v>
      </c>
      <c r="B78" s="8">
        <v>9</v>
      </c>
      <c r="C78" s="494" t="s">
        <v>285</v>
      </c>
      <c r="D78" s="494" t="s">
        <v>153</v>
      </c>
      <c r="E78" s="8">
        <v>5</v>
      </c>
      <c r="F78" s="8">
        <v>6</v>
      </c>
      <c r="G78" s="494"/>
      <c r="H78" s="494"/>
      <c r="I78" s="494"/>
      <c r="J78" s="494"/>
    </row>
    <row r="79" spans="1:10">
      <c r="A79" s="331">
        <v>43883</v>
      </c>
      <c r="B79" s="8">
        <v>10</v>
      </c>
      <c r="C79" s="494" t="s">
        <v>285</v>
      </c>
      <c r="D79" s="494" t="s">
        <v>154</v>
      </c>
      <c r="E79" s="8">
        <v>1</v>
      </c>
      <c r="F79" s="8">
        <v>96</v>
      </c>
      <c r="G79" s="494"/>
      <c r="H79" s="494" t="s">
        <v>263</v>
      </c>
      <c r="I79" s="494"/>
      <c r="J79" s="494"/>
    </row>
    <row r="80" spans="1:10">
      <c r="A80" s="331">
        <v>43883</v>
      </c>
      <c r="B80" s="8">
        <v>11</v>
      </c>
      <c r="C80" s="494" t="s">
        <v>285</v>
      </c>
      <c r="D80" s="494" t="s">
        <v>152</v>
      </c>
      <c r="E80" s="8">
        <v>4</v>
      </c>
      <c r="F80" s="8" t="s">
        <v>411</v>
      </c>
      <c r="G80" s="494" t="s">
        <v>272</v>
      </c>
      <c r="H80" s="494"/>
      <c r="I80" s="494"/>
      <c r="J80" s="494"/>
    </row>
    <row r="81" spans="1:10">
      <c r="A81" s="331">
        <v>43886</v>
      </c>
      <c r="B81" s="8">
        <v>8</v>
      </c>
      <c r="C81" s="494" t="s">
        <v>285</v>
      </c>
      <c r="D81" s="494" t="s">
        <v>417</v>
      </c>
      <c r="E81" s="8"/>
      <c r="F81" s="8"/>
      <c r="G81" s="494" t="s">
        <v>435</v>
      </c>
      <c r="H81" s="494"/>
      <c r="I81" s="494"/>
      <c r="J81" s="494"/>
    </row>
    <row r="82" spans="1:10">
      <c r="A82" s="331">
        <v>43856</v>
      </c>
      <c r="B82" s="8">
        <v>9</v>
      </c>
      <c r="C82" s="494" t="s">
        <v>282</v>
      </c>
      <c r="D82" s="494" t="s">
        <v>148</v>
      </c>
      <c r="E82" s="8">
        <v>1</v>
      </c>
      <c r="F82" s="8">
        <v>24</v>
      </c>
      <c r="G82" s="494"/>
      <c r="H82" s="494"/>
      <c r="I82" s="494"/>
      <c r="J82" s="494"/>
    </row>
    <row r="83" spans="1:10">
      <c r="A83" s="331">
        <v>43861</v>
      </c>
      <c r="B83" s="8">
        <v>13</v>
      </c>
      <c r="C83" s="494" t="s">
        <v>282</v>
      </c>
      <c r="D83" s="494" t="s">
        <v>148</v>
      </c>
      <c r="E83" s="8">
        <v>1</v>
      </c>
      <c r="F83" s="8">
        <v>6</v>
      </c>
      <c r="G83" s="494"/>
      <c r="H83" s="494"/>
      <c r="I83" s="494"/>
      <c r="J83" s="494"/>
    </row>
    <row r="84" spans="1:10">
      <c r="A84" s="331">
        <v>43862</v>
      </c>
      <c r="B84" s="8">
        <v>9</v>
      </c>
      <c r="C84" s="494" t="s">
        <v>282</v>
      </c>
      <c r="D84" s="494" t="s">
        <v>153</v>
      </c>
      <c r="E84" s="8">
        <v>1</v>
      </c>
      <c r="F84" s="8">
        <v>6</v>
      </c>
      <c r="G84" s="494"/>
      <c r="H84" s="494"/>
      <c r="I84" s="494"/>
      <c r="J84" s="494"/>
    </row>
    <row r="85" spans="1:10">
      <c r="A85" s="331">
        <v>43864</v>
      </c>
      <c r="B85" s="8">
        <v>13</v>
      </c>
      <c r="C85" s="494" t="s">
        <v>282</v>
      </c>
      <c r="D85" s="494" t="s">
        <v>148</v>
      </c>
      <c r="E85" s="8">
        <v>5</v>
      </c>
      <c r="F85" s="8">
        <v>6</v>
      </c>
      <c r="G85" s="494"/>
      <c r="H85" s="494"/>
      <c r="I85" s="494"/>
      <c r="J85" s="494"/>
    </row>
    <row r="86" spans="1:10">
      <c r="A86" s="331">
        <v>43865</v>
      </c>
      <c r="B86" s="8">
        <v>14</v>
      </c>
      <c r="C86" s="494" t="s">
        <v>282</v>
      </c>
      <c r="D86" s="494" t="s">
        <v>153</v>
      </c>
      <c r="E86" s="8">
        <v>5</v>
      </c>
      <c r="F86" s="8">
        <v>6</v>
      </c>
      <c r="G86" s="494"/>
      <c r="H86" s="494"/>
      <c r="I86" s="494"/>
      <c r="J86" s="494"/>
    </row>
    <row r="87" spans="1:10">
      <c r="A87" s="331">
        <v>43867</v>
      </c>
      <c r="B87" s="8">
        <v>12</v>
      </c>
      <c r="C87" s="494" t="s">
        <v>282</v>
      </c>
      <c r="D87" s="494" t="s">
        <v>154</v>
      </c>
      <c r="E87" s="8">
        <v>1</v>
      </c>
      <c r="F87" s="8">
        <v>96</v>
      </c>
      <c r="G87" s="494"/>
      <c r="H87" s="494" t="s">
        <v>260</v>
      </c>
      <c r="I87" s="494"/>
      <c r="J87" s="494"/>
    </row>
    <row r="88" spans="1:10">
      <c r="A88" s="331">
        <v>43869</v>
      </c>
      <c r="B88" s="8">
        <v>9</v>
      </c>
      <c r="C88" s="494" t="s">
        <v>286</v>
      </c>
      <c r="D88" s="494" t="s">
        <v>148</v>
      </c>
      <c r="E88" s="8">
        <v>1</v>
      </c>
      <c r="F88" s="8">
        <v>24</v>
      </c>
      <c r="G88" s="494"/>
      <c r="H88" s="494"/>
      <c r="I88" s="494"/>
      <c r="J88" s="494"/>
    </row>
    <row r="89" spans="1:10">
      <c r="A89" s="331">
        <v>43874</v>
      </c>
      <c r="B89" s="8">
        <v>13</v>
      </c>
      <c r="C89" s="494" t="s">
        <v>286</v>
      </c>
      <c r="D89" s="494" t="s">
        <v>417</v>
      </c>
      <c r="E89" s="8"/>
      <c r="F89" s="8"/>
      <c r="G89" s="494" t="s">
        <v>288</v>
      </c>
      <c r="H89" s="494"/>
      <c r="I89" s="494"/>
      <c r="J89" s="494"/>
    </row>
    <row r="90" spans="1:10">
      <c r="A90" s="331">
        <v>44057</v>
      </c>
      <c r="B90" s="8">
        <v>8</v>
      </c>
      <c r="C90" s="494" t="s">
        <v>286</v>
      </c>
      <c r="D90" s="494" t="s">
        <v>154</v>
      </c>
      <c r="E90" s="8"/>
      <c r="F90" s="8"/>
      <c r="G90" s="494"/>
      <c r="H90" s="494" t="s">
        <v>263</v>
      </c>
      <c r="I90" s="494"/>
      <c r="J90" s="494"/>
    </row>
    <row r="91" spans="1:10">
      <c r="A91" s="331">
        <v>43856</v>
      </c>
      <c r="B91" s="8">
        <v>10</v>
      </c>
      <c r="C91" s="494" t="s">
        <v>283</v>
      </c>
      <c r="D91" s="494" t="s">
        <v>148</v>
      </c>
      <c r="E91" s="8">
        <v>1</v>
      </c>
      <c r="F91" s="8">
        <v>24</v>
      </c>
      <c r="G91" s="494"/>
      <c r="H91" s="494"/>
      <c r="I91" s="494"/>
      <c r="J91" s="494"/>
    </row>
    <row r="92" spans="1:10">
      <c r="A92" s="331">
        <v>43861</v>
      </c>
      <c r="B92" s="8">
        <v>14</v>
      </c>
      <c r="C92" s="494" t="s">
        <v>283</v>
      </c>
      <c r="D92" s="494" t="s">
        <v>148</v>
      </c>
      <c r="E92" s="8">
        <v>1</v>
      </c>
      <c r="F92" s="8">
        <v>6</v>
      </c>
      <c r="G92" s="494"/>
      <c r="H92" s="494"/>
      <c r="I92" s="494"/>
      <c r="J92" s="494"/>
    </row>
    <row r="93" spans="1:10">
      <c r="A93" s="331">
        <v>43862</v>
      </c>
      <c r="B93" s="8">
        <v>10</v>
      </c>
      <c r="C93" s="494" t="s">
        <v>283</v>
      </c>
      <c r="D93" s="494" t="s">
        <v>153</v>
      </c>
      <c r="E93" s="8">
        <v>1</v>
      </c>
      <c r="F93" s="8">
        <v>6</v>
      </c>
      <c r="G93" s="494"/>
      <c r="H93" s="494"/>
      <c r="I93" s="494"/>
      <c r="J93" s="494"/>
    </row>
    <row r="94" spans="1:10">
      <c r="A94" s="331">
        <v>43864</v>
      </c>
      <c r="B94" s="8">
        <v>14</v>
      </c>
      <c r="C94" s="494" t="s">
        <v>283</v>
      </c>
      <c r="D94" s="494" t="s">
        <v>148</v>
      </c>
      <c r="E94" s="8">
        <v>5</v>
      </c>
      <c r="F94" s="8">
        <v>6</v>
      </c>
      <c r="G94" s="494"/>
      <c r="H94" s="494"/>
      <c r="I94" s="494"/>
      <c r="J94" s="494"/>
    </row>
    <row r="95" spans="1:10">
      <c r="A95" s="331">
        <v>43865</v>
      </c>
      <c r="B95" s="8">
        <v>15</v>
      </c>
      <c r="C95" s="494" t="s">
        <v>283</v>
      </c>
      <c r="D95" s="494" t="s">
        <v>153</v>
      </c>
      <c r="E95" s="8">
        <v>5</v>
      </c>
      <c r="F95" s="8">
        <v>6</v>
      </c>
      <c r="G95" s="494"/>
      <c r="H95" s="494"/>
      <c r="I95" s="494"/>
      <c r="J95" s="494"/>
    </row>
    <row r="96" spans="1:10">
      <c r="A96" s="331">
        <v>43867</v>
      </c>
      <c r="B96" s="8">
        <v>13</v>
      </c>
      <c r="C96" s="494" t="s">
        <v>283</v>
      </c>
      <c r="D96" s="494" t="s">
        <v>154</v>
      </c>
      <c r="E96" s="8">
        <v>1</v>
      </c>
      <c r="F96" s="8">
        <v>96</v>
      </c>
      <c r="G96" s="494"/>
      <c r="H96" s="494" t="s">
        <v>260</v>
      </c>
      <c r="I96" s="494"/>
      <c r="J96" s="494"/>
    </row>
    <row r="97" spans="1:10">
      <c r="A97" s="331">
        <v>43869</v>
      </c>
      <c r="B97" s="8">
        <v>10</v>
      </c>
      <c r="C97" s="494" t="s">
        <v>287</v>
      </c>
      <c r="D97" s="494" t="s">
        <v>148</v>
      </c>
      <c r="E97" s="8">
        <v>1</v>
      </c>
      <c r="F97" s="8">
        <v>24</v>
      </c>
      <c r="G97" s="494"/>
      <c r="H97" s="494"/>
      <c r="I97" s="494"/>
      <c r="J97" s="494"/>
    </row>
    <row r="98" spans="1:10">
      <c r="A98" s="331">
        <v>43874</v>
      </c>
      <c r="B98" s="8">
        <v>14</v>
      </c>
      <c r="C98" s="494" t="s">
        <v>287</v>
      </c>
      <c r="D98" s="494" t="s">
        <v>417</v>
      </c>
      <c r="E98" s="8"/>
      <c r="F98" s="8"/>
      <c r="G98" s="494" t="s">
        <v>288</v>
      </c>
      <c r="H98" s="494"/>
      <c r="I98" s="494"/>
      <c r="J98" s="49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15C3C-ED3B-4CEA-AF0D-04D50C5903DD}">
  <dimension ref="A1:J301"/>
  <sheetViews>
    <sheetView workbookViewId="0">
      <selection activeCell="A2" sqref="A2"/>
    </sheetView>
  </sheetViews>
  <sheetFormatPr defaultRowHeight="14.25"/>
  <cols>
    <col min="1" max="1" width="14.265625" bestFit="1" customWidth="1"/>
    <col min="2" max="2" width="6.53125" bestFit="1" customWidth="1"/>
    <col min="3" max="3" width="28.59765625" bestFit="1" customWidth="1"/>
    <col min="4" max="4" width="17.1328125" bestFit="1" customWidth="1"/>
    <col min="5" max="5" width="3.86328125" bestFit="1" customWidth="1"/>
    <col min="6" max="6" width="7" bestFit="1" customWidth="1"/>
    <col min="7" max="7" width="80.53125" bestFit="1" customWidth="1"/>
    <col min="8" max="9" width="11.265625" bestFit="1" customWidth="1"/>
    <col min="10" max="10" width="16.3984375" bestFit="1" customWidth="1"/>
  </cols>
  <sheetData>
    <row r="1" spans="1:10">
      <c r="A1" t="s">
        <v>161</v>
      </c>
      <c r="B1" t="s">
        <v>162</v>
      </c>
      <c r="C1" t="s">
        <v>160</v>
      </c>
      <c r="D1" t="s">
        <v>151</v>
      </c>
      <c r="E1" t="s">
        <v>150</v>
      </c>
      <c r="F1" t="s">
        <v>158</v>
      </c>
      <c r="G1" t="s">
        <v>156</v>
      </c>
      <c r="H1" t="s">
        <v>163</v>
      </c>
      <c r="I1" t="s">
        <v>464</v>
      </c>
      <c r="J1" t="s">
        <v>465</v>
      </c>
    </row>
    <row r="2" spans="1:10">
      <c r="A2" s="331">
        <v>43881</v>
      </c>
      <c r="B2" s="8">
        <v>7</v>
      </c>
      <c r="C2" s="494" t="s">
        <v>237</v>
      </c>
      <c r="D2" s="494" t="s">
        <v>149</v>
      </c>
      <c r="E2" s="8">
        <v>96</v>
      </c>
      <c r="F2" s="8">
        <v>96</v>
      </c>
      <c r="G2" s="494" t="s">
        <v>243</v>
      </c>
      <c r="H2" s="494" t="s">
        <v>149</v>
      </c>
      <c r="I2" s="494"/>
      <c r="J2" s="494"/>
    </row>
    <row r="3" spans="1:10">
      <c r="A3" s="331">
        <v>43882</v>
      </c>
      <c r="B3" s="8">
        <v>7</v>
      </c>
      <c r="C3" s="494" t="s">
        <v>237</v>
      </c>
      <c r="D3" s="494" t="s">
        <v>153</v>
      </c>
      <c r="E3" s="8">
        <v>96</v>
      </c>
      <c r="F3" s="8">
        <v>96</v>
      </c>
      <c r="G3" s="494"/>
      <c r="H3" s="494"/>
      <c r="I3" s="494"/>
      <c r="J3" s="494"/>
    </row>
    <row r="4" spans="1:10">
      <c r="A4" s="331">
        <v>43883</v>
      </c>
      <c r="B4" s="8">
        <v>7</v>
      </c>
      <c r="C4" s="494" t="s">
        <v>237</v>
      </c>
      <c r="D4" s="494" t="s">
        <v>153</v>
      </c>
      <c r="E4" s="8"/>
      <c r="F4" s="8"/>
      <c r="G4" s="494"/>
      <c r="H4" s="494"/>
      <c r="I4" s="494"/>
      <c r="J4" s="494"/>
    </row>
    <row r="5" spans="1:10">
      <c r="A5" s="331">
        <v>43884</v>
      </c>
      <c r="B5" s="8">
        <v>15</v>
      </c>
      <c r="C5" s="494" t="s">
        <v>237</v>
      </c>
      <c r="D5" s="494" t="s">
        <v>147</v>
      </c>
      <c r="E5" s="8">
        <v>96</v>
      </c>
      <c r="F5" s="8">
        <v>96</v>
      </c>
      <c r="G5" s="494"/>
      <c r="H5" s="494"/>
      <c r="I5" s="494"/>
      <c r="J5" s="494"/>
    </row>
    <row r="6" spans="1:10">
      <c r="A6" s="331">
        <v>43885</v>
      </c>
      <c r="B6" s="8">
        <v>7</v>
      </c>
      <c r="C6" s="494" t="s">
        <v>237</v>
      </c>
      <c r="D6" s="494" t="s">
        <v>147</v>
      </c>
      <c r="E6" s="8">
        <v>93</v>
      </c>
      <c r="F6" s="8">
        <v>96</v>
      </c>
      <c r="G6" s="494"/>
      <c r="H6" s="494"/>
      <c r="I6" s="494"/>
      <c r="J6" s="494"/>
    </row>
    <row r="7" spans="1:10">
      <c r="A7" s="331">
        <v>43888</v>
      </c>
      <c r="B7" s="8">
        <v>7</v>
      </c>
      <c r="C7" s="494" t="s">
        <v>237</v>
      </c>
      <c r="D7" s="494" t="s">
        <v>147</v>
      </c>
      <c r="E7" s="8">
        <v>79</v>
      </c>
      <c r="F7" s="8">
        <v>96</v>
      </c>
      <c r="G7" s="494"/>
      <c r="H7" s="494"/>
      <c r="I7" s="494"/>
      <c r="J7" s="494"/>
    </row>
    <row r="8" spans="1:10">
      <c r="A8" s="331">
        <v>43889</v>
      </c>
      <c r="B8" s="8">
        <v>7</v>
      </c>
      <c r="C8" s="494" t="s">
        <v>237</v>
      </c>
      <c r="D8" s="494" t="s">
        <v>147</v>
      </c>
      <c r="E8" s="8">
        <v>61</v>
      </c>
      <c r="F8" s="8">
        <v>96</v>
      </c>
      <c r="G8" s="494"/>
      <c r="H8" s="494"/>
      <c r="I8" s="494"/>
      <c r="J8" s="494"/>
    </row>
    <row r="9" spans="1:10">
      <c r="A9" s="331">
        <v>43890</v>
      </c>
      <c r="B9" s="8">
        <v>7</v>
      </c>
      <c r="C9" s="494" t="s">
        <v>237</v>
      </c>
      <c r="D9" s="494" t="s">
        <v>147</v>
      </c>
      <c r="E9" s="8">
        <v>19</v>
      </c>
      <c r="F9" s="8">
        <v>96</v>
      </c>
      <c r="G9" s="494"/>
      <c r="H9" s="494"/>
      <c r="I9" s="494"/>
      <c r="J9" s="494"/>
    </row>
    <row r="10" spans="1:10">
      <c r="A10" s="331">
        <v>43891</v>
      </c>
      <c r="B10" s="8">
        <v>9</v>
      </c>
      <c r="C10" s="494" t="s">
        <v>296</v>
      </c>
      <c r="D10" s="494" t="s">
        <v>148</v>
      </c>
      <c r="E10" s="8">
        <v>1</v>
      </c>
      <c r="F10" s="8">
        <v>24</v>
      </c>
      <c r="G10" s="494"/>
      <c r="H10" s="494"/>
      <c r="I10" s="494"/>
      <c r="J10" s="494"/>
    </row>
    <row r="11" spans="1:10">
      <c r="A11" s="331">
        <v>43892</v>
      </c>
      <c r="B11" s="8">
        <v>10</v>
      </c>
      <c r="C11" s="494" t="s">
        <v>296</v>
      </c>
      <c r="D11" s="494" t="s">
        <v>153</v>
      </c>
      <c r="E11" s="8">
        <v>1</v>
      </c>
      <c r="F11" s="8">
        <v>24</v>
      </c>
      <c r="G11" s="494"/>
      <c r="H11" s="494"/>
      <c r="I11" s="494"/>
      <c r="J11" s="494"/>
    </row>
    <row r="12" spans="1:10">
      <c r="A12" s="331">
        <v>43893</v>
      </c>
      <c r="B12" s="8">
        <v>7</v>
      </c>
      <c r="C12" s="494" t="s">
        <v>296</v>
      </c>
      <c r="D12" s="494" t="s">
        <v>147</v>
      </c>
      <c r="E12" s="8">
        <v>1</v>
      </c>
      <c r="F12" s="8">
        <v>24</v>
      </c>
      <c r="G12" s="494"/>
      <c r="H12" s="494"/>
      <c r="I12" s="494"/>
      <c r="J12" s="494"/>
    </row>
    <row r="13" spans="1:10">
      <c r="A13" s="331">
        <v>43895</v>
      </c>
      <c r="B13" s="8">
        <v>7</v>
      </c>
      <c r="C13" s="494" t="s">
        <v>296</v>
      </c>
      <c r="D13" s="494" t="s">
        <v>148</v>
      </c>
      <c r="E13" s="8">
        <v>1</v>
      </c>
      <c r="F13" s="8">
        <v>6</v>
      </c>
      <c r="G13" s="494"/>
      <c r="H13" s="494"/>
      <c r="I13" s="494"/>
      <c r="J13" s="494"/>
    </row>
    <row r="14" spans="1:10">
      <c r="A14" s="331">
        <v>43896</v>
      </c>
      <c r="B14" s="8">
        <v>7</v>
      </c>
      <c r="C14" s="494" t="s">
        <v>296</v>
      </c>
      <c r="D14" s="494" t="s">
        <v>153</v>
      </c>
      <c r="E14" s="8">
        <v>1</v>
      </c>
      <c r="F14" s="8">
        <v>6</v>
      </c>
      <c r="G14" s="494"/>
      <c r="H14" s="494"/>
      <c r="I14" s="494"/>
      <c r="J14" s="494"/>
    </row>
    <row r="15" spans="1:10">
      <c r="A15" s="331">
        <v>43899</v>
      </c>
      <c r="B15" s="8">
        <v>8</v>
      </c>
      <c r="C15" s="494" t="s">
        <v>296</v>
      </c>
      <c r="D15" s="494" t="s">
        <v>148</v>
      </c>
      <c r="E15" s="8">
        <v>5</v>
      </c>
      <c r="F15" s="8">
        <v>6</v>
      </c>
      <c r="G15" s="494"/>
      <c r="H15" s="494"/>
      <c r="I15" s="494"/>
      <c r="J15" s="494"/>
    </row>
    <row r="16" spans="1:10">
      <c r="A16" s="331">
        <v>43900</v>
      </c>
      <c r="B16" s="8">
        <v>13</v>
      </c>
      <c r="C16" s="494" t="s">
        <v>296</v>
      </c>
      <c r="D16" s="494" t="s">
        <v>153</v>
      </c>
      <c r="E16" s="8">
        <v>5</v>
      </c>
      <c r="F16" s="8">
        <v>6</v>
      </c>
      <c r="G16" s="494"/>
      <c r="H16" s="494"/>
      <c r="I16" s="494"/>
      <c r="J16" s="494"/>
    </row>
    <row r="17" spans="1:10">
      <c r="A17" s="331">
        <v>43902</v>
      </c>
      <c r="B17" s="8">
        <v>7</v>
      </c>
      <c r="C17" s="494" t="s">
        <v>296</v>
      </c>
      <c r="D17" s="494" t="s">
        <v>147</v>
      </c>
      <c r="E17" s="8"/>
      <c r="F17" s="8"/>
      <c r="G17" s="494"/>
      <c r="H17" s="494"/>
      <c r="I17" s="494"/>
      <c r="J17" s="494"/>
    </row>
    <row r="18" spans="1:10">
      <c r="A18" s="331">
        <v>43902</v>
      </c>
      <c r="B18" s="8">
        <v>8</v>
      </c>
      <c r="C18" s="494" t="s">
        <v>296</v>
      </c>
      <c r="D18" s="494" t="s">
        <v>152</v>
      </c>
      <c r="E18" s="8"/>
      <c r="F18" s="8"/>
      <c r="G18" s="494" t="s">
        <v>272</v>
      </c>
      <c r="H18" s="494"/>
      <c r="I18" s="494"/>
      <c r="J18" s="494"/>
    </row>
    <row r="19" spans="1:10">
      <c r="A19" s="331">
        <v>43902</v>
      </c>
      <c r="B19" s="8">
        <v>9</v>
      </c>
      <c r="C19" s="494" t="s">
        <v>296</v>
      </c>
      <c r="D19" s="494" t="s">
        <v>154</v>
      </c>
      <c r="E19" s="8"/>
      <c r="F19" s="8"/>
      <c r="G19" s="494"/>
      <c r="H19" s="494" t="s">
        <v>260</v>
      </c>
      <c r="I19" s="494"/>
      <c r="J19" s="494"/>
    </row>
    <row r="20" spans="1:10">
      <c r="A20" s="331">
        <v>43905</v>
      </c>
      <c r="B20" s="8">
        <v>7</v>
      </c>
      <c r="C20" s="494" t="s">
        <v>305</v>
      </c>
      <c r="D20" s="494" t="s">
        <v>147</v>
      </c>
      <c r="E20" s="8">
        <v>1</v>
      </c>
      <c r="F20" s="8">
        <v>96</v>
      </c>
      <c r="G20" s="494"/>
      <c r="H20" s="494"/>
      <c r="I20" s="494"/>
      <c r="J20" s="494"/>
    </row>
    <row r="21" spans="1:10">
      <c r="A21" s="331">
        <v>43912</v>
      </c>
      <c r="B21" s="8">
        <v>8</v>
      </c>
      <c r="C21" s="494" t="s">
        <v>305</v>
      </c>
      <c r="D21" s="494" t="s">
        <v>148</v>
      </c>
      <c r="E21" s="8">
        <v>1</v>
      </c>
      <c r="F21" s="8">
        <v>24</v>
      </c>
      <c r="G21" s="494"/>
      <c r="H21" s="494"/>
      <c r="I21" s="494"/>
      <c r="J21" s="494"/>
    </row>
    <row r="22" spans="1:10">
      <c r="A22" s="331">
        <v>43913</v>
      </c>
      <c r="B22" s="8">
        <v>8</v>
      </c>
      <c r="C22" s="494" t="s">
        <v>305</v>
      </c>
      <c r="D22" s="494" t="s">
        <v>153</v>
      </c>
      <c r="E22" s="8">
        <v>1</v>
      </c>
      <c r="F22" s="8">
        <v>24</v>
      </c>
      <c r="G22" s="494"/>
      <c r="H22" s="494"/>
      <c r="I22" s="494"/>
      <c r="J22" s="494"/>
    </row>
    <row r="23" spans="1:10">
      <c r="A23" s="331">
        <v>43914</v>
      </c>
      <c r="B23" s="8">
        <v>7</v>
      </c>
      <c r="C23" s="494" t="s">
        <v>305</v>
      </c>
      <c r="D23" s="494" t="s">
        <v>147</v>
      </c>
      <c r="E23" s="8">
        <v>1</v>
      </c>
      <c r="F23" s="8">
        <v>24</v>
      </c>
      <c r="G23" s="494"/>
      <c r="H23" s="494"/>
      <c r="I23" s="494"/>
      <c r="J23" s="494"/>
    </row>
    <row r="24" spans="1:10">
      <c r="A24" s="331">
        <v>43915</v>
      </c>
      <c r="B24" s="8">
        <v>9</v>
      </c>
      <c r="C24" s="494" t="s">
        <v>305</v>
      </c>
      <c r="D24" s="494" t="s">
        <v>148</v>
      </c>
      <c r="E24" s="8">
        <v>1</v>
      </c>
      <c r="F24" s="8">
        <v>6</v>
      </c>
      <c r="G24" s="494"/>
      <c r="H24" s="494"/>
      <c r="I24" s="494"/>
      <c r="J24" s="494"/>
    </row>
    <row r="25" spans="1:10">
      <c r="A25" s="331">
        <v>43916</v>
      </c>
      <c r="B25" s="8">
        <v>8</v>
      </c>
      <c r="C25" s="494" t="s">
        <v>305</v>
      </c>
      <c r="D25" s="494" t="s">
        <v>153</v>
      </c>
      <c r="E25" s="8">
        <v>1</v>
      </c>
      <c r="F25" s="8">
        <v>6</v>
      </c>
      <c r="G25" s="494"/>
      <c r="H25" s="494"/>
      <c r="I25" s="494"/>
      <c r="J25" s="494"/>
    </row>
    <row r="26" spans="1:10">
      <c r="A26" s="331">
        <v>43917</v>
      </c>
      <c r="B26" s="8">
        <v>8</v>
      </c>
      <c r="C26" s="494" t="s">
        <v>305</v>
      </c>
      <c r="D26" s="494" t="s">
        <v>148</v>
      </c>
      <c r="E26" s="8">
        <v>5</v>
      </c>
      <c r="F26" s="8">
        <v>6</v>
      </c>
      <c r="G26" s="494"/>
      <c r="H26" s="494"/>
      <c r="I26" s="494"/>
      <c r="J26" s="494"/>
    </row>
    <row r="27" spans="1:10">
      <c r="A27" s="331">
        <v>43918</v>
      </c>
      <c r="B27" s="8">
        <v>8</v>
      </c>
      <c r="C27" s="494" t="s">
        <v>305</v>
      </c>
      <c r="D27" s="494" t="s">
        <v>153</v>
      </c>
      <c r="E27" s="8">
        <v>5</v>
      </c>
      <c r="F27" s="8">
        <v>6</v>
      </c>
      <c r="G27" s="494"/>
      <c r="H27" s="494"/>
      <c r="I27" s="494"/>
      <c r="J27" s="494"/>
    </row>
    <row r="28" spans="1:10">
      <c r="A28" s="331">
        <v>43920</v>
      </c>
      <c r="B28" s="8">
        <v>8</v>
      </c>
      <c r="C28" s="494" t="s">
        <v>305</v>
      </c>
      <c r="D28" s="494" t="s">
        <v>152</v>
      </c>
      <c r="E28" s="8"/>
      <c r="F28" s="8"/>
      <c r="G28" s="494" t="s">
        <v>262</v>
      </c>
      <c r="H28" s="494"/>
      <c r="I28" s="494"/>
      <c r="J28" s="494"/>
    </row>
    <row r="29" spans="1:10">
      <c r="A29" s="331">
        <v>44104</v>
      </c>
      <c r="B29" s="8">
        <v>9</v>
      </c>
      <c r="C29" s="494" t="s">
        <v>305</v>
      </c>
      <c r="D29" s="494" t="s">
        <v>146</v>
      </c>
      <c r="E29" s="8">
        <v>1</v>
      </c>
      <c r="F29" s="8">
        <v>6</v>
      </c>
      <c r="G29" s="494" t="s">
        <v>364</v>
      </c>
      <c r="H29" s="494"/>
      <c r="I29" s="494"/>
      <c r="J29" s="494"/>
    </row>
    <row r="30" spans="1:10">
      <c r="A30" s="331">
        <v>44105</v>
      </c>
      <c r="B30" s="8">
        <v>8</v>
      </c>
      <c r="C30" s="494" t="s">
        <v>305</v>
      </c>
      <c r="D30" s="494" t="s">
        <v>348</v>
      </c>
      <c r="E30" s="8">
        <v>1</v>
      </c>
      <c r="F30" s="8">
        <v>6</v>
      </c>
      <c r="G30" s="494"/>
      <c r="H30" s="494"/>
      <c r="I30" s="494"/>
      <c r="J30" s="494"/>
    </row>
    <row r="31" spans="1:10">
      <c r="A31" s="331">
        <v>44106</v>
      </c>
      <c r="B31" s="8">
        <v>8</v>
      </c>
      <c r="C31" s="494" t="s">
        <v>305</v>
      </c>
      <c r="D31" s="494" t="s">
        <v>148</v>
      </c>
      <c r="E31" s="8">
        <v>5</v>
      </c>
      <c r="F31" s="8">
        <v>6</v>
      </c>
      <c r="G31" s="494" t="s">
        <v>365</v>
      </c>
      <c r="H31" s="494"/>
      <c r="I31" s="494"/>
      <c r="J31" s="494"/>
    </row>
    <row r="32" spans="1:10">
      <c r="A32" s="331">
        <v>44107</v>
      </c>
      <c r="B32" s="8">
        <v>8</v>
      </c>
      <c r="C32" s="494" t="s">
        <v>305</v>
      </c>
      <c r="D32" s="494" t="s">
        <v>348</v>
      </c>
      <c r="E32" s="8">
        <v>5</v>
      </c>
      <c r="F32" s="8">
        <v>6</v>
      </c>
      <c r="G32" s="494"/>
      <c r="H32" s="494"/>
      <c r="I32" s="494"/>
      <c r="J32" s="494"/>
    </row>
    <row r="33" spans="1:10">
      <c r="A33" s="331">
        <v>44109</v>
      </c>
      <c r="B33" s="8">
        <v>8</v>
      </c>
      <c r="C33" s="494" t="s">
        <v>305</v>
      </c>
      <c r="D33" s="494" t="s">
        <v>154</v>
      </c>
      <c r="E33" s="8"/>
      <c r="F33" s="8"/>
      <c r="G33" s="494" t="s">
        <v>370</v>
      </c>
      <c r="H33" s="494" t="s">
        <v>263</v>
      </c>
      <c r="I33" s="494"/>
      <c r="J33" s="494"/>
    </row>
    <row r="34" spans="1:10">
      <c r="A34" s="331">
        <v>44110</v>
      </c>
      <c r="B34" s="8">
        <v>8</v>
      </c>
      <c r="C34" s="494" t="s">
        <v>366</v>
      </c>
      <c r="D34" s="494" t="s">
        <v>338</v>
      </c>
      <c r="E34" s="8">
        <v>1</v>
      </c>
      <c r="F34" s="8">
        <v>96</v>
      </c>
      <c r="G34" s="494"/>
      <c r="H34" s="494"/>
      <c r="I34" s="494"/>
      <c r="J34" s="494"/>
    </row>
    <row r="35" spans="1:10">
      <c r="A35" s="331">
        <v>44110</v>
      </c>
      <c r="B35" s="8">
        <v>10</v>
      </c>
      <c r="C35" s="494" t="s">
        <v>366</v>
      </c>
      <c r="D35" s="494" t="s">
        <v>147</v>
      </c>
      <c r="E35" s="8">
        <v>1</v>
      </c>
      <c r="F35" s="8">
        <v>96</v>
      </c>
      <c r="G35" s="494"/>
      <c r="H35" s="494"/>
      <c r="I35" s="494"/>
      <c r="J35" s="494"/>
    </row>
    <row r="36" spans="1:10">
      <c r="A36" s="331">
        <v>44111</v>
      </c>
      <c r="B36" s="8">
        <v>8</v>
      </c>
      <c r="C36" s="494" t="s">
        <v>366</v>
      </c>
      <c r="D36" s="494" t="s">
        <v>338</v>
      </c>
      <c r="E36" s="8">
        <v>1</v>
      </c>
      <c r="F36" s="8">
        <v>96</v>
      </c>
      <c r="G36" s="494"/>
      <c r="H36" s="494"/>
      <c r="I36" s="494"/>
      <c r="J36" s="494"/>
    </row>
    <row r="37" spans="1:10">
      <c r="A37" s="331">
        <v>44112</v>
      </c>
      <c r="B37" s="8">
        <v>7</v>
      </c>
      <c r="C37" s="494" t="s">
        <v>366</v>
      </c>
      <c r="D37" s="494" t="s">
        <v>348</v>
      </c>
      <c r="E37" s="8">
        <v>1</v>
      </c>
      <c r="F37" s="8">
        <v>96</v>
      </c>
      <c r="G37" s="494"/>
      <c r="H37" s="494"/>
      <c r="I37" s="494"/>
      <c r="J37" s="494"/>
    </row>
    <row r="38" spans="1:10">
      <c r="A38" s="331">
        <v>44113</v>
      </c>
      <c r="B38" s="8">
        <v>7</v>
      </c>
      <c r="C38" s="494" t="s">
        <v>366</v>
      </c>
      <c r="D38" s="494" t="s">
        <v>348</v>
      </c>
      <c r="E38" s="8">
        <v>1</v>
      </c>
      <c r="F38" s="8">
        <v>96</v>
      </c>
      <c r="G38" s="494"/>
      <c r="H38" s="494"/>
      <c r="I38" s="494"/>
      <c r="J38" s="494"/>
    </row>
    <row r="39" spans="1:10">
      <c r="A39" s="331">
        <v>44116</v>
      </c>
      <c r="B39" s="8">
        <v>7</v>
      </c>
      <c r="C39" s="494" t="s">
        <v>366</v>
      </c>
      <c r="D39" s="494" t="s">
        <v>148</v>
      </c>
      <c r="E39" s="8">
        <v>1</v>
      </c>
      <c r="F39" s="8">
        <v>12</v>
      </c>
      <c r="G39" s="494" t="s">
        <v>377</v>
      </c>
      <c r="H39" s="494"/>
      <c r="I39" s="494"/>
      <c r="J39" s="494"/>
    </row>
    <row r="40" spans="1:10">
      <c r="A40" s="331">
        <v>44117</v>
      </c>
      <c r="B40" s="8">
        <v>8</v>
      </c>
      <c r="C40" s="494" t="s">
        <v>366</v>
      </c>
      <c r="D40" s="494" t="s">
        <v>348</v>
      </c>
      <c r="E40" s="8">
        <v>1</v>
      </c>
      <c r="F40" s="8">
        <v>12</v>
      </c>
      <c r="G40" s="494"/>
      <c r="H40" s="494"/>
      <c r="I40" s="494"/>
      <c r="J40" s="494"/>
    </row>
    <row r="41" spans="1:10">
      <c r="A41" s="331">
        <v>44118</v>
      </c>
      <c r="B41" s="8">
        <v>8</v>
      </c>
      <c r="C41" s="494" t="s">
        <v>366</v>
      </c>
      <c r="D41" s="494" t="s">
        <v>348</v>
      </c>
      <c r="E41" s="8">
        <v>1</v>
      </c>
      <c r="F41" s="8">
        <v>12</v>
      </c>
      <c r="G41" s="494"/>
      <c r="H41" s="494"/>
      <c r="I41" s="494"/>
      <c r="J41" s="494"/>
    </row>
    <row r="42" spans="1:10">
      <c r="A42" s="331">
        <v>44118</v>
      </c>
      <c r="B42" s="8">
        <v>13</v>
      </c>
      <c r="C42" s="494" t="s">
        <v>366</v>
      </c>
      <c r="D42" s="494" t="s">
        <v>147</v>
      </c>
      <c r="E42" s="8">
        <v>1</v>
      </c>
      <c r="F42" s="8">
        <v>12</v>
      </c>
      <c r="G42" s="494"/>
      <c r="H42" s="494"/>
      <c r="I42" s="494"/>
      <c r="J42" s="494"/>
    </row>
    <row r="43" spans="1:10">
      <c r="A43" s="331">
        <v>44119</v>
      </c>
      <c r="B43" s="8">
        <v>9</v>
      </c>
      <c r="C43" s="494" t="s">
        <v>366</v>
      </c>
      <c r="D43" s="494" t="s">
        <v>148</v>
      </c>
      <c r="E43" s="8">
        <v>1</v>
      </c>
      <c r="F43" s="8">
        <v>6</v>
      </c>
      <c r="G43" s="494" t="s">
        <v>380</v>
      </c>
      <c r="H43" s="494"/>
      <c r="I43" s="494"/>
      <c r="J43" s="494"/>
    </row>
    <row r="44" spans="1:10">
      <c r="A44" s="331">
        <v>44120</v>
      </c>
      <c r="B44" s="8">
        <v>9</v>
      </c>
      <c r="C44" s="494" t="s">
        <v>366</v>
      </c>
      <c r="D44" s="494" t="s">
        <v>338</v>
      </c>
      <c r="E44" s="8">
        <v>1</v>
      </c>
      <c r="F44" s="8">
        <v>6</v>
      </c>
      <c r="G44" s="494"/>
      <c r="H44" s="494"/>
      <c r="I44" s="494"/>
      <c r="J44" s="494"/>
    </row>
    <row r="45" spans="1:10">
      <c r="A45" s="331">
        <v>44121</v>
      </c>
      <c r="B45" s="8">
        <v>9</v>
      </c>
      <c r="C45" s="494" t="s">
        <v>366</v>
      </c>
      <c r="D45" s="494" t="s">
        <v>148</v>
      </c>
      <c r="E45" s="8">
        <v>5</v>
      </c>
      <c r="F45" s="8">
        <v>6</v>
      </c>
      <c r="G45" s="494"/>
      <c r="H45" s="494"/>
      <c r="I45" s="494"/>
      <c r="J45" s="494"/>
    </row>
    <row r="46" spans="1:10">
      <c r="A46" s="331">
        <v>44123</v>
      </c>
      <c r="B46" s="8">
        <v>9</v>
      </c>
      <c r="C46" s="494" t="s">
        <v>366</v>
      </c>
      <c r="D46" s="494" t="s">
        <v>348</v>
      </c>
      <c r="E46" s="8">
        <v>5</v>
      </c>
      <c r="F46" s="8">
        <v>6</v>
      </c>
      <c r="G46" s="494"/>
      <c r="H46" s="494"/>
      <c r="I46" s="494"/>
      <c r="J46" s="494"/>
    </row>
    <row r="47" spans="1:10">
      <c r="A47" s="331">
        <v>44124</v>
      </c>
      <c r="B47" s="8">
        <v>9</v>
      </c>
      <c r="C47" s="494" t="s">
        <v>366</v>
      </c>
      <c r="D47" s="494" t="s">
        <v>348</v>
      </c>
      <c r="E47" s="8">
        <v>5</v>
      </c>
      <c r="F47" s="8">
        <v>6</v>
      </c>
      <c r="G47" s="494"/>
      <c r="H47" s="494"/>
      <c r="I47" s="494" t="s">
        <v>469</v>
      </c>
      <c r="J47" s="494" t="s">
        <v>470</v>
      </c>
    </row>
    <row r="48" spans="1:10">
      <c r="A48" s="331">
        <v>44125</v>
      </c>
      <c r="B48" s="8">
        <v>9</v>
      </c>
      <c r="C48" s="494" t="s">
        <v>366</v>
      </c>
      <c r="D48" s="494" t="s">
        <v>154</v>
      </c>
      <c r="E48" s="8">
        <v>2</v>
      </c>
      <c r="F48" s="8">
        <v>6</v>
      </c>
      <c r="G48" s="494" t="s">
        <v>390</v>
      </c>
      <c r="H48" s="494" t="s">
        <v>317</v>
      </c>
      <c r="I48" s="494"/>
      <c r="J48" s="494"/>
    </row>
    <row r="49" spans="1:10">
      <c r="A49" s="331">
        <v>44125</v>
      </c>
      <c r="B49" s="8">
        <v>12</v>
      </c>
      <c r="C49" s="494" t="s">
        <v>366</v>
      </c>
      <c r="D49" s="494" t="s">
        <v>152</v>
      </c>
      <c r="E49" s="8">
        <v>5</v>
      </c>
      <c r="F49" s="8" t="s">
        <v>411</v>
      </c>
      <c r="G49" s="494" t="s">
        <v>262</v>
      </c>
      <c r="H49" s="494"/>
      <c r="I49" s="494"/>
      <c r="J49" s="494"/>
    </row>
    <row r="50" spans="1:10">
      <c r="A50" s="331">
        <v>44131</v>
      </c>
      <c r="B50" s="8">
        <v>9</v>
      </c>
      <c r="C50" s="494" t="s">
        <v>366</v>
      </c>
      <c r="D50" s="494" t="s">
        <v>276</v>
      </c>
      <c r="E50" s="8"/>
      <c r="F50" s="8"/>
      <c r="G50" s="494" t="s">
        <v>396</v>
      </c>
      <c r="H50" s="494"/>
      <c r="I50" s="494"/>
      <c r="J50" s="494"/>
    </row>
    <row r="51" spans="1:10">
      <c r="A51" s="331">
        <v>44126</v>
      </c>
      <c r="B51" s="8">
        <v>8</v>
      </c>
      <c r="C51" s="494" t="s">
        <v>413</v>
      </c>
      <c r="D51" s="494" t="s">
        <v>338</v>
      </c>
      <c r="E51" s="8">
        <v>1</v>
      </c>
      <c r="F51" s="8">
        <v>6</v>
      </c>
      <c r="G51" s="494" t="s">
        <v>414</v>
      </c>
      <c r="H51" s="494"/>
      <c r="I51" s="494"/>
      <c r="J51" s="494"/>
    </row>
    <row r="52" spans="1:10">
      <c r="A52" s="331">
        <v>44127</v>
      </c>
      <c r="B52" s="8">
        <v>12</v>
      </c>
      <c r="C52" s="494" t="s">
        <v>413</v>
      </c>
      <c r="D52" s="494" t="s">
        <v>338</v>
      </c>
      <c r="E52" s="8">
        <v>1</v>
      </c>
      <c r="F52" s="8">
        <v>6</v>
      </c>
      <c r="G52" s="494" t="s">
        <v>420</v>
      </c>
      <c r="H52" s="494"/>
      <c r="I52" s="494"/>
      <c r="J52" s="494"/>
    </row>
    <row r="53" spans="1:10">
      <c r="A53" s="331">
        <v>44129</v>
      </c>
      <c r="B53" s="8">
        <v>8</v>
      </c>
      <c r="C53" s="494" t="s">
        <v>413</v>
      </c>
      <c r="D53" s="494" t="s">
        <v>348</v>
      </c>
      <c r="E53" s="8">
        <v>1</v>
      </c>
      <c r="F53" s="8">
        <v>6</v>
      </c>
      <c r="G53" s="494"/>
      <c r="H53" s="494"/>
      <c r="I53" s="494"/>
      <c r="J53" s="494"/>
    </row>
    <row r="54" spans="1:10">
      <c r="A54" s="331">
        <v>44129</v>
      </c>
      <c r="B54" s="8">
        <v>9</v>
      </c>
      <c r="C54" s="494" t="s">
        <v>413</v>
      </c>
      <c r="D54" s="494" t="s">
        <v>147</v>
      </c>
      <c r="E54" s="8">
        <v>1</v>
      </c>
      <c r="F54" s="8">
        <v>6</v>
      </c>
      <c r="G54" s="494" t="s">
        <v>394</v>
      </c>
      <c r="H54" s="494"/>
      <c r="I54" s="494"/>
      <c r="J54" s="494"/>
    </row>
    <row r="55" spans="1:10">
      <c r="A55" s="331">
        <v>44130</v>
      </c>
      <c r="B55" s="8">
        <v>7</v>
      </c>
      <c r="C55" s="494" t="s">
        <v>413</v>
      </c>
      <c r="D55" s="494" t="s">
        <v>147</v>
      </c>
      <c r="E55" s="8">
        <v>1</v>
      </c>
      <c r="F55" s="8">
        <v>6</v>
      </c>
      <c r="G55" s="494" t="s">
        <v>395</v>
      </c>
      <c r="H55" s="494"/>
      <c r="I55" s="494"/>
      <c r="J55" s="494"/>
    </row>
    <row r="56" spans="1:10">
      <c r="A56" s="331">
        <v>44131</v>
      </c>
      <c r="B56" s="8">
        <v>10</v>
      </c>
      <c r="C56" s="494" t="s">
        <v>413</v>
      </c>
      <c r="D56" s="494" t="s">
        <v>348</v>
      </c>
      <c r="E56" s="8">
        <v>1</v>
      </c>
      <c r="F56" s="8">
        <v>6</v>
      </c>
      <c r="G56" s="494"/>
      <c r="H56" s="494"/>
      <c r="I56" s="494"/>
      <c r="J56" s="494"/>
    </row>
    <row r="57" spans="1:10">
      <c r="A57" s="331">
        <v>44132</v>
      </c>
      <c r="B57" s="8">
        <v>8</v>
      </c>
      <c r="C57" s="494" t="s">
        <v>413</v>
      </c>
      <c r="D57" s="494" t="s">
        <v>148</v>
      </c>
      <c r="E57" s="8">
        <v>6</v>
      </c>
      <c r="F57" s="8">
        <v>6</v>
      </c>
      <c r="G57" s="494" t="s">
        <v>421</v>
      </c>
      <c r="H57" s="494"/>
      <c r="I57" s="494"/>
      <c r="J57" s="494"/>
    </row>
    <row r="58" spans="1:10">
      <c r="A58" s="331">
        <v>44133</v>
      </c>
      <c r="B58" s="8">
        <v>8</v>
      </c>
      <c r="C58" s="494" t="s">
        <v>413</v>
      </c>
      <c r="D58" s="494" t="s">
        <v>348</v>
      </c>
      <c r="E58" s="8">
        <v>6</v>
      </c>
      <c r="F58" s="8">
        <v>6</v>
      </c>
      <c r="G58" s="494"/>
      <c r="H58" s="494"/>
      <c r="I58" s="494"/>
      <c r="J58" s="494"/>
    </row>
    <row r="59" spans="1:10">
      <c r="A59" s="331">
        <v>44134</v>
      </c>
      <c r="B59" s="8">
        <v>8</v>
      </c>
      <c r="C59" s="494" t="s">
        <v>413</v>
      </c>
      <c r="D59" s="494" t="s">
        <v>348</v>
      </c>
      <c r="E59" s="8">
        <v>6</v>
      </c>
      <c r="F59" s="8">
        <v>6</v>
      </c>
      <c r="G59" s="494"/>
      <c r="H59" s="494"/>
      <c r="I59" s="494"/>
      <c r="J59" s="494"/>
    </row>
    <row r="60" spans="1:10">
      <c r="A60" s="331">
        <v>44135</v>
      </c>
      <c r="B60" s="8">
        <v>8</v>
      </c>
      <c r="C60" s="494" t="s">
        <v>413</v>
      </c>
      <c r="D60" s="494" t="s">
        <v>148</v>
      </c>
      <c r="E60" s="8">
        <v>1</v>
      </c>
      <c r="F60" s="8">
        <v>6</v>
      </c>
      <c r="G60" s="494"/>
      <c r="H60" s="494"/>
      <c r="I60" s="494"/>
      <c r="J60" s="494"/>
    </row>
    <row r="61" spans="1:10">
      <c r="A61" s="331">
        <v>44137</v>
      </c>
      <c r="B61" s="8">
        <v>8</v>
      </c>
      <c r="C61" s="494" t="s">
        <v>413</v>
      </c>
      <c r="D61" s="494" t="s">
        <v>348</v>
      </c>
      <c r="E61" s="8">
        <v>1</v>
      </c>
      <c r="F61" s="8">
        <v>6</v>
      </c>
      <c r="G61" s="494"/>
      <c r="H61" s="494"/>
      <c r="I61" s="494"/>
      <c r="J61" s="494"/>
    </row>
    <row r="62" spans="1:10">
      <c r="A62" s="331">
        <v>44139</v>
      </c>
      <c r="B62" s="8">
        <v>8</v>
      </c>
      <c r="C62" s="494" t="s">
        <v>413</v>
      </c>
      <c r="D62" s="494" t="s">
        <v>338</v>
      </c>
      <c r="E62" s="8">
        <v>1</v>
      </c>
      <c r="F62" s="8">
        <v>6</v>
      </c>
      <c r="G62" s="494"/>
      <c r="H62" s="494"/>
      <c r="I62" s="494"/>
      <c r="J62" s="494"/>
    </row>
    <row r="63" spans="1:10">
      <c r="A63" s="331">
        <v>44140</v>
      </c>
      <c r="B63" s="8">
        <v>8</v>
      </c>
      <c r="C63" s="494" t="s">
        <v>413</v>
      </c>
      <c r="D63" s="494" t="s">
        <v>348</v>
      </c>
      <c r="E63" s="8">
        <v>1</v>
      </c>
      <c r="F63" s="8">
        <v>6</v>
      </c>
      <c r="G63" s="494"/>
      <c r="H63" s="494"/>
      <c r="I63" s="494"/>
      <c r="J63" s="494"/>
    </row>
    <row r="64" spans="1:10">
      <c r="A64" s="331">
        <v>44142</v>
      </c>
      <c r="B64" s="8">
        <v>8</v>
      </c>
      <c r="C64" s="494" t="s">
        <v>413</v>
      </c>
      <c r="D64" s="494" t="s">
        <v>348</v>
      </c>
      <c r="E64" s="8">
        <v>1</v>
      </c>
      <c r="F64" s="8">
        <v>6</v>
      </c>
      <c r="G64" s="494"/>
      <c r="H64" s="494"/>
      <c r="I64" s="494"/>
      <c r="J64" s="494"/>
    </row>
    <row r="65" spans="1:10">
      <c r="A65" s="331">
        <v>44144</v>
      </c>
      <c r="B65" s="8">
        <v>8</v>
      </c>
      <c r="C65" s="494" t="s">
        <v>413</v>
      </c>
      <c r="D65" s="494" t="s">
        <v>148</v>
      </c>
      <c r="E65" s="8">
        <v>1</v>
      </c>
      <c r="F65" s="8">
        <v>6</v>
      </c>
      <c r="G65" s="494" t="s">
        <v>409</v>
      </c>
      <c r="H65" s="494"/>
      <c r="I65" s="494"/>
      <c r="J65" s="494"/>
    </row>
    <row r="66" spans="1:10">
      <c r="A66" s="331">
        <v>44145</v>
      </c>
      <c r="B66" s="8">
        <v>8</v>
      </c>
      <c r="C66" s="494" t="s">
        <v>413</v>
      </c>
      <c r="D66" s="494" t="s">
        <v>348</v>
      </c>
      <c r="E66" s="8">
        <v>1</v>
      </c>
      <c r="F66" s="8">
        <v>6</v>
      </c>
      <c r="G66" s="494"/>
      <c r="H66" s="494"/>
      <c r="I66" s="494"/>
      <c r="J66" s="494"/>
    </row>
    <row r="67" spans="1:10">
      <c r="A67" s="331">
        <v>44147</v>
      </c>
      <c r="B67" s="8">
        <v>9</v>
      </c>
      <c r="C67" s="494" t="s">
        <v>413</v>
      </c>
      <c r="D67" s="494" t="s">
        <v>348</v>
      </c>
      <c r="E67" s="8">
        <v>1</v>
      </c>
      <c r="F67" s="8">
        <v>6</v>
      </c>
      <c r="G67" s="494"/>
      <c r="H67" s="494"/>
      <c r="I67" s="494"/>
      <c r="J67" s="494"/>
    </row>
    <row r="68" spans="1:10">
      <c r="A68" s="331">
        <v>44151</v>
      </c>
      <c r="B68" s="8">
        <v>11</v>
      </c>
      <c r="C68" s="494" t="s">
        <v>413</v>
      </c>
      <c r="D68" s="494" t="s">
        <v>148</v>
      </c>
      <c r="E68" s="8">
        <v>1</v>
      </c>
      <c r="F68" s="8">
        <v>6</v>
      </c>
      <c r="G68" s="494" t="s">
        <v>432</v>
      </c>
      <c r="H68" s="494"/>
      <c r="I68" s="494"/>
      <c r="J68" s="494"/>
    </row>
    <row r="69" spans="1:10">
      <c r="A69" s="331">
        <v>44152</v>
      </c>
      <c r="B69" s="8">
        <v>8</v>
      </c>
      <c r="C69" s="494" t="s">
        <v>413</v>
      </c>
      <c r="D69" s="494" t="s">
        <v>348</v>
      </c>
      <c r="E69" s="8">
        <v>1</v>
      </c>
      <c r="F69" s="8">
        <v>6</v>
      </c>
      <c r="G69" s="494"/>
      <c r="H69" s="494"/>
      <c r="I69" s="494"/>
      <c r="J69" s="494"/>
    </row>
    <row r="70" spans="1:10">
      <c r="A70" s="331">
        <v>44126</v>
      </c>
      <c r="B70" s="8">
        <v>9</v>
      </c>
      <c r="C70" s="494" t="s">
        <v>416</v>
      </c>
      <c r="D70" s="494" t="s">
        <v>338</v>
      </c>
      <c r="E70" s="8">
        <v>1</v>
      </c>
      <c r="F70" s="8">
        <v>6</v>
      </c>
      <c r="G70" s="494" t="s">
        <v>415</v>
      </c>
      <c r="H70" s="494"/>
      <c r="I70" s="494"/>
      <c r="J70" s="494"/>
    </row>
    <row r="71" spans="1:10">
      <c r="A71" s="331">
        <v>44127</v>
      </c>
      <c r="B71" s="8">
        <v>8</v>
      </c>
      <c r="C71" s="494" t="s">
        <v>416</v>
      </c>
      <c r="D71" s="494" t="s">
        <v>338</v>
      </c>
      <c r="E71" s="8">
        <v>1</v>
      </c>
      <c r="F71" s="8">
        <v>6</v>
      </c>
      <c r="G71" s="494" t="s">
        <v>419</v>
      </c>
      <c r="H71" s="494"/>
      <c r="I71" s="494"/>
      <c r="J71" s="494"/>
    </row>
    <row r="72" spans="1:10">
      <c r="A72" s="331">
        <v>44129</v>
      </c>
      <c r="B72" s="8">
        <v>13</v>
      </c>
      <c r="C72" s="494" t="s">
        <v>416</v>
      </c>
      <c r="D72" s="494" t="s">
        <v>348</v>
      </c>
      <c r="E72" s="8">
        <v>1</v>
      </c>
      <c r="F72" s="8">
        <v>6</v>
      </c>
      <c r="G72" s="494"/>
      <c r="H72" s="494"/>
      <c r="I72" s="494"/>
      <c r="J72" s="494"/>
    </row>
    <row r="73" spans="1:10">
      <c r="A73" s="331">
        <v>44129</v>
      </c>
      <c r="B73" s="8">
        <v>14</v>
      </c>
      <c r="C73" s="494" t="s">
        <v>416</v>
      </c>
      <c r="D73" s="494" t="s">
        <v>147</v>
      </c>
      <c r="E73" s="8">
        <v>1</v>
      </c>
      <c r="F73" s="8">
        <v>6</v>
      </c>
      <c r="G73" s="494"/>
      <c r="H73" s="494"/>
      <c r="I73" s="494"/>
      <c r="J73" s="494"/>
    </row>
    <row r="74" spans="1:10">
      <c r="A74" s="331">
        <v>44130</v>
      </c>
      <c r="B74" s="8">
        <v>8</v>
      </c>
      <c r="C74" s="494" t="s">
        <v>416</v>
      </c>
      <c r="D74" s="494" t="s">
        <v>147</v>
      </c>
      <c r="E74" s="8">
        <v>1</v>
      </c>
      <c r="F74" s="8">
        <v>6</v>
      </c>
      <c r="G74" s="494"/>
      <c r="H74" s="494"/>
      <c r="I74" s="494"/>
      <c r="J74" s="494"/>
    </row>
    <row r="75" spans="1:10">
      <c r="A75" s="331">
        <v>44131</v>
      </c>
      <c r="B75" s="8">
        <v>14</v>
      </c>
      <c r="C75" s="494" t="s">
        <v>416</v>
      </c>
      <c r="D75" s="494" t="s">
        <v>348</v>
      </c>
      <c r="E75" s="8">
        <v>1</v>
      </c>
      <c r="F75" s="8">
        <v>6</v>
      </c>
      <c r="G75" s="494"/>
      <c r="H75" s="494"/>
      <c r="I75" s="494"/>
      <c r="J75" s="494"/>
    </row>
    <row r="76" spans="1:10">
      <c r="A76" s="331">
        <v>44132</v>
      </c>
      <c r="B76" s="8">
        <v>15</v>
      </c>
      <c r="C76" s="494" t="s">
        <v>416</v>
      </c>
      <c r="D76" s="494" t="s">
        <v>148</v>
      </c>
      <c r="E76" s="8">
        <v>6</v>
      </c>
      <c r="F76" s="8">
        <v>6</v>
      </c>
      <c r="G76" s="494" t="s">
        <v>422</v>
      </c>
      <c r="H76" s="494"/>
      <c r="I76" s="494"/>
      <c r="J76" s="494"/>
    </row>
    <row r="77" spans="1:10">
      <c r="A77" s="331">
        <v>44133</v>
      </c>
      <c r="B77" s="8">
        <v>12</v>
      </c>
      <c r="C77" s="494" t="s">
        <v>416</v>
      </c>
      <c r="D77" s="494" t="s">
        <v>348</v>
      </c>
      <c r="E77" s="8">
        <v>6</v>
      </c>
      <c r="F77" s="8">
        <v>6</v>
      </c>
      <c r="G77" s="494"/>
      <c r="H77" s="494"/>
      <c r="I77" s="494"/>
      <c r="J77" s="494"/>
    </row>
    <row r="78" spans="1:10">
      <c r="A78" s="331">
        <v>44134</v>
      </c>
      <c r="B78" s="8">
        <v>13</v>
      </c>
      <c r="C78" s="494" t="s">
        <v>416</v>
      </c>
      <c r="D78" s="494" t="s">
        <v>348</v>
      </c>
      <c r="E78" s="8">
        <v>6</v>
      </c>
      <c r="F78" s="8">
        <v>6</v>
      </c>
      <c r="G78" s="494"/>
      <c r="H78" s="494"/>
      <c r="I78" s="494"/>
      <c r="J78" s="494"/>
    </row>
    <row r="79" spans="1:10">
      <c r="A79" s="331">
        <v>44135</v>
      </c>
      <c r="B79" s="8">
        <v>13</v>
      </c>
      <c r="C79" s="494" t="s">
        <v>416</v>
      </c>
      <c r="D79" s="494" t="s">
        <v>148</v>
      </c>
      <c r="E79" s="8">
        <v>1</v>
      </c>
      <c r="F79" s="8">
        <v>6</v>
      </c>
      <c r="G79" s="494"/>
      <c r="H79" s="494"/>
      <c r="I79" s="494"/>
      <c r="J79" s="494"/>
    </row>
    <row r="80" spans="1:10">
      <c r="A80" s="331">
        <v>44135</v>
      </c>
      <c r="B80" s="8">
        <v>14</v>
      </c>
      <c r="C80" s="494" t="s">
        <v>416</v>
      </c>
      <c r="D80" s="494" t="s">
        <v>148</v>
      </c>
      <c r="E80" s="8">
        <v>5</v>
      </c>
      <c r="F80" s="8">
        <v>10</v>
      </c>
      <c r="G80" s="494" t="s">
        <v>423</v>
      </c>
      <c r="H80" s="494"/>
      <c r="I80" s="494"/>
      <c r="J80" s="494"/>
    </row>
    <row r="81" spans="1:10">
      <c r="A81" s="331">
        <v>44137</v>
      </c>
      <c r="B81" s="8">
        <v>13</v>
      </c>
      <c r="C81" s="494" t="s">
        <v>416</v>
      </c>
      <c r="D81" s="494" t="s">
        <v>348</v>
      </c>
      <c r="E81" s="8">
        <v>1</v>
      </c>
      <c r="F81" s="8">
        <v>6</v>
      </c>
      <c r="G81" s="494"/>
      <c r="H81" s="494"/>
      <c r="I81" s="494"/>
      <c r="J81" s="494"/>
    </row>
    <row r="82" spans="1:10">
      <c r="A82" s="331">
        <v>44138</v>
      </c>
      <c r="B82" s="8">
        <v>13</v>
      </c>
      <c r="C82" s="494" t="s">
        <v>416</v>
      </c>
      <c r="D82" s="494" t="s">
        <v>152</v>
      </c>
      <c r="E82" s="8">
        <v>40</v>
      </c>
      <c r="F82" s="8" t="s">
        <v>411</v>
      </c>
      <c r="G82" s="494" t="s">
        <v>424</v>
      </c>
      <c r="H82" s="494"/>
      <c r="I82" s="494"/>
      <c r="J82" s="494"/>
    </row>
    <row r="83" spans="1:10">
      <c r="A83" s="331">
        <v>44139</v>
      </c>
      <c r="B83" s="8">
        <v>13</v>
      </c>
      <c r="C83" s="494" t="s">
        <v>416</v>
      </c>
      <c r="D83" s="494" t="s">
        <v>348</v>
      </c>
      <c r="E83" s="8">
        <v>1</v>
      </c>
      <c r="F83" s="8">
        <v>6</v>
      </c>
      <c r="G83" s="494"/>
      <c r="H83" s="494"/>
      <c r="I83" s="494"/>
      <c r="J83" s="494"/>
    </row>
    <row r="84" spans="1:10">
      <c r="A84" s="331">
        <v>44140</v>
      </c>
      <c r="B84" s="8">
        <v>14</v>
      </c>
      <c r="C84" s="494" t="s">
        <v>416</v>
      </c>
      <c r="D84" s="494" t="s">
        <v>348</v>
      </c>
      <c r="E84" s="8">
        <v>1</v>
      </c>
      <c r="F84" s="8">
        <v>6</v>
      </c>
      <c r="G84" s="494"/>
      <c r="H84" s="494"/>
      <c r="I84" s="494"/>
      <c r="J84" s="494"/>
    </row>
    <row r="85" spans="1:10">
      <c r="A85" s="331">
        <v>44142</v>
      </c>
      <c r="B85" s="8">
        <v>14</v>
      </c>
      <c r="C85" s="494" t="s">
        <v>416</v>
      </c>
      <c r="D85" s="494" t="s">
        <v>348</v>
      </c>
      <c r="E85" s="8">
        <v>1</v>
      </c>
      <c r="F85" s="8">
        <v>6</v>
      </c>
      <c r="G85" s="494"/>
      <c r="H85" s="494"/>
      <c r="I85" s="494"/>
      <c r="J85" s="494"/>
    </row>
    <row r="86" spans="1:10">
      <c r="A86" s="331">
        <v>44144</v>
      </c>
      <c r="B86" s="8">
        <v>14</v>
      </c>
      <c r="C86" s="494" t="s">
        <v>416</v>
      </c>
      <c r="D86" s="494" t="s">
        <v>148</v>
      </c>
      <c r="E86" s="8">
        <v>1</v>
      </c>
      <c r="F86" s="8">
        <v>6</v>
      </c>
      <c r="G86" s="494"/>
      <c r="H86" s="494"/>
      <c r="I86" s="494"/>
      <c r="J86" s="494"/>
    </row>
    <row r="87" spans="1:10">
      <c r="A87" s="331">
        <v>44145</v>
      </c>
      <c r="B87" s="8">
        <v>9</v>
      </c>
      <c r="C87" s="494" t="s">
        <v>416</v>
      </c>
      <c r="D87" s="494" t="s">
        <v>348</v>
      </c>
      <c r="E87" s="8">
        <v>1</v>
      </c>
      <c r="F87" s="8">
        <v>6</v>
      </c>
      <c r="G87" s="494"/>
      <c r="H87" s="494"/>
      <c r="I87" s="494"/>
      <c r="J87" s="494"/>
    </row>
    <row r="88" spans="1:10">
      <c r="A88" s="331">
        <v>44147</v>
      </c>
      <c r="B88" s="8">
        <v>10</v>
      </c>
      <c r="C88" s="494" t="s">
        <v>416</v>
      </c>
      <c r="D88" s="494" t="s">
        <v>348</v>
      </c>
      <c r="E88" s="8">
        <v>1</v>
      </c>
      <c r="F88" s="8">
        <v>6</v>
      </c>
      <c r="G88" s="494"/>
      <c r="H88" s="494"/>
      <c r="I88" s="494"/>
      <c r="J88" s="494"/>
    </row>
    <row r="89" spans="1:10">
      <c r="A89" s="331">
        <v>44151</v>
      </c>
      <c r="B89" s="8">
        <v>10</v>
      </c>
      <c r="C89" s="494" t="s">
        <v>416</v>
      </c>
      <c r="D89" s="494" t="s">
        <v>148</v>
      </c>
      <c r="E89" s="8">
        <v>1</v>
      </c>
      <c r="F89" s="8">
        <v>6</v>
      </c>
      <c r="G89" s="494" t="s">
        <v>432</v>
      </c>
      <c r="H89" s="494"/>
      <c r="I89" s="494"/>
      <c r="J89" s="494"/>
    </row>
    <row r="90" spans="1:10">
      <c r="A90" s="331">
        <v>44152</v>
      </c>
      <c r="B90" s="8">
        <v>9</v>
      </c>
      <c r="C90" s="494" t="s">
        <v>416</v>
      </c>
      <c r="D90" s="494" t="s">
        <v>348</v>
      </c>
      <c r="E90" s="8">
        <v>1</v>
      </c>
      <c r="F90" s="8">
        <v>6</v>
      </c>
      <c r="G90" s="494"/>
      <c r="H90" s="494"/>
      <c r="I90" s="494"/>
      <c r="J90" s="494"/>
    </row>
    <row r="91" spans="1:10">
      <c r="A91" s="331">
        <v>44154</v>
      </c>
      <c r="B91" s="8">
        <v>8</v>
      </c>
      <c r="C91" s="494" t="s">
        <v>416</v>
      </c>
      <c r="D91" s="494" t="s">
        <v>146</v>
      </c>
      <c r="E91" s="8">
        <v>1</v>
      </c>
      <c r="F91" s="8">
        <v>6</v>
      </c>
      <c r="G91" s="494" t="s">
        <v>438</v>
      </c>
      <c r="H91" s="494"/>
      <c r="I91" s="494"/>
      <c r="J91" s="494"/>
    </row>
    <row r="92" spans="1:10">
      <c r="A92" s="331">
        <v>44155</v>
      </c>
      <c r="B92" s="8">
        <v>10</v>
      </c>
      <c r="C92" s="494" t="s">
        <v>416</v>
      </c>
      <c r="D92" s="494" t="s">
        <v>348</v>
      </c>
      <c r="E92" s="8">
        <v>1</v>
      </c>
      <c r="F92" s="8">
        <v>6</v>
      </c>
      <c r="G92" s="494"/>
      <c r="H92" s="494"/>
      <c r="I92" s="494"/>
      <c r="J92" s="494"/>
    </row>
    <row r="93" spans="1:10">
      <c r="A93" s="331">
        <v>44157</v>
      </c>
      <c r="B93" s="8">
        <v>14</v>
      </c>
      <c r="C93" s="494" t="s">
        <v>416</v>
      </c>
      <c r="D93" s="494" t="s">
        <v>148</v>
      </c>
      <c r="E93" s="8">
        <v>2</v>
      </c>
      <c r="F93" s="8">
        <v>6</v>
      </c>
      <c r="G93" s="494"/>
      <c r="H93" s="494"/>
      <c r="I93" s="494"/>
      <c r="J93" s="494"/>
    </row>
    <row r="94" spans="1:10">
      <c r="A94" s="331">
        <v>44158</v>
      </c>
      <c r="B94" s="8">
        <v>9</v>
      </c>
      <c r="C94" s="494" t="s">
        <v>416</v>
      </c>
      <c r="D94" s="494" t="s">
        <v>348</v>
      </c>
      <c r="E94" s="8">
        <v>2</v>
      </c>
      <c r="F94" s="8">
        <v>6</v>
      </c>
      <c r="G94" s="494"/>
      <c r="H94" s="494"/>
      <c r="I94" s="494"/>
      <c r="J94" s="494"/>
    </row>
    <row r="95" spans="1:10">
      <c r="A95" s="331">
        <v>44159</v>
      </c>
      <c r="B95" s="8">
        <v>11</v>
      </c>
      <c r="C95" s="494" t="s">
        <v>416</v>
      </c>
      <c r="D95" s="494" t="s">
        <v>348</v>
      </c>
      <c r="E95" s="8">
        <v>2</v>
      </c>
      <c r="F95" s="8">
        <v>6</v>
      </c>
      <c r="G95" s="494"/>
      <c r="H95" s="494"/>
      <c r="I95" s="494"/>
      <c r="J95" s="494"/>
    </row>
    <row r="96" spans="1:10">
      <c r="A96" s="331">
        <v>44160</v>
      </c>
      <c r="B96" s="8">
        <v>7</v>
      </c>
      <c r="C96" s="494" t="s">
        <v>416</v>
      </c>
      <c r="D96" s="494" t="s">
        <v>148</v>
      </c>
      <c r="E96" s="8"/>
      <c r="F96" s="8"/>
      <c r="G96" s="494" t="s">
        <v>452</v>
      </c>
      <c r="H96" s="494"/>
      <c r="I96" s="494"/>
      <c r="J96" s="494"/>
    </row>
    <row r="97" spans="1:10">
      <c r="A97" s="331">
        <v>44164</v>
      </c>
      <c r="B97" s="8">
        <v>13</v>
      </c>
      <c r="C97" s="494" t="s">
        <v>416</v>
      </c>
      <c r="D97" s="494" t="s">
        <v>276</v>
      </c>
      <c r="E97" s="8">
        <v>1</v>
      </c>
      <c r="F97" s="8"/>
      <c r="G97" s="494"/>
      <c r="H97" s="494"/>
      <c r="I97" s="494"/>
      <c r="J97" s="494"/>
    </row>
    <row r="98" spans="1:10">
      <c r="A98" s="331">
        <v>44168</v>
      </c>
      <c r="B98" s="8">
        <v>11</v>
      </c>
      <c r="C98" s="494" t="s">
        <v>416</v>
      </c>
      <c r="D98" s="494" t="s">
        <v>440</v>
      </c>
      <c r="E98" s="8"/>
      <c r="F98" s="8"/>
      <c r="G98" s="494" t="s">
        <v>457</v>
      </c>
      <c r="H98" s="494"/>
      <c r="I98" s="494"/>
      <c r="J98" s="494"/>
    </row>
    <row r="99" spans="1:10">
      <c r="A99" s="331">
        <v>44207</v>
      </c>
      <c r="B99" s="8">
        <v>13</v>
      </c>
      <c r="C99" s="494" t="s">
        <v>416</v>
      </c>
      <c r="D99" s="494" t="s">
        <v>146</v>
      </c>
      <c r="E99" s="8">
        <v>1</v>
      </c>
      <c r="F99" s="8">
        <v>6</v>
      </c>
      <c r="G99" s="494"/>
      <c r="H99" s="494"/>
      <c r="I99" s="494" t="s">
        <v>469</v>
      </c>
      <c r="J99" s="494" t="s">
        <v>470</v>
      </c>
    </row>
    <row r="100" spans="1:10">
      <c r="A100" s="331">
        <v>44208</v>
      </c>
      <c r="B100" s="8">
        <v>11</v>
      </c>
      <c r="C100" s="494" t="s">
        <v>416</v>
      </c>
      <c r="D100" s="494" t="s">
        <v>348</v>
      </c>
      <c r="E100" s="8">
        <v>1</v>
      </c>
      <c r="F100" s="8">
        <v>6</v>
      </c>
      <c r="G100" s="494"/>
      <c r="H100" s="494"/>
      <c r="I100" s="494" t="s">
        <v>469</v>
      </c>
      <c r="J100" s="494" t="s">
        <v>470</v>
      </c>
    </row>
    <row r="101" spans="1:10">
      <c r="A101" s="331">
        <v>44209</v>
      </c>
      <c r="B101" s="8">
        <v>14</v>
      </c>
      <c r="C101" s="494" t="s">
        <v>416</v>
      </c>
      <c r="D101" s="494" t="s">
        <v>148</v>
      </c>
      <c r="E101" s="8"/>
      <c r="F101" s="8"/>
      <c r="G101" s="494" t="s">
        <v>499</v>
      </c>
      <c r="H101" s="494"/>
      <c r="I101" s="494" t="s">
        <v>506</v>
      </c>
      <c r="J101" s="494" t="s">
        <v>507</v>
      </c>
    </row>
    <row r="102" spans="1:10">
      <c r="A102" s="331">
        <v>44209</v>
      </c>
      <c r="B102" s="8">
        <v>19</v>
      </c>
      <c r="C102" s="494" t="s">
        <v>416</v>
      </c>
      <c r="D102" s="494" t="s">
        <v>440</v>
      </c>
      <c r="E102" s="8"/>
      <c r="F102" s="8"/>
      <c r="G102" s="494" t="s">
        <v>500</v>
      </c>
      <c r="H102" s="494"/>
      <c r="I102" s="494" t="s">
        <v>506</v>
      </c>
      <c r="J102" s="494" t="s">
        <v>507</v>
      </c>
    </row>
    <row r="103" spans="1:10">
      <c r="A103" s="331">
        <v>44212</v>
      </c>
      <c r="B103" s="8">
        <v>9</v>
      </c>
      <c r="C103" s="494" t="s">
        <v>416</v>
      </c>
      <c r="D103" s="494" t="s">
        <v>146</v>
      </c>
      <c r="E103" s="8">
        <v>1</v>
      </c>
      <c r="F103" s="8">
        <v>6</v>
      </c>
      <c r="G103" s="494" t="s">
        <v>509</v>
      </c>
      <c r="H103" s="494"/>
      <c r="I103" s="494" t="s">
        <v>469</v>
      </c>
      <c r="J103" s="494" t="s">
        <v>470</v>
      </c>
    </row>
    <row r="104" spans="1:10">
      <c r="A104" s="331">
        <v>44214</v>
      </c>
      <c r="B104" s="8">
        <v>13</v>
      </c>
      <c r="C104" s="494" t="s">
        <v>416</v>
      </c>
      <c r="D104" s="494" t="s">
        <v>148</v>
      </c>
      <c r="E104" s="8">
        <v>1</v>
      </c>
      <c r="F104" s="8">
        <v>6</v>
      </c>
      <c r="G104" s="494" t="s">
        <v>502</v>
      </c>
      <c r="H104" s="494"/>
      <c r="I104" s="494" t="s">
        <v>469</v>
      </c>
      <c r="J104" s="494" t="s">
        <v>470</v>
      </c>
    </row>
    <row r="105" spans="1:10">
      <c r="A105" s="331">
        <v>44216</v>
      </c>
      <c r="B105" s="8">
        <v>12</v>
      </c>
      <c r="C105" s="494" t="s">
        <v>416</v>
      </c>
      <c r="D105" s="494" t="s">
        <v>348</v>
      </c>
      <c r="E105" s="8">
        <v>1</v>
      </c>
      <c r="F105" s="8">
        <v>6</v>
      </c>
      <c r="G105" s="494"/>
      <c r="H105" s="494"/>
      <c r="I105" s="494" t="s">
        <v>469</v>
      </c>
      <c r="J105" s="494" t="s">
        <v>470</v>
      </c>
    </row>
    <row r="106" spans="1:10">
      <c r="A106" s="331">
        <v>44217</v>
      </c>
      <c r="B106" s="8">
        <v>11</v>
      </c>
      <c r="C106" s="494" t="s">
        <v>416</v>
      </c>
      <c r="D106" s="494" t="s">
        <v>148</v>
      </c>
      <c r="E106" s="8"/>
      <c r="F106" s="8"/>
      <c r="G106" s="494" t="s">
        <v>503</v>
      </c>
      <c r="H106" s="494"/>
      <c r="I106" s="494" t="s">
        <v>469</v>
      </c>
      <c r="J106" s="494" t="s">
        <v>470</v>
      </c>
    </row>
    <row r="107" spans="1:10">
      <c r="A107" s="331">
        <v>43890</v>
      </c>
      <c r="B107" s="8">
        <v>14</v>
      </c>
      <c r="C107" s="494" t="s">
        <v>299</v>
      </c>
      <c r="D107" s="494" t="s">
        <v>148</v>
      </c>
      <c r="E107" s="8">
        <v>1</v>
      </c>
      <c r="F107" s="8">
        <v>24</v>
      </c>
      <c r="G107" s="494"/>
      <c r="H107" s="494"/>
      <c r="I107" s="494"/>
      <c r="J107" s="494"/>
    </row>
    <row r="108" spans="1:10">
      <c r="A108" s="331">
        <v>43891</v>
      </c>
      <c r="B108" s="8">
        <v>12</v>
      </c>
      <c r="C108" s="494" t="s">
        <v>299</v>
      </c>
      <c r="D108" s="494" t="s">
        <v>153</v>
      </c>
      <c r="E108" s="8">
        <v>1</v>
      </c>
      <c r="F108" s="8">
        <v>24</v>
      </c>
      <c r="G108" s="494"/>
      <c r="H108" s="494"/>
      <c r="I108" s="494"/>
      <c r="J108" s="494"/>
    </row>
    <row r="109" spans="1:10">
      <c r="A109" s="331">
        <v>43893</v>
      </c>
      <c r="B109" s="8">
        <v>10</v>
      </c>
      <c r="C109" s="494" t="s">
        <v>299</v>
      </c>
      <c r="D109" s="494" t="s">
        <v>147</v>
      </c>
      <c r="E109" s="8">
        <v>1</v>
      </c>
      <c r="F109" s="8">
        <v>24</v>
      </c>
      <c r="G109" s="494"/>
      <c r="H109" s="494"/>
      <c r="I109" s="494"/>
      <c r="J109" s="494"/>
    </row>
    <row r="110" spans="1:10">
      <c r="A110" s="331">
        <v>43893</v>
      </c>
      <c r="B110" s="8">
        <v>14</v>
      </c>
      <c r="C110" s="494" t="s">
        <v>299</v>
      </c>
      <c r="D110" s="494" t="s">
        <v>148</v>
      </c>
      <c r="E110" s="8">
        <v>1</v>
      </c>
      <c r="F110" s="8">
        <v>6</v>
      </c>
      <c r="G110" s="494"/>
      <c r="H110" s="494"/>
      <c r="I110" s="494"/>
      <c r="J110" s="494"/>
    </row>
    <row r="111" spans="1:10">
      <c r="A111" s="331">
        <v>43894</v>
      </c>
      <c r="B111" s="8">
        <v>10</v>
      </c>
      <c r="C111" s="494" t="s">
        <v>299</v>
      </c>
      <c r="D111" s="494" t="s">
        <v>153</v>
      </c>
      <c r="E111" s="8">
        <v>1</v>
      </c>
      <c r="F111" s="8">
        <v>6</v>
      </c>
      <c r="G111" s="494"/>
      <c r="H111" s="494"/>
      <c r="I111" s="494"/>
      <c r="J111" s="494"/>
    </row>
    <row r="112" spans="1:10">
      <c r="A112" s="331">
        <v>43897</v>
      </c>
      <c r="B112" s="8">
        <v>10</v>
      </c>
      <c r="C112" s="494" t="s">
        <v>299</v>
      </c>
      <c r="D112" s="494" t="s">
        <v>148</v>
      </c>
      <c r="E112" s="8">
        <v>5</v>
      </c>
      <c r="F112" s="8">
        <v>6</v>
      </c>
      <c r="G112" s="494"/>
      <c r="H112" s="494"/>
      <c r="I112" s="494"/>
      <c r="J112" s="494"/>
    </row>
    <row r="113" spans="1:10">
      <c r="A113" s="331">
        <v>43900</v>
      </c>
      <c r="B113" s="8">
        <v>9</v>
      </c>
      <c r="C113" s="494" t="s">
        <v>299</v>
      </c>
      <c r="D113" s="494" t="s">
        <v>152</v>
      </c>
      <c r="E113" s="8"/>
      <c r="F113" s="8"/>
      <c r="G113" s="494" t="s">
        <v>272</v>
      </c>
      <c r="H113" s="494"/>
      <c r="I113" s="494"/>
      <c r="J113" s="494"/>
    </row>
    <row r="114" spans="1:10">
      <c r="A114" s="331">
        <v>43900</v>
      </c>
      <c r="B114" s="8">
        <v>12</v>
      </c>
      <c r="C114" s="494" t="s">
        <v>299</v>
      </c>
      <c r="D114" s="494" t="s">
        <v>154</v>
      </c>
      <c r="E114" s="8">
        <v>1</v>
      </c>
      <c r="F114" s="8">
        <v>96</v>
      </c>
      <c r="G114" s="494"/>
      <c r="H114" s="494" t="s">
        <v>260</v>
      </c>
      <c r="I114" s="494"/>
      <c r="J114" s="494"/>
    </row>
    <row r="115" spans="1:10">
      <c r="A115" s="331">
        <v>43901</v>
      </c>
      <c r="B115" s="8">
        <v>9</v>
      </c>
      <c r="C115" s="494" t="s">
        <v>299</v>
      </c>
      <c r="D115" s="494" t="s">
        <v>153</v>
      </c>
      <c r="E115" s="8">
        <v>1</v>
      </c>
      <c r="F115" s="8">
        <v>96</v>
      </c>
      <c r="G115" s="494"/>
      <c r="H115" s="494"/>
      <c r="I115" s="494"/>
      <c r="J115" s="494"/>
    </row>
    <row r="116" spans="1:10">
      <c r="A116" s="331">
        <v>43901</v>
      </c>
      <c r="B116" s="8">
        <v>12</v>
      </c>
      <c r="C116" s="494" t="s">
        <v>304</v>
      </c>
      <c r="D116" s="494" t="s">
        <v>147</v>
      </c>
      <c r="E116" s="8"/>
      <c r="F116" s="8"/>
      <c r="G116" s="494"/>
      <c r="H116" s="494"/>
      <c r="I116" s="494"/>
      <c r="J116" s="494"/>
    </row>
    <row r="117" spans="1:10">
      <c r="A117" s="331">
        <v>43903</v>
      </c>
      <c r="B117" s="8">
        <v>9</v>
      </c>
      <c r="C117" s="494" t="s">
        <v>304</v>
      </c>
      <c r="D117" s="494" t="s">
        <v>147</v>
      </c>
      <c r="E117" s="8">
        <v>1</v>
      </c>
      <c r="F117" s="8">
        <v>96</v>
      </c>
      <c r="G117" s="494"/>
      <c r="H117" s="494"/>
      <c r="I117" s="494"/>
      <c r="J117" s="494"/>
    </row>
    <row r="118" spans="1:10">
      <c r="A118" s="331">
        <v>43907</v>
      </c>
      <c r="B118" s="8">
        <v>11</v>
      </c>
      <c r="C118" s="494" t="s">
        <v>304</v>
      </c>
      <c r="D118" s="494" t="s">
        <v>147</v>
      </c>
      <c r="E118" s="8">
        <v>1</v>
      </c>
      <c r="F118" s="8">
        <v>96</v>
      </c>
      <c r="G118" s="494"/>
      <c r="H118" s="494"/>
      <c r="I118" s="494"/>
      <c r="J118" s="494"/>
    </row>
    <row r="119" spans="1:10">
      <c r="A119" s="331">
        <v>43908</v>
      </c>
      <c r="B119" s="8">
        <v>10</v>
      </c>
      <c r="C119" s="494" t="s">
        <v>304</v>
      </c>
      <c r="D119" s="494" t="s">
        <v>148</v>
      </c>
      <c r="E119" s="8">
        <v>1</v>
      </c>
      <c r="F119" s="8">
        <v>24</v>
      </c>
      <c r="G119" s="494"/>
      <c r="H119" s="494"/>
      <c r="I119" s="494"/>
      <c r="J119" s="494"/>
    </row>
    <row r="120" spans="1:10">
      <c r="A120" s="331">
        <v>43909</v>
      </c>
      <c r="B120" s="8">
        <v>7</v>
      </c>
      <c r="C120" s="494" t="s">
        <v>304</v>
      </c>
      <c r="D120" s="494" t="s">
        <v>153</v>
      </c>
      <c r="E120" s="8">
        <v>1</v>
      </c>
      <c r="F120" s="8">
        <v>24</v>
      </c>
      <c r="G120" s="494"/>
      <c r="H120" s="494"/>
      <c r="I120" s="494"/>
      <c r="J120" s="494"/>
    </row>
    <row r="121" spans="1:10">
      <c r="A121" s="331">
        <v>43912</v>
      </c>
      <c r="B121" s="8">
        <v>10</v>
      </c>
      <c r="C121" s="494" t="s">
        <v>304</v>
      </c>
      <c r="D121" s="494" t="s">
        <v>148</v>
      </c>
      <c r="E121" s="8">
        <v>1</v>
      </c>
      <c r="F121" s="8">
        <v>6</v>
      </c>
      <c r="G121" s="494"/>
      <c r="H121" s="494"/>
      <c r="I121" s="494"/>
      <c r="J121" s="494"/>
    </row>
    <row r="122" spans="1:10">
      <c r="A122" s="331">
        <v>43913</v>
      </c>
      <c r="B122" s="8">
        <v>10</v>
      </c>
      <c r="C122" s="494" t="s">
        <v>304</v>
      </c>
      <c r="D122" s="494" t="s">
        <v>153</v>
      </c>
      <c r="E122" s="8">
        <v>1</v>
      </c>
      <c r="F122" s="8">
        <v>6</v>
      </c>
      <c r="G122" s="494"/>
      <c r="H122" s="494"/>
      <c r="I122" s="494"/>
      <c r="J122" s="494"/>
    </row>
    <row r="123" spans="1:10">
      <c r="A123" s="331">
        <v>43914</v>
      </c>
      <c r="B123" s="8">
        <v>9</v>
      </c>
      <c r="C123" s="494" t="s">
        <v>304</v>
      </c>
      <c r="D123" s="494" t="s">
        <v>148</v>
      </c>
      <c r="E123" s="8">
        <v>5</v>
      </c>
      <c r="F123" s="8">
        <v>6</v>
      </c>
      <c r="G123" s="494"/>
      <c r="H123" s="494"/>
      <c r="I123" s="494"/>
      <c r="J123" s="494"/>
    </row>
    <row r="124" spans="1:10">
      <c r="A124" s="331">
        <v>43915</v>
      </c>
      <c r="B124" s="8">
        <v>11</v>
      </c>
      <c r="C124" s="494" t="s">
        <v>304</v>
      </c>
      <c r="D124" s="494" t="s">
        <v>153</v>
      </c>
      <c r="E124" s="8">
        <v>5</v>
      </c>
      <c r="F124" s="8">
        <v>6</v>
      </c>
      <c r="G124" s="494"/>
      <c r="H124" s="494"/>
      <c r="I124" s="494"/>
      <c r="J124" s="494"/>
    </row>
    <row r="125" spans="1:10">
      <c r="A125" s="331">
        <v>44104</v>
      </c>
      <c r="B125" s="8">
        <v>11</v>
      </c>
      <c r="C125" s="494" t="s">
        <v>304</v>
      </c>
      <c r="D125" s="494" t="s">
        <v>146</v>
      </c>
      <c r="E125" s="8">
        <v>1</v>
      </c>
      <c r="F125" s="8">
        <v>6</v>
      </c>
      <c r="G125" s="494" t="s">
        <v>364</v>
      </c>
      <c r="H125" s="494"/>
      <c r="I125" s="494"/>
      <c r="J125" s="494"/>
    </row>
    <row r="126" spans="1:10">
      <c r="A126" s="331">
        <v>44105</v>
      </c>
      <c r="B126" s="8">
        <v>10</v>
      </c>
      <c r="C126" s="494" t="s">
        <v>304</v>
      </c>
      <c r="D126" s="494" t="s">
        <v>348</v>
      </c>
      <c r="E126" s="8">
        <v>1</v>
      </c>
      <c r="F126" s="8">
        <v>6</v>
      </c>
      <c r="G126" s="494"/>
      <c r="H126" s="494"/>
      <c r="I126" s="494"/>
      <c r="J126" s="494"/>
    </row>
    <row r="127" spans="1:10">
      <c r="A127" s="331">
        <v>44106</v>
      </c>
      <c r="B127" s="8">
        <v>10</v>
      </c>
      <c r="C127" s="494" t="s">
        <v>304</v>
      </c>
      <c r="D127" s="494" t="s">
        <v>148</v>
      </c>
      <c r="E127" s="8">
        <v>5</v>
      </c>
      <c r="F127" s="8">
        <v>6</v>
      </c>
      <c r="G127" s="494"/>
      <c r="H127" s="494"/>
      <c r="I127" s="494"/>
      <c r="J127" s="494"/>
    </row>
    <row r="128" spans="1:10">
      <c r="A128" s="331">
        <v>44107</v>
      </c>
      <c r="B128" s="8">
        <v>10</v>
      </c>
      <c r="C128" s="494" t="s">
        <v>304</v>
      </c>
      <c r="D128" s="494" t="s">
        <v>348</v>
      </c>
      <c r="E128" s="8">
        <v>5</v>
      </c>
      <c r="F128" s="8">
        <v>6</v>
      </c>
      <c r="G128" s="494"/>
      <c r="H128" s="494"/>
      <c r="I128" s="494"/>
      <c r="J128" s="494"/>
    </row>
    <row r="129" spans="1:10">
      <c r="A129" s="331">
        <v>44109</v>
      </c>
      <c r="B129" s="8">
        <v>10</v>
      </c>
      <c r="C129" s="494" t="s">
        <v>304</v>
      </c>
      <c r="D129" s="494" t="s">
        <v>348</v>
      </c>
      <c r="E129" s="8">
        <v>5</v>
      </c>
      <c r="F129" s="8">
        <v>6</v>
      </c>
      <c r="G129" s="494"/>
      <c r="H129" s="494"/>
      <c r="I129" s="494"/>
      <c r="J129" s="494"/>
    </row>
    <row r="130" spans="1:10">
      <c r="A130" s="331">
        <v>44110</v>
      </c>
      <c r="B130" s="8">
        <v>12</v>
      </c>
      <c r="C130" s="494" t="s">
        <v>304</v>
      </c>
      <c r="D130" s="494" t="s">
        <v>348</v>
      </c>
      <c r="E130" s="8">
        <v>5</v>
      </c>
      <c r="F130" s="8">
        <v>6</v>
      </c>
      <c r="G130" s="494"/>
      <c r="H130" s="494"/>
      <c r="I130" s="494"/>
      <c r="J130" s="494"/>
    </row>
    <row r="131" spans="1:10">
      <c r="A131" s="331">
        <v>44111</v>
      </c>
      <c r="B131" s="8">
        <v>10</v>
      </c>
      <c r="C131" s="494" t="s">
        <v>304</v>
      </c>
      <c r="D131" s="494" t="s">
        <v>154</v>
      </c>
      <c r="E131" s="8">
        <v>1</v>
      </c>
      <c r="F131" s="8">
        <v>96</v>
      </c>
      <c r="G131" s="494" t="s">
        <v>372</v>
      </c>
      <c r="H131" s="494" t="s">
        <v>263</v>
      </c>
      <c r="I131" s="494"/>
      <c r="J131" s="494"/>
    </row>
    <row r="132" spans="1:10">
      <c r="A132" s="331">
        <v>44111</v>
      </c>
      <c r="B132" s="8">
        <v>11</v>
      </c>
      <c r="C132" s="494" t="s">
        <v>304</v>
      </c>
      <c r="D132" s="494" t="s">
        <v>152</v>
      </c>
      <c r="E132" s="8"/>
      <c r="F132" s="8"/>
      <c r="G132" s="494" t="s">
        <v>262</v>
      </c>
      <c r="H132" s="494"/>
      <c r="I132" s="494"/>
      <c r="J132" s="494"/>
    </row>
    <row r="133" spans="1:10">
      <c r="A133" s="331">
        <v>44112</v>
      </c>
      <c r="B133" s="8">
        <v>9</v>
      </c>
      <c r="C133" s="494" t="s">
        <v>371</v>
      </c>
      <c r="D133" s="494" t="s">
        <v>338</v>
      </c>
      <c r="E133" s="8">
        <v>1</v>
      </c>
      <c r="F133" s="8">
        <v>96</v>
      </c>
      <c r="G133" s="494"/>
      <c r="H133" s="494"/>
      <c r="I133" s="494"/>
      <c r="J133" s="494"/>
    </row>
    <row r="134" spans="1:10">
      <c r="A134" s="331">
        <v>44112</v>
      </c>
      <c r="B134" s="8">
        <v>12</v>
      </c>
      <c r="C134" s="494" t="s">
        <v>371</v>
      </c>
      <c r="D134" s="494" t="s">
        <v>147</v>
      </c>
      <c r="E134" s="8">
        <v>1</v>
      </c>
      <c r="F134" s="8">
        <v>96</v>
      </c>
      <c r="G134" s="494"/>
      <c r="H134" s="494"/>
      <c r="I134" s="494"/>
      <c r="J134" s="494"/>
    </row>
    <row r="135" spans="1:10">
      <c r="A135" s="331">
        <v>44113</v>
      </c>
      <c r="B135" s="8">
        <v>9</v>
      </c>
      <c r="C135" s="494" t="s">
        <v>371</v>
      </c>
      <c r="D135" s="494" t="s">
        <v>338</v>
      </c>
      <c r="E135" s="8">
        <v>1</v>
      </c>
      <c r="F135" s="8">
        <v>96</v>
      </c>
      <c r="G135" s="494"/>
      <c r="H135" s="494"/>
      <c r="I135" s="494"/>
      <c r="J135" s="494"/>
    </row>
    <row r="136" spans="1:10">
      <c r="A136" s="331">
        <v>44116</v>
      </c>
      <c r="B136" s="8">
        <v>9</v>
      </c>
      <c r="C136" s="494" t="s">
        <v>371</v>
      </c>
      <c r="D136" s="494" t="s">
        <v>148</v>
      </c>
      <c r="E136" s="8">
        <v>1</v>
      </c>
      <c r="F136" s="8">
        <v>12</v>
      </c>
      <c r="G136" s="494" t="s">
        <v>377</v>
      </c>
      <c r="H136" s="494"/>
      <c r="I136" s="494"/>
      <c r="J136" s="494"/>
    </row>
    <row r="137" spans="1:10">
      <c r="A137" s="331">
        <v>44117</v>
      </c>
      <c r="B137" s="8">
        <v>10</v>
      </c>
      <c r="C137" s="494" t="s">
        <v>371</v>
      </c>
      <c r="D137" s="494" t="s">
        <v>348</v>
      </c>
      <c r="E137" s="8">
        <v>1</v>
      </c>
      <c r="F137" s="8">
        <v>12</v>
      </c>
      <c r="G137" s="494"/>
      <c r="H137" s="494"/>
      <c r="I137" s="494"/>
      <c r="J137" s="494"/>
    </row>
    <row r="138" spans="1:10">
      <c r="A138" s="331">
        <v>44118</v>
      </c>
      <c r="B138" s="8">
        <v>10</v>
      </c>
      <c r="C138" s="494" t="s">
        <v>371</v>
      </c>
      <c r="D138" s="494" t="s">
        <v>348</v>
      </c>
      <c r="E138" s="8">
        <v>1</v>
      </c>
      <c r="F138" s="8">
        <v>12</v>
      </c>
      <c r="G138" s="494"/>
      <c r="H138" s="494"/>
      <c r="I138" s="494"/>
      <c r="J138" s="494"/>
    </row>
    <row r="139" spans="1:10">
      <c r="A139" s="331">
        <v>44118</v>
      </c>
      <c r="B139" s="8">
        <v>15</v>
      </c>
      <c r="C139" s="494" t="s">
        <v>371</v>
      </c>
      <c r="D139" s="494" t="s">
        <v>147</v>
      </c>
      <c r="E139" s="8">
        <v>1</v>
      </c>
      <c r="F139" s="8">
        <v>12</v>
      </c>
      <c r="G139" s="494"/>
      <c r="H139" s="494"/>
      <c r="I139" s="494"/>
      <c r="J139" s="494"/>
    </row>
    <row r="140" spans="1:10">
      <c r="A140" s="331">
        <v>44119</v>
      </c>
      <c r="B140" s="8">
        <v>11</v>
      </c>
      <c r="C140" s="494" t="s">
        <v>371</v>
      </c>
      <c r="D140" s="494" t="s">
        <v>148</v>
      </c>
      <c r="E140" s="8">
        <v>1</v>
      </c>
      <c r="F140" s="8">
        <v>6</v>
      </c>
      <c r="G140" s="494" t="s">
        <v>380</v>
      </c>
      <c r="H140" s="494"/>
      <c r="I140" s="494"/>
      <c r="J140" s="494"/>
    </row>
    <row r="141" spans="1:10">
      <c r="A141" s="331">
        <v>44120</v>
      </c>
      <c r="B141" s="8">
        <v>11</v>
      </c>
      <c r="C141" s="494" t="s">
        <v>371</v>
      </c>
      <c r="D141" s="494" t="s">
        <v>338</v>
      </c>
      <c r="E141" s="8">
        <v>1</v>
      </c>
      <c r="F141" s="8">
        <v>6</v>
      </c>
      <c r="G141" s="494"/>
      <c r="H141" s="494"/>
      <c r="I141" s="494"/>
      <c r="J141" s="494"/>
    </row>
    <row r="142" spans="1:10">
      <c r="A142" s="331">
        <v>44121</v>
      </c>
      <c r="B142" s="8">
        <v>11</v>
      </c>
      <c r="C142" s="494" t="s">
        <v>371</v>
      </c>
      <c r="D142" s="494" t="s">
        <v>148</v>
      </c>
      <c r="E142" s="8">
        <v>5</v>
      </c>
      <c r="F142" s="8">
        <v>6</v>
      </c>
      <c r="G142" s="494"/>
      <c r="H142" s="494"/>
      <c r="I142" s="494"/>
      <c r="J142" s="494"/>
    </row>
    <row r="143" spans="1:10">
      <c r="A143" s="331">
        <v>44123</v>
      </c>
      <c r="B143" s="8">
        <v>11</v>
      </c>
      <c r="C143" s="494" t="s">
        <v>371</v>
      </c>
      <c r="D143" s="494" t="s">
        <v>348</v>
      </c>
      <c r="E143" s="8">
        <v>5</v>
      </c>
      <c r="F143" s="8">
        <v>6</v>
      </c>
      <c r="G143" s="494"/>
      <c r="H143" s="494"/>
      <c r="I143" s="494"/>
      <c r="J143" s="494"/>
    </row>
    <row r="144" spans="1:10">
      <c r="A144" s="331">
        <v>44124</v>
      </c>
      <c r="B144" s="8">
        <v>10</v>
      </c>
      <c r="C144" s="494" t="s">
        <v>371</v>
      </c>
      <c r="D144" s="494" t="s">
        <v>348</v>
      </c>
      <c r="E144" s="8">
        <v>5</v>
      </c>
      <c r="F144" s="8">
        <v>6</v>
      </c>
      <c r="G144" s="494"/>
      <c r="H144" s="494"/>
      <c r="I144" s="494" t="s">
        <v>469</v>
      </c>
      <c r="J144" s="494" t="s">
        <v>470</v>
      </c>
    </row>
    <row r="145" spans="1:10">
      <c r="A145" s="331">
        <v>44125</v>
      </c>
      <c r="B145" s="8">
        <v>11</v>
      </c>
      <c r="C145" s="494" t="s">
        <v>371</v>
      </c>
      <c r="D145" s="494" t="s">
        <v>154</v>
      </c>
      <c r="E145" s="8">
        <v>1</v>
      </c>
      <c r="F145" s="8">
        <v>12</v>
      </c>
      <c r="G145" s="494" t="s">
        <v>392</v>
      </c>
      <c r="H145" s="494" t="s">
        <v>317</v>
      </c>
      <c r="I145" s="494"/>
      <c r="J145" s="494"/>
    </row>
    <row r="146" spans="1:10">
      <c r="A146" s="331">
        <v>44126</v>
      </c>
      <c r="B146" s="8">
        <v>10</v>
      </c>
      <c r="C146" s="494" t="s">
        <v>371</v>
      </c>
      <c r="D146" s="494" t="s">
        <v>152</v>
      </c>
      <c r="E146" s="8">
        <v>4</v>
      </c>
      <c r="F146" s="8">
        <v>6</v>
      </c>
      <c r="G146" s="494" t="s">
        <v>262</v>
      </c>
      <c r="H146" s="494"/>
      <c r="I146" s="494"/>
      <c r="J146" s="494"/>
    </row>
    <row r="147" spans="1:10">
      <c r="A147" s="331">
        <v>44227</v>
      </c>
      <c r="B147" s="8">
        <v>13</v>
      </c>
      <c r="C147" s="494" t="s">
        <v>371</v>
      </c>
      <c r="D147" s="494" t="s">
        <v>146</v>
      </c>
      <c r="E147" s="8">
        <v>2</v>
      </c>
      <c r="F147" s="8">
        <v>6</v>
      </c>
      <c r="G147" s="494"/>
      <c r="H147" s="494"/>
      <c r="I147" s="494" t="s">
        <v>469</v>
      </c>
      <c r="J147" s="494" t="s">
        <v>470</v>
      </c>
    </row>
    <row r="148" spans="1:10">
      <c r="A148" s="331">
        <v>44228</v>
      </c>
      <c r="B148" s="8">
        <v>12</v>
      </c>
      <c r="C148" s="494" t="s">
        <v>371</v>
      </c>
      <c r="D148" s="494" t="s">
        <v>348</v>
      </c>
      <c r="E148" s="8">
        <v>2</v>
      </c>
      <c r="F148" s="8">
        <v>6</v>
      </c>
      <c r="G148" s="494"/>
      <c r="H148" s="494"/>
      <c r="I148" s="494" t="s">
        <v>469</v>
      </c>
      <c r="J148" s="494" t="s">
        <v>470</v>
      </c>
    </row>
    <row r="149" spans="1:10">
      <c r="A149" s="331">
        <v>44229</v>
      </c>
      <c r="B149" s="8">
        <v>10</v>
      </c>
      <c r="C149" s="494" t="s">
        <v>371</v>
      </c>
      <c r="D149" s="494" t="s">
        <v>154</v>
      </c>
      <c r="E149" s="8">
        <v>2</v>
      </c>
      <c r="F149" s="8">
        <v>12</v>
      </c>
      <c r="G149" s="494" t="s">
        <v>522</v>
      </c>
      <c r="H149" s="494" t="s">
        <v>317</v>
      </c>
      <c r="I149" s="494" t="s">
        <v>469</v>
      </c>
      <c r="J149" s="494" t="s">
        <v>470</v>
      </c>
    </row>
    <row r="150" spans="1:10">
      <c r="A150" s="331">
        <v>44126</v>
      </c>
      <c r="B150" s="8">
        <v>11</v>
      </c>
      <c r="C150" s="494" t="s">
        <v>387</v>
      </c>
      <c r="D150" s="494" t="s">
        <v>338</v>
      </c>
      <c r="E150" s="8">
        <v>1</v>
      </c>
      <c r="F150" s="8">
        <v>12</v>
      </c>
      <c r="G150" s="494"/>
      <c r="H150" s="494"/>
      <c r="I150" s="494"/>
      <c r="J150" s="494"/>
    </row>
    <row r="151" spans="1:10">
      <c r="A151" s="331">
        <v>44127</v>
      </c>
      <c r="B151" s="8">
        <v>9</v>
      </c>
      <c r="C151" s="494" t="s">
        <v>387</v>
      </c>
      <c r="D151" s="494" t="s">
        <v>338</v>
      </c>
      <c r="E151" s="8">
        <v>1</v>
      </c>
      <c r="F151" s="8">
        <v>12</v>
      </c>
      <c r="G151" s="494"/>
      <c r="H151" s="494"/>
      <c r="I151" s="494"/>
      <c r="J151" s="494"/>
    </row>
    <row r="152" spans="1:10">
      <c r="A152" s="331">
        <v>44129</v>
      </c>
      <c r="B152" s="8">
        <v>10</v>
      </c>
      <c r="C152" s="494" t="s">
        <v>387</v>
      </c>
      <c r="D152" s="494" t="s">
        <v>338</v>
      </c>
      <c r="E152" s="8">
        <v>1</v>
      </c>
      <c r="F152" s="8">
        <v>12</v>
      </c>
      <c r="G152" s="494"/>
      <c r="H152" s="494"/>
      <c r="I152" s="494"/>
      <c r="J152" s="494"/>
    </row>
    <row r="153" spans="1:10">
      <c r="A153" s="331">
        <v>44131</v>
      </c>
      <c r="B153" s="8">
        <v>11</v>
      </c>
      <c r="C153" s="494" t="s">
        <v>387</v>
      </c>
      <c r="D153" s="494" t="s">
        <v>348</v>
      </c>
      <c r="E153" s="8">
        <v>1</v>
      </c>
      <c r="F153" s="8">
        <v>12</v>
      </c>
      <c r="G153" s="494"/>
      <c r="H153" s="494"/>
      <c r="I153" s="494"/>
      <c r="J153" s="494"/>
    </row>
    <row r="154" spans="1:10">
      <c r="A154" s="331">
        <v>44132</v>
      </c>
      <c r="B154" s="8">
        <v>9</v>
      </c>
      <c r="C154" s="494" t="s">
        <v>387</v>
      </c>
      <c r="D154" s="494" t="s">
        <v>348</v>
      </c>
      <c r="E154" s="8">
        <v>1</v>
      </c>
      <c r="F154" s="8">
        <v>12</v>
      </c>
      <c r="G154" s="494"/>
      <c r="H154" s="494"/>
      <c r="I154" s="494"/>
      <c r="J154" s="494"/>
    </row>
    <row r="155" spans="1:10">
      <c r="A155" s="331">
        <v>44133</v>
      </c>
      <c r="B155" s="8">
        <v>9</v>
      </c>
      <c r="C155" s="494" t="s">
        <v>387</v>
      </c>
      <c r="D155" s="494" t="s">
        <v>348</v>
      </c>
      <c r="E155" s="8">
        <v>1</v>
      </c>
      <c r="F155" s="8">
        <v>12</v>
      </c>
      <c r="G155" s="494"/>
      <c r="H155" s="494"/>
      <c r="I155" s="494"/>
      <c r="J155" s="494"/>
    </row>
    <row r="156" spans="1:10">
      <c r="A156" s="331">
        <v>44134</v>
      </c>
      <c r="B156" s="8">
        <v>9</v>
      </c>
      <c r="C156" s="494" t="s">
        <v>387</v>
      </c>
      <c r="D156" s="494" t="s">
        <v>348</v>
      </c>
      <c r="E156" s="8">
        <v>1</v>
      </c>
      <c r="F156" s="8">
        <v>12</v>
      </c>
      <c r="G156" s="494"/>
      <c r="H156" s="494"/>
      <c r="I156" s="494"/>
      <c r="J156" s="494"/>
    </row>
    <row r="157" spans="1:10">
      <c r="A157" s="331">
        <v>44135</v>
      </c>
      <c r="B157" s="8">
        <v>9</v>
      </c>
      <c r="C157" s="494" t="s">
        <v>387</v>
      </c>
      <c r="D157" s="494" t="s">
        <v>148</v>
      </c>
      <c r="E157" s="8">
        <v>1</v>
      </c>
      <c r="F157" s="8">
        <v>6</v>
      </c>
      <c r="G157" s="494"/>
      <c r="H157" s="494"/>
      <c r="I157" s="494"/>
      <c r="J157" s="494"/>
    </row>
    <row r="158" spans="1:10">
      <c r="A158" s="331">
        <v>44137</v>
      </c>
      <c r="B158" s="8">
        <v>9</v>
      </c>
      <c r="C158" s="494" t="s">
        <v>387</v>
      </c>
      <c r="D158" s="494" t="s">
        <v>348</v>
      </c>
      <c r="E158" s="8">
        <v>1</v>
      </c>
      <c r="F158" s="8">
        <v>6</v>
      </c>
      <c r="G158" s="494"/>
      <c r="H158" s="494"/>
      <c r="I158" s="494"/>
      <c r="J158" s="494"/>
    </row>
    <row r="159" spans="1:10">
      <c r="A159" s="331">
        <v>44138</v>
      </c>
      <c r="B159" s="8">
        <v>8</v>
      </c>
      <c r="C159" s="494" t="s">
        <v>387</v>
      </c>
      <c r="D159" s="494" t="s">
        <v>154</v>
      </c>
      <c r="E159" s="8">
        <v>1</v>
      </c>
      <c r="F159" s="8">
        <v>12</v>
      </c>
      <c r="G159" s="494" t="s">
        <v>402</v>
      </c>
      <c r="H159" s="494" t="s">
        <v>334</v>
      </c>
      <c r="I159" s="494"/>
      <c r="J159" s="494"/>
    </row>
    <row r="160" spans="1:10">
      <c r="A160" s="331">
        <v>44139</v>
      </c>
      <c r="B160" s="8">
        <v>9</v>
      </c>
      <c r="C160" s="494" t="s">
        <v>387</v>
      </c>
      <c r="D160" s="494" t="s">
        <v>348</v>
      </c>
      <c r="E160" s="8">
        <v>1</v>
      </c>
      <c r="F160" s="8">
        <v>6</v>
      </c>
      <c r="G160" s="494"/>
      <c r="H160" s="494"/>
      <c r="I160" s="494"/>
      <c r="J160" s="494"/>
    </row>
    <row r="161" spans="1:10">
      <c r="A161" s="331">
        <v>44140</v>
      </c>
      <c r="B161" s="8">
        <v>9</v>
      </c>
      <c r="C161" s="494" t="s">
        <v>387</v>
      </c>
      <c r="D161" s="494" t="s">
        <v>338</v>
      </c>
      <c r="E161" s="8">
        <v>1</v>
      </c>
      <c r="F161" s="8">
        <v>6</v>
      </c>
      <c r="G161" s="494"/>
      <c r="H161" s="494"/>
      <c r="I161" s="494"/>
      <c r="J161" s="494"/>
    </row>
    <row r="162" spans="1:10">
      <c r="A162" s="331">
        <v>44141</v>
      </c>
      <c r="B162" s="8">
        <v>9</v>
      </c>
      <c r="C162" s="494" t="s">
        <v>387</v>
      </c>
      <c r="D162" s="494" t="s">
        <v>348</v>
      </c>
      <c r="E162" s="8">
        <v>1</v>
      </c>
      <c r="F162" s="8">
        <v>6</v>
      </c>
      <c r="G162" s="494"/>
      <c r="H162" s="494"/>
      <c r="I162" s="494"/>
      <c r="J162" s="494"/>
    </row>
    <row r="163" spans="1:10">
      <c r="A163" s="331">
        <v>44142</v>
      </c>
      <c r="B163" s="8">
        <v>9</v>
      </c>
      <c r="C163" s="494" t="s">
        <v>387</v>
      </c>
      <c r="D163" s="494" t="s">
        <v>348</v>
      </c>
      <c r="E163" s="8"/>
      <c r="F163" s="8"/>
      <c r="G163" s="494"/>
      <c r="H163" s="494"/>
      <c r="I163" s="494"/>
      <c r="J163" s="494"/>
    </row>
    <row r="164" spans="1:10">
      <c r="A164" s="331">
        <v>44144</v>
      </c>
      <c r="B164" s="8">
        <v>9</v>
      </c>
      <c r="C164" s="494" t="s">
        <v>387</v>
      </c>
      <c r="D164" s="494" t="s">
        <v>153</v>
      </c>
      <c r="E164" s="8">
        <v>1</v>
      </c>
      <c r="F164" s="8">
        <v>6</v>
      </c>
      <c r="G164" s="494"/>
      <c r="H164" s="494"/>
      <c r="I164" s="494"/>
      <c r="J164" s="494"/>
    </row>
    <row r="165" spans="1:10">
      <c r="A165" s="331">
        <v>44145</v>
      </c>
      <c r="B165" s="8">
        <v>10</v>
      </c>
      <c r="C165" s="494" t="s">
        <v>387</v>
      </c>
      <c r="D165" s="494"/>
      <c r="E165" s="8"/>
      <c r="F165" s="8"/>
      <c r="G165" s="494" t="s">
        <v>425</v>
      </c>
      <c r="H165" s="494"/>
      <c r="I165" s="494"/>
      <c r="J165" s="494"/>
    </row>
    <row r="166" spans="1:10">
      <c r="A166" s="331">
        <v>44230</v>
      </c>
      <c r="B166" s="8">
        <v>11</v>
      </c>
      <c r="C166" s="494" t="s">
        <v>387</v>
      </c>
      <c r="D166" s="494" t="s">
        <v>338</v>
      </c>
      <c r="E166" s="8">
        <v>2</v>
      </c>
      <c r="F166" s="8">
        <v>12</v>
      </c>
      <c r="G166" s="494"/>
      <c r="H166" s="494"/>
      <c r="I166" s="494" t="s">
        <v>469</v>
      </c>
      <c r="J166" s="494" t="s">
        <v>470</v>
      </c>
    </row>
    <row r="167" spans="1:10">
      <c r="A167" s="331">
        <v>44231</v>
      </c>
      <c r="B167" s="8">
        <v>9</v>
      </c>
      <c r="C167" s="494" t="s">
        <v>387</v>
      </c>
      <c r="D167" s="494" t="s">
        <v>338</v>
      </c>
      <c r="E167" s="8">
        <v>2</v>
      </c>
      <c r="F167" s="8">
        <v>12</v>
      </c>
      <c r="G167" s="494"/>
      <c r="H167" s="494"/>
      <c r="I167" s="494" t="s">
        <v>469</v>
      </c>
      <c r="J167" s="494" t="s">
        <v>470</v>
      </c>
    </row>
    <row r="168" spans="1:10">
      <c r="A168" s="331">
        <v>44139</v>
      </c>
      <c r="B168" s="8">
        <v>10</v>
      </c>
      <c r="C168" s="494" t="s">
        <v>400</v>
      </c>
      <c r="D168" s="494" t="s">
        <v>338</v>
      </c>
      <c r="E168" s="8">
        <v>1</v>
      </c>
      <c r="F168" s="8">
        <v>12</v>
      </c>
      <c r="G168" s="494"/>
      <c r="H168" s="494"/>
      <c r="I168" s="494"/>
      <c r="J168" s="494"/>
    </row>
    <row r="169" spans="1:10">
      <c r="A169" s="331">
        <v>44140</v>
      </c>
      <c r="B169" s="8">
        <v>10</v>
      </c>
      <c r="C169" s="494" t="s">
        <v>400</v>
      </c>
      <c r="D169" s="494" t="s">
        <v>338</v>
      </c>
      <c r="E169" s="8">
        <v>1</v>
      </c>
      <c r="F169" s="8">
        <v>12</v>
      </c>
      <c r="G169" s="494"/>
      <c r="H169" s="494"/>
      <c r="I169" s="494"/>
      <c r="J169" s="494"/>
    </row>
    <row r="170" spans="1:10">
      <c r="A170" s="331">
        <v>44141</v>
      </c>
      <c r="B170" s="8">
        <v>10</v>
      </c>
      <c r="C170" s="494" t="s">
        <v>400</v>
      </c>
      <c r="D170" s="494" t="s">
        <v>348</v>
      </c>
      <c r="E170" s="8">
        <v>1</v>
      </c>
      <c r="F170" s="8">
        <v>12</v>
      </c>
      <c r="G170" s="494"/>
      <c r="H170" s="494"/>
      <c r="I170" s="494"/>
      <c r="J170" s="494"/>
    </row>
    <row r="171" spans="1:10">
      <c r="A171" s="331">
        <v>44142</v>
      </c>
      <c r="B171" s="8">
        <v>10</v>
      </c>
      <c r="C171" s="494" t="s">
        <v>400</v>
      </c>
      <c r="D171" s="494" t="s">
        <v>348</v>
      </c>
      <c r="E171" s="8"/>
      <c r="F171" s="8"/>
      <c r="G171" s="494"/>
      <c r="H171" s="494"/>
      <c r="I171" s="494"/>
      <c r="J171" s="494"/>
    </row>
    <row r="172" spans="1:10">
      <c r="A172" s="331">
        <v>44144</v>
      </c>
      <c r="B172" s="8">
        <v>10</v>
      </c>
      <c r="C172" s="494" t="s">
        <v>400</v>
      </c>
      <c r="D172" s="494" t="s">
        <v>348</v>
      </c>
      <c r="E172" s="8">
        <v>1</v>
      </c>
      <c r="F172" s="8">
        <v>12</v>
      </c>
      <c r="G172" s="494"/>
      <c r="H172" s="494"/>
      <c r="I172" s="494"/>
      <c r="J172" s="494"/>
    </row>
    <row r="173" spans="1:10">
      <c r="A173" s="331">
        <v>44145</v>
      </c>
      <c r="B173" s="8">
        <v>13</v>
      </c>
      <c r="C173" s="494" t="s">
        <v>400</v>
      </c>
      <c r="D173" s="494" t="s">
        <v>348</v>
      </c>
      <c r="E173" s="8">
        <v>1</v>
      </c>
      <c r="F173" s="8">
        <v>12</v>
      </c>
      <c r="G173" s="494"/>
      <c r="H173" s="494"/>
      <c r="I173" s="494"/>
      <c r="J173" s="494"/>
    </row>
    <row r="174" spans="1:10">
      <c r="A174" s="331">
        <v>44147</v>
      </c>
      <c r="B174" s="8">
        <v>12</v>
      </c>
      <c r="C174" s="494" t="s">
        <v>400</v>
      </c>
      <c r="D174" s="494" t="s">
        <v>148</v>
      </c>
      <c r="E174" s="8">
        <v>1</v>
      </c>
      <c r="F174" s="8">
        <v>6</v>
      </c>
      <c r="G174" s="494" t="s">
        <v>426</v>
      </c>
      <c r="H174" s="494"/>
      <c r="I174" s="494"/>
      <c r="J174" s="494"/>
    </row>
    <row r="175" spans="1:10">
      <c r="A175" s="331">
        <v>44148</v>
      </c>
      <c r="B175" s="8">
        <v>7</v>
      </c>
      <c r="C175" s="494" t="s">
        <v>400</v>
      </c>
      <c r="D175" s="494" t="s">
        <v>348</v>
      </c>
      <c r="E175" s="8">
        <v>1</v>
      </c>
      <c r="F175" s="8">
        <v>6</v>
      </c>
      <c r="G175" s="494"/>
      <c r="H175" s="494"/>
      <c r="I175" s="494"/>
      <c r="J175" s="494"/>
    </row>
    <row r="176" spans="1:10">
      <c r="A176" s="331">
        <v>44149</v>
      </c>
      <c r="B176" s="8">
        <v>12</v>
      </c>
      <c r="C176" s="494" t="s">
        <v>400</v>
      </c>
      <c r="D176" s="494" t="s">
        <v>148</v>
      </c>
      <c r="E176" s="8">
        <v>5</v>
      </c>
      <c r="F176" s="8">
        <v>6</v>
      </c>
      <c r="G176" s="494" t="s">
        <v>429</v>
      </c>
      <c r="H176" s="494"/>
      <c r="I176" s="494"/>
      <c r="J176" s="494"/>
    </row>
    <row r="177" spans="1:10">
      <c r="A177" s="331">
        <v>44151</v>
      </c>
      <c r="B177" s="8">
        <v>12</v>
      </c>
      <c r="C177" s="494" t="s">
        <v>400</v>
      </c>
      <c r="D177" s="494" t="s">
        <v>348</v>
      </c>
      <c r="E177" s="8">
        <v>5</v>
      </c>
      <c r="F177" s="8">
        <v>6</v>
      </c>
      <c r="G177" s="494"/>
      <c r="H177" s="494"/>
      <c r="I177" s="494"/>
      <c r="J177" s="494"/>
    </row>
    <row r="178" spans="1:10">
      <c r="A178" s="331">
        <v>44153</v>
      </c>
      <c r="B178" s="8">
        <v>10</v>
      </c>
      <c r="C178" s="494" t="s">
        <v>400</v>
      </c>
      <c r="D178" s="494" t="s">
        <v>348</v>
      </c>
      <c r="E178" s="8">
        <v>5</v>
      </c>
      <c r="F178" s="8">
        <v>6</v>
      </c>
      <c r="G178" s="494"/>
      <c r="H178" s="494"/>
      <c r="I178" s="494"/>
      <c r="J178" s="494"/>
    </row>
    <row r="179" spans="1:10">
      <c r="A179" s="331">
        <v>44154</v>
      </c>
      <c r="B179" s="8">
        <v>7</v>
      </c>
      <c r="C179" s="494" t="s">
        <v>400</v>
      </c>
      <c r="D179" s="494" t="s">
        <v>148</v>
      </c>
      <c r="E179" s="8">
        <v>5</v>
      </c>
      <c r="F179" s="8">
        <v>10</v>
      </c>
      <c r="G179" s="494" t="s">
        <v>439</v>
      </c>
      <c r="H179" s="494"/>
      <c r="I179" s="494"/>
      <c r="J179" s="494"/>
    </row>
    <row r="180" spans="1:10">
      <c r="A180" s="331">
        <v>44155</v>
      </c>
      <c r="B180" s="8">
        <v>13</v>
      </c>
      <c r="C180" s="494" t="s">
        <v>400</v>
      </c>
      <c r="D180" s="494" t="s">
        <v>348</v>
      </c>
      <c r="E180" s="8">
        <v>5</v>
      </c>
      <c r="F180" s="8">
        <v>10</v>
      </c>
      <c r="G180" s="494"/>
      <c r="H180" s="494"/>
      <c r="I180" s="494"/>
      <c r="J180" s="494"/>
    </row>
    <row r="181" spans="1:10">
      <c r="A181" s="331">
        <v>44157</v>
      </c>
      <c r="B181" s="8">
        <v>13</v>
      </c>
      <c r="C181" s="494" t="s">
        <v>400</v>
      </c>
      <c r="D181" s="494" t="s">
        <v>348</v>
      </c>
      <c r="E181" s="8">
        <v>5</v>
      </c>
      <c r="F181" s="8">
        <v>10</v>
      </c>
      <c r="G181" s="494"/>
      <c r="H181" s="494"/>
      <c r="I181" s="494"/>
      <c r="J181" s="494"/>
    </row>
    <row r="182" spans="1:10">
      <c r="A182" s="331">
        <v>44159</v>
      </c>
      <c r="B182" s="8">
        <v>7</v>
      </c>
      <c r="C182" s="494" t="s">
        <v>400</v>
      </c>
      <c r="D182" s="494" t="s">
        <v>152</v>
      </c>
      <c r="E182" s="8">
        <v>40</v>
      </c>
      <c r="F182" s="8" t="s">
        <v>411</v>
      </c>
      <c r="G182" s="494" t="s">
        <v>450</v>
      </c>
      <c r="H182" s="494"/>
      <c r="I182" s="494"/>
      <c r="J182" s="494"/>
    </row>
    <row r="183" spans="1:10">
      <c r="A183" s="331">
        <v>44164</v>
      </c>
      <c r="B183" s="8">
        <v>12</v>
      </c>
      <c r="C183" s="494" t="s">
        <v>400</v>
      </c>
      <c r="D183" s="494" t="s">
        <v>276</v>
      </c>
      <c r="E183" s="8">
        <v>1</v>
      </c>
      <c r="F183" s="8"/>
      <c r="G183" s="494"/>
      <c r="H183" s="494"/>
      <c r="I183" s="494"/>
      <c r="J183" s="494"/>
    </row>
    <row r="184" spans="1:10">
      <c r="A184" s="331">
        <v>44168</v>
      </c>
      <c r="B184" s="8">
        <v>10</v>
      </c>
      <c r="C184" s="494" t="s">
        <v>400</v>
      </c>
      <c r="D184" s="494" t="s">
        <v>440</v>
      </c>
      <c r="E184" s="8"/>
      <c r="F184" s="8"/>
      <c r="G184" s="494" t="s">
        <v>457</v>
      </c>
      <c r="H184" s="494"/>
      <c r="I184" s="494"/>
      <c r="J184" s="494"/>
    </row>
    <row r="185" spans="1:10">
      <c r="A185" s="331">
        <v>44207</v>
      </c>
      <c r="B185" s="8">
        <v>15</v>
      </c>
      <c r="C185" s="494" t="s">
        <v>400</v>
      </c>
      <c r="D185" s="494" t="s">
        <v>146</v>
      </c>
      <c r="E185" s="8">
        <v>1</v>
      </c>
      <c r="F185" s="8">
        <v>6</v>
      </c>
      <c r="G185" s="494"/>
      <c r="H185" s="494"/>
      <c r="I185" s="494" t="s">
        <v>469</v>
      </c>
      <c r="J185" s="494" t="s">
        <v>470</v>
      </c>
    </row>
    <row r="186" spans="1:10">
      <c r="A186" s="331">
        <v>44208</v>
      </c>
      <c r="B186" s="8">
        <v>13</v>
      </c>
      <c r="C186" s="494" t="s">
        <v>400</v>
      </c>
      <c r="D186" s="494" t="s">
        <v>348</v>
      </c>
      <c r="E186" s="8">
        <v>1</v>
      </c>
      <c r="F186" s="8">
        <v>6</v>
      </c>
      <c r="G186" s="494"/>
      <c r="H186" s="494"/>
      <c r="I186" s="494" t="s">
        <v>469</v>
      </c>
      <c r="J186" s="494" t="s">
        <v>470</v>
      </c>
    </row>
    <row r="187" spans="1:10">
      <c r="A187" s="331">
        <v>44209</v>
      </c>
      <c r="B187" s="8">
        <v>16</v>
      </c>
      <c r="C187" s="494" t="s">
        <v>400</v>
      </c>
      <c r="D187" s="494" t="s">
        <v>148</v>
      </c>
      <c r="E187" s="8"/>
      <c r="F187" s="8"/>
      <c r="G187" s="494" t="s">
        <v>499</v>
      </c>
      <c r="H187" s="494"/>
      <c r="I187" s="494" t="s">
        <v>506</v>
      </c>
      <c r="J187" s="494" t="s">
        <v>507</v>
      </c>
    </row>
    <row r="188" spans="1:10">
      <c r="A188" s="331">
        <v>44209</v>
      </c>
      <c r="B188" s="8">
        <v>21</v>
      </c>
      <c r="C188" s="494" t="s">
        <v>400</v>
      </c>
      <c r="D188" s="494" t="s">
        <v>440</v>
      </c>
      <c r="E188" s="8"/>
      <c r="F188" s="8"/>
      <c r="G188" s="494" t="s">
        <v>500</v>
      </c>
      <c r="H188" s="494"/>
      <c r="I188" s="494" t="s">
        <v>506</v>
      </c>
      <c r="J188" s="494" t="s">
        <v>507</v>
      </c>
    </row>
    <row r="189" spans="1:10">
      <c r="A189" s="331">
        <v>44212</v>
      </c>
      <c r="B189" s="8">
        <v>11</v>
      </c>
      <c r="C189" s="494" t="s">
        <v>400</v>
      </c>
      <c r="D189" s="494" t="s">
        <v>146</v>
      </c>
      <c r="E189" s="8">
        <v>1</v>
      </c>
      <c r="F189" s="8">
        <v>6</v>
      </c>
      <c r="G189" s="494" t="s">
        <v>509</v>
      </c>
      <c r="H189" s="494"/>
      <c r="I189" s="494" t="s">
        <v>469</v>
      </c>
      <c r="J189" s="494" t="s">
        <v>470</v>
      </c>
    </row>
    <row r="190" spans="1:10">
      <c r="A190" s="331">
        <v>44214</v>
      </c>
      <c r="B190" s="8">
        <v>15</v>
      </c>
      <c r="C190" s="494" t="s">
        <v>400</v>
      </c>
      <c r="D190" s="494" t="s">
        <v>148</v>
      </c>
      <c r="E190" s="8">
        <v>1</v>
      </c>
      <c r="F190" s="8">
        <v>6</v>
      </c>
      <c r="G190" s="494" t="s">
        <v>502</v>
      </c>
      <c r="H190" s="494"/>
      <c r="I190" s="494" t="s">
        <v>469</v>
      </c>
      <c r="J190" s="494" t="s">
        <v>470</v>
      </c>
    </row>
    <row r="191" spans="1:10">
      <c r="A191" s="331">
        <v>44216</v>
      </c>
      <c r="B191" s="8">
        <v>14</v>
      </c>
      <c r="C191" s="494" t="s">
        <v>400</v>
      </c>
      <c r="D191" s="494" t="s">
        <v>348</v>
      </c>
      <c r="E191" s="8">
        <v>1</v>
      </c>
      <c r="F191" s="8">
        <v>6</v>
      </c>
      <c r="G191" s="494"/>
      <c r="H191" s="494"/>
      <c r="I191" s="494" t="s">
        <v>469</v>
      </c>
      <c r="J191" s="494" t="s">
        <v>470</v>
      </c>
    </row>
    <row r="192" spans="1:10">
      <c r="A192" s="331">
        <v>44217</v>
      </c>
      <c r="B192" s="8">
        <v>14</v>
      </c>
      <c r="C192" s="494" t="s">
        <v>400</v>
      </c>
      <c r="D192" s="494" t="s">
        <v>348</v>
      </c>
      <c r="E192" s="8">
        <v>1</v>
      </c>
      <c r="F192" s="8">
        <v>6</v>
      </c>
      <c r="G192" s="494"/>
      <c r="H192" s="494"/>
      <c r="I192" s="494" t="s">
        <v>469</v>
      </c>
      <c r="J192" s="494" t="s">
        <v>470</v>
      </c>
    </row>
    <row r="193" spans="1:10">
      <c r="A193" s="331">
        <v>44218</v>
      </c>
      <c r="B193" s="8">
        <v>11</v>
      </c>
      <c r="C193" s="494" t="s">
        <v>400</v>
      </c>
      <c r="D193" s="494"/>
      <c r="E193" s="8">
        <v>1</v>
      </c>
      <c r="F193" s="8">
        <v>6</v>
      </c>
      <c r="G193" s="494" t="s">
        <v>510</v>
      </c>
      <c r="H193" s="494"/>
      <c r="I193" s="494" t="s">
        <v>469</v>
      </c>
      <c r="J193" s="494" t="s">
        <v>470</v>
      </c>
    </row>
    <row r="194" spans="1:10">
      <c r="A194" s="331">
        <v>44219</v>
      </c>
      <c r="B194" s="8">
        <v>7</v>
      </c>
      <c r="C194" s="494" t="s">
        <v>400</v>
      </c>
      <c r="D194" s="494" t="s">
        <v>146</v>
      </c>
      <c r="E194" s="8">
        <v>1</v>
      </c>
      <c r="F194" s="8">
        <v>6</v>
      </c>
      <c r="G194" s="494" t="s">
        <v>515</v>
      </c>
      <c r="H194" s="494"/>
      <c r="I194" s="494" t="s">
        <v>469</v>
      </c>
      <c r="J194" s="494" t="s">
        <v>470</v>
      </c>
    </row>
    <row r="195" spans="1:10">
      <c r="A195" s="331">
        <v>44221</v>
      </c>
      <c r="B195" s="8">
        <v>9</v>
      </c>
      <c r="C195" s="494" t="s">
        <v>400</v>
      </c>
      <c r="D195" s="494" t="s">
        <v>148</v>
      </c>
      <c r="E195" s="8">
        <v>2</v>
      </c>
      <c r="F195" s="8">
        <v>6</v>
      </c>
      <c r="G195" s="494" t="s">
        <v>498</v>
      </c>
      <c r="H195" s="494"/>
      <c r="I195" s="494" t="s">
        <v>469</v>
      </c>
      <c r="J195" s="494" t="s">
        <v>470</v>
      </c>
    </row>
    <row r="196" spans="1:10">
      <c r="A196" s="331">
        <v>44222</v>
      </c>
      <c r="B196" s="8">
        <v>10</v>
      </c>
      <c r="C196" s="494" t="s">
        <v>400</v>
      </c>
      <c r="D196" s="494" t="s">
        <v>338</v>
      </c>
      <c r="E196" s="8">
        <v>2</v>
      </c>
      <c r="F196" s="8">
        <v>6</v>
      </c>
      <c r="G196" s="494"/>
      <c r="H196" s="494"/>
      <c r="I196" s="494" t="s">
        <v>469</v>
      </c>
      <c r="J196" s="494" t="s">
        <v>470</v>
      </c>
    </row>
    <row r="197" spans="1:10">
      <c r="A197" s="331">
        <v>44223</v>
      </c>
      <c r="B197" s="8">
        <v>7</v>
      </c>
      <c r="C197" s="494" t="s">
        <v>400</v>
      </c>
      <c r="D197" s="494" t="s">
        <v>348</v>
      </c>
      <c r="E197" s="8">
        <v>2</v>
      </c>
      <c r="F197" s="8">
        <v>6</v>
      </c>
      <c r="G197" s="494"/>
      <c r="H197" s="494"/>
      <c r="I197" s="494" t="s">
        <v>469</v>
      </c>
      <c r="J197" s="494" t="s">
        <v>470</v>
      </c>
    </row>
    <row r="198" spans="1:10">
      <c r="A198" s="331">
        <v>44225</v>
      </c>
      <c r="B198" s="8">
        <v>11</v>
      </c>
      <c r="C198" s="494" t="s">
        <v>400</v>
      </c>
      <c r="D198" s="494" t="s">
        <v>348</v>
      </c>
      <c r="E198" s="8">
        <v>2</v>
      </c>
      <c r="F198" s="8">
        <v>6</v>
      </c>
      <c r="G198" s="494" t="s">
        <v>519</v>
      </c>
      <c r="H198" s="494"/>
      <c r="I198" s="494" t="s">
        <v>469</v>
      </c>
      <c r="J198" s="494" t="s">
        <v>470</v>
      </c>
    </row>
    <row r="199" spans="1:10">
      <c r="A199" s="331">
        <v>43890</v>
      </c>
      <c r="B199" s="8">
        <v>12</v>
      </c>
      <c r="C199" s="494" t="s">
        <v>297</v>
      </c>
      <c r="D199" s="494" t="s">
        <v>148</v>
      </c>
      <c r="E199" s="8">
        <v>1</v>
      </c>
      <c r="F199" s="8">
        <v>24</v>
      </c>
      <c r="G199" s="494"/>
      <c r="H199" s="494"/>
      <c r="I199" s="494"/>
      <c r="J199" s="494"/>
    </row>
    <row r="200" spans="1:10">
      <c r="A200" s="331">
        <v>43891</v>
      </c>
      <c r="B200" s="8">
        <v>10</v>
      </c>
      <c r="C200" s="494" t="s">
        <v>297</v>
      </c>
      <c r="D200" s="494" t="s">
        <v>153</v>
      </c>
      <c r="E200" s="8">
        <v>1</v>
      </c>
      <c r="F200" s="8">
        <v>24</v>
      </c>
      <c r="G200" s="494"/>
      <c r="H200" s="494"/>
      <c r="I200" s="494"/>
      <c r="J200" s="494"/>
    </row>
    <row r="201" spans="1:10">
      <c r="A201" s="331">
        <v>43893</v>
      </c>
      <c r="B201" s="8">
        <v>8</v>
      </c>
      <c r="C201" s="494" t="s">
        <v>297</v>
      </c>
      <c r="D201" s="494" t="s">
        <v>147</v>
      </c>
      <c r="E201" s="8">
        <v>1</v>
      </c>
      <c r="F201" s="8">
        <v>24</v>
      </c>
      <c r="G201" s="494"/>
      <c r="H201" s="494"/>
      <c r="I201" s="494"/>
      <c r="J201" s="494"/>
    </row>
    <row r="202" spans="1:10">
      <c r="A202" s="331">
        <v>43893</v>
      </c>
      <c r="B202" s="8">
        <v>12</v>
      </c>
      <c r="C202" s="494" t="s">
        <v>297</v>
      </c>
      <c r="D202" s="494" t="s">
        <v>148</v>
      </c>
      <c r="E202" s="8">
        <v>1</v>
      </c>
      <c r="F202" s="8">
        <v>6</v>
      </c>
      <c r="G202" s="494"/>
      <c r="H202" s="494"/>
      <c r="I202" s="494"/>
      <c r="J202" s="494"/>
    </row>
    <row r="203" spans="1:10">
      <c r="A203" s="331">
        <v>43894</v>
      </c>
      <c r="B203" s="8">
        <v>8</v>
      </c>
      <c r="C203" s="494" t="s">
        <v>297</v>
      </c>
      <c r="D203" s="494" t="s">
        <v>153</v>
      </c>
      <c r="E203" s="8">
        <v>1</v>
      </c>
      <c r="F203" s="8">
        <v>6</v>
      </c>
      <c r="G203" s="494"/>
      <c r="H203" s="494"/>
      <c r="I203" s="494"/>
      <c r="J203" s="494"/>
    </row>
    <row r="204" spans="1:10">
      <c r="A204" s="331">
        <v>43897</v>
      </c>
      <c r="B204" s="8">
        <v>8</v>
      </c>
      <c r="C204" s="494" t="s">
        <v>297</v>
      </c>
      <c r="D204" s="494" t="s">
        <v>148</v>
      </c>
      <c r="E204" s="8">
        <v>5</v>
      </c>
      <c r="F204" s="8">
        <v>6</v>
      </c>
      <c r="G204" s="494"/>
      <c r="H204" s="494"/>
      <c r="I204" s="494"/>
      <c r="J204" s="494"/>
    </row>
    <row r="205" spans="1:10">
      <c r="A205" s="331">
        <v>43901</v>
      </c>
      <c r="B205" s="8">
        <v>7</v>
      </c>
      <c r="C205" s="494" t="s">
        <v>297</v>
      </c>
      <c r="D205" s="494" t="s">
        <v>152</v>
      </c>
      <c r="E205" s="8"/>
      <c r="F205" s="8"/>
      <c r="G205" s="494" t="s">
        <v>272</v>
      </c>
      <c r="H205" s="494"/>
      <c r="I205" s="494"/>
      <c r="J205" s="494"/>
    </row>
    <row r="206" spans="1:10">
      <c r="A206" s="331">
        <v>43901</v>
      </c>
      <c r="B206" s="8">
        <v>10</v>
      </c>
      <c r="C206" s="494" t="s">
        <v>297</v>
      </c>
      <c r="D206" s="494" t="s">
        <v>154</v>
      </c>
      <c r="E206" s="8">
        <v>1</v>
      </c>
      <c r="F206" s="8">
        <v>96</v>
      </c>
      <c r="G206" s="494"/>
      <c r="H206" s="494" t="s">
        <v>260</v>
      </c>
      <c r="I206" s="494"/>
      <c r="J206" s="494"/>
    </row>
    <row r="207" spans="1:10">
      <c r="A207" s="331">
        <v>43902</v>
      </c>
      <c r="B207" s="8">
        <v>10</v>
      </c>
      <c r="C207" s="494" t="s">
        <v>302</v>
      </c>
      <c r="D207" s="494" t="s">
        <v>153</v>
      </c>
      <c r="E207" s="8">
        <v>1</v>
      </c>
      <c r="F207" s="8">
        <v>96</v>
      </c>
      <c r="G207" s="494"/>
      <c r="H207" s="494"/>
      <c r="I207" s="494"/>
      <c r="J207" s="494"/>
    </row>
    <row r="208" spans="1:10">
      <c r="A208" s="331">
        <v>43904</v>
      </c>
      <c r="B208" s="8">
        <v>7</v>
      </c>
      <c r="C208" s="494" t="s">
        <v>302</v>
      </c>
      <c r="D208" s="494" t="s">
        <v>147</v>
      </c>
      <c r="E208" s="8">
        <v>1</v>
      </c>
      <c r="F208" s="8">
        <v>96</v>
      </c>
      <c r="G208" s="494"/>
      <c r="H208" s="494"/>
      <c r="I208" s="494"/>
      <c r="J208" s="494"/>
    </row>
    <row r="209" spans="1:10">
      <c r="A209" s="331">
        <v>43907</v>
      </c>
      <c r="B209" s="8">
        <v>9</v>
      </c>
      <c r="C209" s="494" t="s">
        <v>302</v>
      </c>
      <c r="D209" s="494" t="s">
        <v>147</v>
      </c>
      <c r="E209" s="8">
        <v>1</v>
      </c>
      <c r="F209" s="8">
        <v>96</v>
      </c>
      <c r="G209" s="494"/>
      <c r="H209" s="494"/>
      <c r="I209" s="494"/>
      <c r="J209" s="494"/>
    </row>
    <row r="210" spans="1:10">
      <c r="A210" s="331">
        <v>43909</v>
      </c>
      <c r="B210" s="8">
        <v>8</v>
      </c>
      <c r="C210" s="494" t="s">
        <v>302</v>
      </c>
      <c r="D210" s="494" t="s">
        <v>148</v>
      </c>
      <c r="E210" s="8">
        <v>1</v>
      </c>
      <c r="F210" s="8">
        <v>24</v>
      </c>
      <c r="G210" s="494"/>
      <c r="H210" s="494"/>
      <c r="I210" s="494"/>
      <c r="J210" s="494"/>
    </row>
    <row r="211" spans="1:10">
      <c r="A211" s="331">
        <v>43910</v>
      </c>
      <c r="B211" s="8">
        <v>9</v>
      </c>
      <c r="C211" s="494" t="s">
        <v>302</v>
      </c>
      <c r="D211" s="494" t="s">
        <v>153</v>
      </c>
      <c r="E211" s="8">
        <v>1</v>
      </c>
      <c r="F211" s="8">
        <v>24</v>
      </c>
      <c r="G211" s="494"/>
      <c r="H211" s="494"/>
      <c r="I211" s="494"/>
      <c r="J211" s="494"/>
    </row>
    <row r="212" spans="1:10">
      <c r="A212" s="331">
        <v>43912</v>
      </c>
      <c r="B212" s="8">
        <v>9</v>
      </c>
      <c r="C212" s="494" t="s">
        <v>302</v>
      </c>
      <c r="D212" s="494" t="s">
        <v>148</v>
      </c>
      <c r="E212" s="8">
        <v>1</v>
      </c>
      <c r="F212" s="8">
        <v>6</v>
      </c>
      <c r="G212" s="494"/>
      <c r="H212" s="494"/>
      <c r="I212" s="494"/>
      <c r="J212" s="494"/>
    </row>
    <row r="213" spans="1:10">
      <c r="A213" s="331">
        <v>43913</v>
      </c>
      <c r="B213" s="8">
        <v>9</v>
      </c>
      <c r="C213" s="494" t="s">
        <v>302</v>
      </c>
      <c r="D213" s="494" t="s">
        <v>153</v>
      </c>
      <c r="E213" s="8">
        <v>1</v>
      </c>
      <c r="F213" s="8">
        <v>6</v>
      </c>
      <c r="G213" s="494"/>
      <c r="H213" s="494"/>
      <c r="I213" s="494"/>
      <c r="J213" s="494"/>
    </row>
    <row r="214" spans="1:10">
      <c r="A214" s="331">
        <v>43914</v>
      </c>
      <c r="B214" s="8">
        <v>8</v>
      </c>
      <c r="C214" s="494" t="s">
        <v>302</v>
      </c>
      <c r="D214" s="494" t="s">
        <v>148</v>
      </c>
      <c r="E214" s="8">
        <v>5</v>
      </c>
      <c r="F214" s="8">
        <v>6</v>
      </c>
      <c r="G214" s="494"/>
      <c r="H214" s="494"/>
      <c r="I214" s="494"/>
      <c r="J214" s="494"/>
    </row>
    <row r="215" spans="1:10">
      <c r="A215" s="331">
        <v>43915</v>
      </c>
      <c r="B215" s="8">
        <v>10</v>
      </c>
      <c r="C215" s="494" t="s">
        <v>302</v>
      </c>
      <c r="D215" s="494" t="s">
        <v>153</v>
      </c>
      <c r="E215" s="8">
        <v>5</v>
      </c>
      <c r="F215" s="8">
        <v>6</v>
      </c>
      <c r="G215" s="494"/>
      <c r="H215" s="494"/>
      <c r="I215" s="494"/>
      <c r="J215" s="494"/>
    </row>
    <row r="216" spans="1:10">
      <c r="A216" s="331">
        <v>44104</v>
      </c>
      <c r="B216" s="8">
        <v>10</v>
      </c>
      <c r="C216" s="494" t="s">
        <v>302</v>
      </c>
      <c r="D216" s="494" t="s">
        <v>146</v>
      </c>
      <c r="E216" s="8">
        <v>1</v>
      </c>
      <c r="F216" s="8">
        <v>6</v>
      </c>
      <c r="G216" s="494" t="s">
        <v>364</v>
      </c>
      <c r="H216" s="494"/>
      <c r="I216" s="494"/>
      <c r="J216" s="494"/>
    </row>
    <row r="217" spans="1:10">
      <c r="A217" s="331">
        <v>44105</v>
      </c>
      <c r="B217" s="8">
        <v>9</v>
      </c>
      <c r="C217" s="494" t="s">
        <v>302</v>
      </c>
      <c r="D217" s="494" t="s">
        <v>348</v>
      </c>
      <c r="E217" s="8">
        <v>1</v>
      </c>
      <c r="F217" s="8">
        <v>6</v>
      </c>
      <c r="G217" s="494"/>
      <c r="H217" s="494"/>
      <c r="I217" s="494"/>
      <c r="J217" s="494"/>
    </row>
    <row r="218" spans="1:10">
      <c r="A218" s="331">
        <v>44106</v>
      </c>
      <c r="B218" s="8">
        <v>9</v>
      </c>
      <c r="C218" s="494" t="s">
        <v>302</v>
      </c>
      <c r="D218" s="494" t="s">
        <v>148</v>
      </c>
      <c r="E218" s="8">
        <v>5</v>
      </c>
      <c r="F218" s="8">
        <v>6</v>
      </c>
      <c r="G218" s="494"/>
      <c r="H218" s="494"/>
      <c r="I218" s="494"/>
      <c r="J218" s="494"/>
    </row>
    <row r="219" spans="1:10">
      <c r="A219" s="331">
        <v>44107</v>
      </c>
      <c r="B219" s="8">
        <v>9</v>
      </c>
      <c r="C219" s="494" t="s">
        <v>302</v>
      </c>
      <c r="D219" s="494" t="s">
        <v>348</v>
      </c>
      <c r="E219" s="8">
        <v>5</v>
      </c>
      <c r="F219" s="8">
        <v>6</v>
      </c>
      <c r="G219" s="494"/>
      <c r="H219" s="494"/>
      <c r="I219" s="494"/>
      <c r="J219" s="494"/>
    </row>
    <row r="220" spans="1:10">
      <c r="A220" s="331">
        <v>44109</v>
      </c>
      <c r="B220" s="8">
        <v>9</v>
      </c>
      <c r="C220" s="494" t="s">
        <v>302</v>
      </c>
      <c r="D220" s="494" t="s">
        <v>154</v>
      </c>
      <c r="E220" s="8"/>
      <c r="F220" s="8"/>
      <c r="G220" s="494" t="s">
        <v>369</v>
      </c>
      <c r="H220" s="494" t="s">
        <v>263</v>
      </c>
      <c r="I220" s="494"/>
      <c r="J220" s="494"/>
    </row>
    <row r="221" spans="1:10">
      <c r="A221" s="331">
        <v>44109</v>
      </c>
      <c r="B221" s="8">
        <v>14</v>
      </c>
      <c r="C221" s="494" t="s">
        <v>302</v>
      </c>
      <c r="D221" s="494" t="s">
        <v>152</v>
      </c>
      <c r="E221" s="8"/>
      <c r="F221" s="8"/>
      <c r="G221" s="494" t="s">
        <v>262</v>
      </c>
      <c r="H221" s="494"/>
      <c r="I221" s="494"/>
      <c r="J221" s="494"/>
    </row>
    <row r="222" spans="1:10">
      <c r="A222" s="331">
        <v>44110</v>
      </c>
      <c r="B222" s="8">
        <v>9</v>
      </c>
      <c r="C222" s="494" t="s">
        <v>367</v>
      </c>
      <c r="D222" s="494" t="s">
        <v>338</v>
      </c>
      <c r="E222" s="8">
        <v>1</v>
      </c>
      <c r="F222" s="8">
        <v>96</v>
      </c>
      <c r="G222" s="494"/>
      <c r="H222" s="494"/>
      <c r="I222" s="494"/>
      <c r="J222" s="494"/>
    </row>
    <row r="223" spans="1:10">
      <c r="A223" s="331">
        <v>44110</v>
      </c>
      <c r="B223" s="8">
        <v>11</v>
      </c>
      <c r="C223" s="494" t="s">
        <v>367</v>
      </c>
      <c r="D223" s="494" t="s">
        <v>147</v>
      </c>
      <c r="E223" s="8">
        <v>1</v>
      </c>
      <c r="F223" s="8">
        <v>96</v>
      </c>
      <c r="G223" s="494"/>
      <c r="H223" s="494"/>
      <c r="I223" s="494"/>
      <c r="J223" s="494"/>
    </row>
    <row r="224" spans="1:10">
      <c r="A224" s="331">
        <v>44111</v>
      </c>
      <c r="B224" s="8">
        <v>9</v>
      </c>
      <c r="C224" s="494" t="s">
        <v>367</v>
      </c>
      <c r="D224" s="494" t="s">
        <v>338</v>
      </c>
      <c r="E224" s="8">
        <v>1</v>
      </c>
      <c r="F224" s="8">
        <v>96</v>
      </c>
      <c r="G224" s="494"/>
      <c r="H224" s="494"/>
      <c r="I224" s="494"/>
      <c r="J224" s="494"/>
    </row>
    <row r="225" spans="1:10">
      <c r="A225" s="331">
        <v>44112</v>
      </c>
      <c r="B225" s="8">
        <v>8</v>
      </c>
      <c r="C225" s="494" t="s">
        <v>367</v>
      </c>
      <c r="D225" s="494" t="s">
        <v>348</v>
      </c>
      <c r="E225" s="8">
        <v>1</v>
      </c>
      <c r="F225" s="8">
        <v>96</v>
      </c>
      <c r="G225" s="494"/>
      <c r="H225" s="494"/>
      <c r="I225" s="494"/>
      <c r="J225" s="494"/>
    </row>
    <row r="226" spans="1:10">
      <c r="A226" s="331">
        <v>44113</v>
      </c>
      <c r="B226" s="8">
        <v>8</v>
      </c>
      <c r="C226" s="494" t="s">
        <v>367</v>
      </c>
      <c r="D226" s="494" t="s">
        <v>348</v>
      </c>
      <c r="E226" s="8">
        <v>1</v>
      </c>
      <c r="F226" s="8">
        <v>96</v>
      </c>
      <c r="G226" s="494"/>
      <c r="H226" s="494"/>
      <c r="I226" s="494"/>
      <c r="J226" s="494"/>
    </row>
    <row r="227" spans="1:10">
      <c r="A227" s="331">
        <v>44116</v>
      </c>
      <c r="B227" s="8">
        <v>8</v>
      </c>
      <c r="C227" s="494" t="s">
        <v>367</v>
      </c>
      <c r="D227" s="494" t="s">
        <v>148</v>
      </c>
      <c r="E227" s="8">
        <v>1</v>
      </c>
      <c r="F227" s="8">
        <v>12</v>
      </c>
      <c r="G227" s="494" t="s">
        <v>377</v>
      </c>
      <c r="H227" s="494"/>
      <c r="I227" s="494"/>
      <c r="J227" s="494"/>
    </row>
    <row r="228" spans="1:10">
      <c r="A228" s="331">
        <v>44117</v>
      </c>
      <c r="B228" s="8">
        <v>9</v>
      </c>
      <c r="C228" s="494" t="s">
        <v>367</v>
      </c>
      <c r="D228" s="494" t="s">
        <v>348</v>
      </c>
      <c r="E228" s="8">
        <v>1</v>
      </c>
      <c r="F228" s="8">
        <v>12</v>
      </c>
      <c r="G228" s="494"/>
      <c r="H228" s="494"/>
      <c r="I228" s="494"/>
      <c r="J228" s="494"/>
    </row>
    <row r="229" spans="1:10">
      <c r="A229" s="331">
        <v>44118</v>
      </c>
      <c r="B229" s="8">
        <v>9</v>
      </c>
      <c r="C229" s="494" t="s">
        <v>367</v>
      </c>
      <c r="D229" s="494" t="s">
        <v>348</v>
      </c>
      <c r="E229" s="8">
        <v>1</v>
      </c>
      <c r="F229" s="8">
        <v>12</v>
      </c>
      <c r="G229" s="494"/>
      <c r="H229" s="494"/>
      <c r="I229" s="494"/>
      <c r="J229" s="494"/>
    </row>
    <row r="230" spans="1:10">
      <c r="A230" s="331">
        <v>44118</v>
      </c>
      <c r="B230" s="8">
        <v>14</v>
      </c>
      <c r="C230" s="494" t="s">
        <v>367</v>
      </c>
      <c r="D230" s="494" t="s">
        <v>147</v>
      </c>
      <c r="E230" s="8">
        <v>1</v>
      </c>
      <c r="F230" s="8">
        <v>12</v>
      </c>
      <c r="G230" s="494"/>
      <c r="H230" s="494"/>
      <c r="I230" s="494"/>
      <c r="J230" s="494"/>
    </row>
    <row r="231" spans="1:10">
      <c r="A231" s="331">
        <v>44119</v>
      </c>
      <c r="B231" s="8">
        <v>10</v>
      </c>
      <c r="C231" s="494" t="s">
        <v>367</v>
      </c>
      <c r="D231" s="494" t="s">
        <v>148</v>
      </c>
      <c r="E231" s="8">
        <v>1</v>
      </c>
      <c r="F231" s="8">
        <v>6</v>
      </c>
      <c r="G231" s="494" t="s">
        <v>380</v>
      </c>
      <c r="H231" s="494"/>
      <c r="I231" s="494"/>
      <c r="J231" s="494"/>
    </row>
    <row r="232" spans="1:10">
      <c r="A232" s="331">
        <v>44120</v>
      </c>
      <c r="B232" s="8">
        <v>10</v>
      </c>
      <c r="C232" s="494" t="s">
        <v>367</v>
      </c>
      <c r="D232" s="494" t="s">
        <v>338</v>
      </c>
      <c r="E232" s="8">
        <v>1</v>
      </c>
      <c r="F232" s="8">
        <v>6</v>
      </c>
      <c r="G232" s="494"/>
      <c r="H232" s="494"/>
      <c r="I232" s="494"/>
      <c r="J232" s="494"/>
    </row>
    <row r="233" spans="1:10">
      <c r="A233" s="331">
        <v>44121</v>
      </c>
      <c r="B233" s="8">
        <v>10</v>
      </c>
      <c r="C233" s="494" t="s">
        <v>367</v>
      </c>
      <c r="D233" s="494" t="s">
        <v>148</v>
      </c>
      <c r="E233" s="8">
        <v>5</v>
      </c>
      <c r="F233" s="8">
        <v>6</v>
      </c>
      <c r="G233" s="494"/>
      <c r="H233" s="494"/>
      <c r="I233" s="494"/>
      <c r="J233" s="494"/>
    </row>
    <row r="234" spans="1:10">
      <c r="A234" s="331">
        <v>44123</v>
      </c>
      <c r="B234" s="8">
        <v>10</v>
      </c>
      <c r="C234" s="494" t="s">
        <v>367</v>
      </c>
      <c r="D234" s="494" t="s">
        <v>348</v>
      </c>
      <c r="E234" s="8">
        <v>5</v>
      </c>
      <c r="F234" s="8">
        <v>6</v>
      </c>
      <c r="G234" s="494"/>
      <c r="H234" s="494"/>
      <c r="I234" s="494"/>
      <c r="J234" s="494"/>
    </row>
    <row r="235" spans="1:10">
      <c r="A235" s="331">
        <v>44124</v>
      </c>
      <c r="B235" s="8">
        <v>11</v>
      </c>
      <c r="C235" s="494" t="s">
        <v>367</v>
      </c>
      <c r="D235" s="494" t="s">
        <v>348</v>
      </c>
      <c r="E235" s="8">
        <v>5</v>
      </c>
      <c r="F235" s="8">
        <v>6</v>
      </c>
      <c r="G235" s="494"/>
      <c r="H235" s="494"/>
      <c r="I235" s="494" t="s">
        <v>469</v>
      </c>
      <c r="J235" s="494" t="s">
        <v>470</v>
      </c>
    </row>
    <row r="236" spans="1:10">
      <c r="A236" s="331">
        <v>44125</v>
      </c>
      <c r="B236" s="8">
        <v>10</v>
      </c>
      <c r="C236" s="494" t="s">
        <v>367</v>
      </c>
      <c r="D236" s="494" t="s">
        <v>154</v>
      </c>
      <c r="E236" s="8">
        <v>1</v>
      </c>
      <c r="F236" s="8">
        <v>12</v>
      </c>
      <c r="G236" s="494" t="s">
        <v>391</v>
      </c>
      <c r="H236" s="494" t="s">
        <v>317</v>
      </c>
      <c r="I236" s="494"/>
      <c r="J236" s="494"/>
    </row>
    <row r="237" spans="1:10">
      <c r="A237" s="331">
        <v>44126</v>
      </c>
      <c r="B237" s="8">
        <v>12</v>
      </c>
      <c r="C237" s="494" t="s">
        <v>367</v>
      </c>
      <c r="D237" s="494" t="s">
        <v>152</v>
      </c>
      <c r="E237" s="8">
        <v>4</v>
      </c>
      <c r="F237" s="8">
        <v>6</v>
      </c>
      <c r="G237" s="494" t="s">
        <v>262</v>
      </c>
      <c r="H237" s="494"/>
      <c r="I237" s="494"/>
      <c r="J237" s="494"/>
    </row>
    <row r="238" spans="1:10">
      <c r="A238" s="331">
        <v>44126</v>
      </c>
      <c r="B238" s="8">
        <v>13</v>
      </c>
      <c r="C238" s="494" t="s">
        <v>386</v>
      </c>
      <c r="D238" s="494" t="s">
        <v>338</v>
      </c>
      <c r="E238" s="8">
        <v>1</v>
      </c>
      <c r="F238" s="8">
        <v>12</v>
      </c>
      <c r="G238" s="494"/>
      <c r="H238" s="494"/>
      <c r="I238" s="494"/>
      <c r="J238" s="494"/>
    </row>
    <row r="239" spans="1:10">
      <c r="A239" s="331">
        <v>44127</v>
      </c>
      <c r="B239" s="8">
        <v>10</v>
      </c>
      <c r="C239" s="494" t="s">
        <v>386</v>
      </c>
      <c r="D239" s="494" t="s">
        <v>338</v>
      </c>
      <c r="E239" s="8">
        <v>1</v>
      </c>
      <c r="F239" s="8">
        <v>12</v>
      </c>
      <c r="G239" s="494"/>
      <c r="H239" s="494"/>
      <c r="I239" s="494"/>
      <c r="J239" s="494"/>
    </row>
    <row r="240" spans="1:10">
      <c r="A240" s="331">
        <v>44129</v>
      </c>
      <c r="B240" s="8">
        <v>11</v>
      </c>
      <c r="C240" s="494" t="s">
        <v>386</v>
      </c>
      <c r="D240" s="494" t="s">
        <v>338</v>
      </c>
      <c r="E240" s="8">
        <v>1</v>
      </c>
      <c r="F240" s="8">
        <v>12</v>
      </c>
      <c r="G240" s="494"/>
      <c r="H240" s="494"/>
      <c r="I240" s="494"/>
      <c r="J240" s="494"/>
    </row>
    <row r="241" spans="1:10">
      <c r="A241" s="331">
        <v>44131</v>
      </c>
      <c r="B241" s="8">
        <v>12</v>
      </c>
      <c r="C241" s="494" t="s">
        <v>386</v>
      </c>
      <c r="D241" s="494" t="s">
        <v>348</v>
      </c>
      <c r="E241" s="8">
        <v>1</v>
      </c>
      <c r="F241" s="8">
        <v>12</v>
      </c>
      <c r="G241" s="494"/>
      <c r="H241" s="494"/>
      <c r="I241" s="494"/>
      <c r="J241" s="494"/>
    </row>
    <row r="242" spans="1:10">
      <c r="A242" s="331">
        <v>44132</v>
      </c>
      <c r="B242" s="8">
        <v>10</v>
      </c>
      <c r="C242" s="494" t="s">
        <v>386</v>
      </c>
      <c r="D242" s="494" t="s">
        <v>348</v>
      </c>
      <c r="E242" s="8">
        <v>1</v>
      </c>
      <c r="F242" s="8">
        <v>12</v>
      </c>
      <c r="G242" s="494"/>
      <c r="H242" s="494"/>
      <c r="I242" s="494"/>
      <c r="J242" s="494"/>
    </row>
    <row r="243" spans="1:10">
      <c r="A243" s="331">
        <v>44133</v>
      </c>
      <c r="B243" s="8">
        <v>10</v>
      </c>
      <c r="C243" s="494" t="s">
        <v>386</v>
      </c>
      <c r="D243" s="494" t="s">
        <v>348</v>
      </c>
      <c r="E243" s="8">
        <v>1</v>
      </c>
      <c r="F243" s="8">
        <v>12</v>
      </c>
      <c r="G243" s="494"/>
      <c r="H243" s="494"/>
      <c r="I243" s="494"/>
      <c r="J243" s="494"/>
    </row>
    <row r="244" spans="1:10">
      <c r="A244" s="331">
        <v>44134</v>
      </c>
      <c r="B244" s="8">
        <v>10</v>
      </c>
      <c r="C244" s="494" t="s">
        <v>386</v>
      </c>
      <c r="D244" s="494" t="s">
        <v>348</v>
      </c>
      <c r="E244" s="8">
        <v>1</v>
      </c>
      <c r="F244" s="8">
        <v>12</v>
      </c>
      <c r="G244" s="494"/>
      <c r="H244" s="494"/>
      <c r="I244" s="494"/>
      <c r="J244" s="494"/>
    </row>
    <row r="245" spans="1:10">
      <c r="A245" s="331">
        <v>44135</v>
      </c>
      <c r="B245" s="8">
        <v>10</v>
      </c>
      <c r="C245" s="494" t="s">
        <v>386</v>
      </c>
      <c r="D245" s="494" t="s">
        <v>148</v>
      </c>
      <c r="E245" s="8">
        <v>1</v>
      </c>
      <c r="F245" s="8">
        <v>6</v>
      </c>
      <c r="G245" s="494"/>
      <c r="H245" s="494"/>
      <c r="I245" s="494"/>
      <c r="J245" s="494"/>
    </row>
    <row r="246" spans="1:10">
      <c r="A246" s="331">
        <v>44137</v>
      </c>
      <c r="B246" s="8">
        <v>10</v>
      </c>
      <c r="C246" s="494" t="s">
        <v>386</v>
      </c>
      <c r="D246" s="494" t="s">
        <v>348</v>
      </c>
      <c r="E246" s="8">
        <v>1</v>
      </c>
      <c r="F246" s="8">
        <v>6</v>
      </c>
      <c r="G246" s="494"/>
      <c r="H246" s="494"/>
      <c r="I246" s="494"/>
      <c r="J246" s="494"/>
    </row>
    <row r="247" spans="1:10">
      <c r="A247" s="331">
        <v>44138</v>
      </c>
      <c r="B247" s="8">
        <v>9</v>
      </c>
      <c r="C247" s="494" t="s">
        <v>386</v>
      </c>
      <c r="D247" s="494"/>
      <c r="E247" s="8">
        <v>1</v>
      </c>
      <c r="F247" s="8">
        <v>6</v>
      </c>
      <c r="G247" s="494"/>
      <c r="H247" s="494"/>
      <c r="I247" s="494"/>
      <c r="J247" s="494"/>
    </row>
    <row r="248" spans="1:10">
      <c r="A248" s="331">
        <v>44139</v>
      </c>
      <c r="B248" s="8">
        <v>11</v>
      </c>
      <c r="C248" s="494" t="s">
        <v>386</v>
      </c>
      <c r="D248" s="494" t="s">
        <v>348</v>
      </c>
      <c r="E248" s="8">
        <v>1</v>
      </c>
      <c r="F248" s="8">
        <v>6</v>
      </c>
      <c r="G248" s="494"/>
      <c r="H248" s="494"/>
      <c r="I248" s="494"/>
      <c r="J248" s="494"/>
    </row>
    <row r="249" spans="1:10">
      <c r="A249" s="331">
        <v>44140</v>
      </c>
      <c r="B249" s="8">
        <v>11</v>
      </c>
      <c r="C249" s="494" t="s">
        <v>386</v>
      </c>
      <c r="D249" s="494" t="s">
        <v>154</v>
      </c>
      <c r="E249" s="8">
        <v>1</v>
      </c>
      <c r="F249" s="8">
        <v>6</v>
      </c>
      <c r="G249" s="494" t="s">
        <v>406</v>
      </c>
      <c r="H249" s="494" t="s">
        <v>334</v>
      </c>
      <c r="I249" s="494"/>
      <c r="J249" s="494"/>
    </row>
    <row r="250" spans="1:10">
      <c r="A250" s="331">
        <v>44140</v>
      </c>
      <c r="B250" s="8">
        <v>12</v>
      </c>
      <c r="C250" s="494" t="s">
        <v>386</v>
      </c>
      <c r="D250" s="494" t="s">
        <v>148</v>
      </c>
      <c r="E250" s="8">
        <v>1</v>
      </c>
      <c r="F250" s="8">
        <v>6</v>
      </c>
      <c r="G250" s="494" t="s">
        <v>404</v>
      </c>
      <c r="H250" s="494"/>
      <c r="I250" s="494"/>
      <c r="J250" s="494"/>
    </row>
    <row r="251" spans="1:10">
      <c r="A251" s="331">
        <v>44141</v>
      </c>
      <c r="B251" s="8">
        <v>11</v>
      </c>
      <c r="C251" s="494" t="s">
        <v>386</v>
      </c>
      <c r="D251" s="494" t="s">
        <v>348</v>
      </c>
      <c r="E251" s="8">
        <v>1</v>
      </c>
      <c r="F251" s="8">
        <v>6</v>
      </c>
      <c r="G251" s="494"/>
      <c r="H251" s="494"/>
      <c r="I251" s="494"/>
      <c r="J251" s="494"/>
    </row>
    <row r="252" spans="1:10">
      <c r="A252" s="331">
        <v>44141</v>
      </c>
      <c r="B252" s="8">
        <v>12</v>
      </c>
      <c r="C252" s="494" t="s">
        <v>386</v>
      </c>
      <c r="D252" s="494" t="s">
        <v>348</v>
      </c>
      <c r="E252" s="8">
        <v>1</v>
      </c>
      <c r="F252" s="8">
        <v>6</v>
      </c>
      <c r="G252" s="494"/>
      <c r="H252" s="494"/>
      <c r="I252" s="494"/>
      <c r="J252" s="494"/>
    </row>
    <row r="253" spans="1:10">
      <c r="A253" s="331">
        <v>44142</v>
      </c>
      <c r="B253" s="8">
        <v>11</v>
      </c>
      <c r="C253" s="494" t="s">
        <v>386</v>
      </c>
      <c r="D253" s="494" t="s">
        <v>348</v>
      </c>
      <c r="E253" s="8"/>
      <c r="F253" s="8"/>
      <c r="G253" s="494"/>
      <c r="H253" s="494"/>
      <c r="I253" s="494"/>
      <c r="J253" s="494"/>
    </row>
    <row r="254" spans="1:10">
      <c r="A254" s="331">
        <v>44144</v>
      </c>
      <c r="B254" s="8">
        <v>11</v>
      </c>
      <c r="C254" s="494" t="s">
        <v>386</v>
      </c>
      <c r="D254" s="494"/>
      <c r="E254" s="8"/>
      <c r="F254" s="8"/>
      <c r="G254" s="494" t="s">
        <v>408</v>
      </c>
      <c r="H254" s="494"/>
      <c r="I254" s="494"/>
      <c r="J254" s="494"/>
    </row>
    <row r="255" spans="1:10">
      <c r="A255" s="331">
        <v>44142</v>
      </c>
      <c r="B255" s="8">
        <v>12</v>
      </c>
      <c r="C255" s="494" t="s">
        <v>405</v>
      </c>
      <c r="D255" s="494" t="s">
        <v>348</v>
      </c>
      <c r="E255" s="8"/>
      <c r="F255" s="8"/>
      <c r="G255" s="494"/>
      <c r="H255" s="494"/>
      <c r="I255" s="494"/>
      <c r="J255" s="494"/>
    </row>
    <row r="256" spans="1:10">
      <c r="A256" s="331">
        <v>44144</v>
      </c>
      <c r="B256" s="8">
        <v>12</v>
      </c>
      <c r="C256" s="494" t="s">
        <v>405</v>
      </c>
      <c r="D256" s="494" t="s">
        <v>348</v>
      </c>
      <c r="E256" s="8">
        <v>5</v>
      </c>
      <c r="F256" s="8">
        <v>6</v>
      </c>
      <c r="G256" s="494"/>
      <c r="H256" s="494"/>
      <c r="I256" s="494"/>
      <c r="J256" s="494"/>
    </row>
    <row r="257" spans="1:10">
      <c r="A257" s="331">
        <v>44145</v>
      </c>
      <c r="B257" s="8">
        <v>14</v>
      </c>
      <c r="C257" s="494" t="s">
        <v>405</v>
      </c>
      <c r="D257" s="494" t="s">
        <v>148</v>
      </c>
      <c r="E257" s="8">
        <v>5</v>
      </c>
      <c r="F257" s="8">
        <v>10</v>
      </c>
      <c r="G257" s="494"/>
      <c r="H257" s="494"/>
      <c r="I257" s="494"/>
      <c r="J257" s="494"/>
    </row>
    <row r="258" spans="1:10">
      <c r="A258" s="331">
        <v>44148</v>
      </c>
      <c r="B258" s="8">
        <v>8</v>
      </c>
      <c r="C258" s="494" t="s">
        <v>405</v>
      </c>
      <c r="D258" s="494" t="s">
        <v>152</v>
      </c>
      <c r="E258" s="8">
        <v>40</v>
      </c>
      <c r="F258" s="8" t="s">
        <v>411</v>
      </c>
      <c r="G258" s="494" t="s">
        <v>427</v>
      </c>
      <c r="H258" s="494"/>
      <c r="I258" s="494"/>
      <c r="J258" s="494"/>
    </row>
    <row r="259" spans="1:10">
      <c r="A259" s="331">
        <v>44154</v>
      </c>
      <c r="B259" s="8">
        <v>9</v>
      </c>
      <c r="C259" s="494" t="s">
        <v>405</v>
      </c>
      <c r="D259" s="494" t="s">
        <v>146</v>
      </c>
      <c r="E259" s="8">
        <v>1</v>
      </c>
      <c r="F259" s="8">
        <v>6</v>
      </c>
      <c r="G259" s="494" t="s">
        <v>438</v>
      </c>
      <c r="H259" s="494"/>
      <c r="I259" s="494"/>
      <c r="J259" s="494"/>
    </row>
    <row r="260" spans="1:10">
      <c r="A260" s="331">
        <v>44155</v>
      </c>
      <c r="B260" s="8">
        <v>7</v>
      </c>
      <c r="C260" s="494" t="s">
        <v>405</v>
      </c>
      <c r="D260" s="494" t="s">
        <v>148</v>
      </c>
      <c r="E260" s="8">
        <v>5</v>
      </c>
      <c r="F260" s="8">
        <v>6</v>
      </c>
      <c r="G260" s="494"/>
      <c r="H260" s="494"/>
      <c r="I260" s="494"/>
      <c r="J260" s="494"/>
    </row>
    <row r="261" spans="1:10">
      <c r="A261" s="331">
        <v>44157</v>
      </c>
      <c r="B261" s="8">
        <v>7</v>
      </c>
      <c r="C261" s="494" t="s">
        <v>405</v>
      </c>
      <c r="D261" s="494" t="s">
        <v>348</v>
      </c>
      <c r="E261" s="8">
        <v>5</v>
      </c>
      <c r="F261" s="8">
        <v>6</v>
      </c>
      <c r="G261" s="494"/>
      <c r="H261" s="494"/>
      <c r="I261" s="494"/>
      <c r="J261" s="494"/>
    </row>
    <row r="262" spans="1:10">
      <c r="A262" s="331">
        <v>44158</v>
      </c>
      <c r="B262" s="8">
        <v>10</v>
      </c>
      <c r="C262" s="494" t="s">
        <v>405</v>
      </c>
      <c r="D262" s="494" t="s">
        <v>148</v>
      </c>
      <c r="E262" s="8"/>
      <c r="F262" s="8"/>
      <c r="G262" s="494" t="s">
        <v>449</v>
      </c>
      <c r="H262" s="494"/>
      <c r="I262" s="494"/>
      <c r="J262" s="494"/>
    </row>
    <row r="263" spans="1:10">
      <c r="A263" s="331">
        <v>44164</v>
      </c>
      <c r="B263" s="8">
        <v>11</v>
      </c>
      <c r="C263" s="494" t="s">
        <v>405</v>
      </c>
      <c r="D263" s="494" t="s">
        <v>276</v>
      </c>
      <c r="E263" s="8">
        <v>1</v>
      </c>
      <c r="F263" s="8"/>
      <c r="G263" s="494"/>
      <c r="H263" s="494"/>
      <c r="I263" s="494"/>
      <c r="J263" s="494"/>
    </row>
    <row r="264" spans="1:10">
      <c r="A264" s="331">
        <v>44168</v>
      </c>
      <c r="B264" s="8">
        <v>9</v>
      </c>
      <c r="C264" s="494" t="s">
        <v>405</v>
      </c>
      <c r="D264" s="494" t="s">
        <v>440</v>
      </c>
      <c r="E264" s="8"/>
      <c r="F264" s="8"/>
      <c r="G264" s="494" t="s">
        <v>457</v>
      </c>
      <c r="H264" s="494"/>
      <c r="I264" s="494"/>
      <c r="J264" s="494"/>
    </row>
    <row r="265" spans="1:10">
      <c r="A265" s="331">
        <v>44207</v>
      </c>
      <c r="B265" s="8">
        <v>14</v>
      </c>
      <c r="C265" s="494" t="s">
        <v>405</v>
      </c>
      <c r="D265" s="494" t="s">
        <v>146</v>
      </c>
      <c r="E265" s="8">
        <v>1</v>
      </c>
      <c r="F265" s="8">
        <v>6</v>
      </c>
      <c r="G265" s="494"/>
      <c r="H265" s="494"/>
      <c r="I265" s="494" t="s">
        <v>469</v>
      </c>
      <c r="J265" s="494" t="s">
        <v>470</v>
      </c>
    </row>
    <row r="266" spans="1:10">
      <c r="A266" s="331">
        <v>44208</v>
      </c>
      <c r="B266" s="8">
        <v>12</v>
      </c>
      <c r="C266" s="494" t="s">
        <v>405</v>
      </c>
      <c r="D266" s="494" t="s">
        <v>348</v>
      </c>
      <c r="E266" s="8">
        <v>1</v>
      </c>
      <c r="F266" s="8">
        <v>6</v>
      </c>
      <c r="G266" s="494"/>
      <c r="H266" s="494"/>
      <c r="I266" s="494" t="s">
        <v>469</v>
      </c>
      <c r="J266" s="494" t="s">
        <v>470</v>
      </c>
    </row>
    <row r="267" spans="1:10">
      <c r="A267" s="331">
        <v>44209</v>
      </c>
      <c r="B267" s="8">
        <v>15</v>
      </c>
      <c r="C267" s="494" t="s">
        <v>405</v>
      </c>
      <c r="D267" s="494" t="s">
        <v>148</v>
      </c>
      <c r="E267" s="8"/>
      <c r="F267" s="8"/>
      <c r="G267" s="494" t="s">
        <v>499</v>
      </c>
      <c r="H267" s="494"/>
      <c r="I267" s="494" t="s">
        <v>506</v>
      </c>
      <c r="J267" s="494" t="s">
        <v>507</v>
      </c>
    </row>
    <row r="268" spans="1:10">
      <c r="A268" s="331">
        <v>44209</v>
      </c>
      <c r="B268" s="8">
        <v>20</v>
      </c>
      <c r="C268" s="494" t="s">
        <v>405</v>
      </c>
      <c r="D268" s="494" t="s">
        <v>440</v>
      </c>
      <c r="E268" s="8"/>
      <c r="F268" s="8"/>
      <c r="G268" s="494" t="s">
        <v>500</v>
      </c>
      <c r="H268" s="494"/>
      <c r="I268" s="494" t="s">
        <v>506</v>
      </c>
      <c r="J268" s="494" t="s">
        <v>507</v>
      </c>
    </row>
    <row r="269" spans="1:10">
      <c r="A269" s="331">
        <v>44212</v>
      </c>
      <c r="B269" s="8">
        <v>10</v>
      </c>
      <c r="C269" s="494" t="s">
        <v>405</v>
      </c>
      <c r="D269" s="494" t="s">
        <v>146</v>
      </c>
      <c r="E269" s="8">
        <v>1</v>
      </c>
      <c r="F269" s="8">
        <v>6</v>
      </c>
      <c r="G269" s="494" t="s">
        <v>509</v>
      </c>
      <c r="H269" s="494"/>
      <c r="I269" s="494" t="s">
        <v>469</v>
      </c>
      <c r="J269" s="494" t="s">
        <v>470</v>
      </c>
    </row>
    <row r="270" spans="1:10">
      <c r="A270" s="331">
        <v>44214</v>
      </c>
      <c r="B270" s="8">
        <v>14</v>
      </c>
      <c r="C270" s="494" t="s">
        <v>405</v>
      </c>
      <c r="D270" s="494" t="s">
        <v>148</v>
      </c>
      <c r="E270" s="8">
        <v>1</v>
      </c>
      <c r="F270" s="8">
        <v>6</v>
      </c>
      <c r="G270" s="494" t="s">
        <v>502</v>
      </c>
      <c r="H270" s="494"/>
      <c r="I270" s="494" t="s">
        <v>469</v>
      </c>
      <c r="J270" s="494" t="s">
        <v>470</v>
      </c>
    </row>
    <row r="271" spans="1:10">
      <c r="A271" s="331">
        <v>44216</v>
      </c>
      <c r="B271" s="8">
        <v>13</v>
      </c>
      <c r="C271" s="494" t="s">
        <v>405</v>
      </c>
      <c r="D271" s="494" t="s">
        <v>348</v>
      </c>
      <c r="E271" s="8">
        <v>1</v>
      </c>
      <c r="F271" s="8">
        <v>6</v>
      </c>
      <c r="G271" s="494"/>
      <c r="H271" s="494"/>
      <c r="I271" s="494" t="s">
        <v>469</v>
      </c>
      <c r="J271" s="494" t="s">
        <v>470</v>
      </c>
    </row>
    <row r="272" spans="1:10">
      <c r="A272" s="331">
        <v>44217</v>
      </c>
      <c r="B272" s="8">
        <v>12</v>
      </c>
      <c r="C272" s="494" t="s">
        <v>405</v>
      </c>
      <c r="D272" s="494" t="s">
        <v>148</v>
      </c>
      <c r="E272" s="8"/>
      <c r="F272" s="8"/>
      <c r="G272" s="494" t="s">
        <v>503</v>
      </c>
      <c r="H272" s="494"/>
      <c r="I272" s="494" t="s">
        <v>469</v>
      </c>
      <c r="J272" s="494" t="s">
        <v>470</v>
      </c>
    </row>
    <row r="273" spans="1:10">
      <c r="A273" s="331">
        <v>44233</v>
      </c>
      <c r="B273" s="8">
        <v>8</v>
      </c>
      <c r="C273" s="494" t="s">
        <v>405</v>
      </c>
      <c r="D273" s="494" t="s">
        <v>146</v>
      </c>
      <c r="E273" s="8">
        <v>1</v>
      </c>
      <c r="F273" s="8">
        <v>6</v>
      </c>
      <c r="G273" s="494" t="s">
        <v>543</v>
      </c>
      <c r="H273" s="494"/>
      <c r="I273" s="494" t="s">
        <v>469</v>
      </c>
      <c r="J273" s="494" t="s">
        <v>552</v>
      </c>
    </row>
    <row r="274" spans="1:10">
      <c r="A274" s="331">
        <v>44235</v>
      </c>
      <c r="B274" s="8">
        <v>12</v>
      </c>
      <c r="C274" s="494" t="s">
        <v>405</v>
      </c>
      <c r="D274" s="494" t="s">
        <v>276</v>
      </c>
      <c r="E274" s="8"/>
      <c r="F274" s="8"/>
      <c r="G274" s="494" t="s">
        <v>544</v>
      </c>
      <c r="H274" s="494"/>
      <c r="I274" s="494" t="s">
        <v>469</v>
      </c>
      <c r="J274" s="494" t="s">
        <v>470</v>
      </c>
    </row>
    <row r="275" spans="1:10">
      <c r="A275" s="331">
        <v>43890</v>
      </c>
      <c r="B275" s="8">
        <v>13</v>
      </c>
      <c r="C275" s="494" t="s">
        <v>298</v>
      </c>
      <c r="D275" s="494" t="s">
        <v>148</v>
      </c>
      <c r="E275" s="8">
        <v>1</v>
      </c>
      <c r="F275" s="8">
        <v>24</v>
      </c>
      <c r="G275" s="494"/>
      <c r="H275" s="494"/>
      <c r="I275" s="494"/>
      <c r="J275" s="494"/>
    </row>
    <row r="276" spans="1:10">
      <c r="A276" s="331">
        <v>43891</v>
      </c>
      <c r="B276" s="8">
        <v>11</v>
      </c>
      <c r="C276" s="494" t="s">
        <v>298</v>
      </c>
      <c r="D276" s="494" t="s">
        <v>153</v>
      </c>
      <c r="E276" s="8">
        <v>1</v>
      </c>
      <c r="F276" s="8">
        <v>24</v>
      </c>
      <c r="G276" s="494"/>
      <c r="H276" s="494"/>
      <c r="I276" s="494"/>
      <c r="J276" s="494"/>
    </row>
    <row r="277" spans="1:10">
      <c r="A277" s="331">
        <v>43893</v>
      </c>
      <c r="B277" s="8">
        <v>9</v>
      </c>
      <c r="C277" s="494" t="s">
        <v>298</v>
      </c>
      <c r="D277" s="494" t="s">
        <v>147</v>
      </c>
      <c r="E277" s="8">
        <v>1</v>
      </c>
      <c r="F277" s="8">
        <v>24</v>
      </c>
      <c r="G277" s="494"/>
      <c r="H277" s="494"/>
      <c r="I277" s="494"/>
      <c r="J277" s="494"/>
    </row>
    <row r="278" spans="1:10">
      <c r="A278" s="331">
        <v>43893</v>
      </c>
      <c r="B278" s="8">
        <v>13</v>
      </c>
      <c r="C278" s="494" t="s">
        <v>298</v>
      </c>
      <c r="D278" s="494" t="s">
        <v>148</v>
      </c>
      <c r="E278" s="8">
        <v>1</v>
      </c>
      <c r="F278" s="8">
        <v>6</v>
      </c>
      <c r="G278" s="494"/>
      <c r="H278" s="494"/>
      <c r="I278" s="494"/>
      <c r="J278" s="494"/>
    </row>
    <row r="279" spans="1:10">
      <c r="A279" s="331">
        <v>43894</v>
      </c>
      <c r="B279" s="8">
        <v>9</v>
      </c>
      <c r="C279" s="494" t="s">
        <v>298</v>
      </c>
      <c r="D279" s="494" t="s">
        <v>153</v>
      </c>
      <c r="E279" s="8">
        <v>1</v>
      </c>
      <c r="F279" s="8">
        <v>6</v>
      </c>
      <c r="G279" s="494"/>
      <c r="H279" s="494"/>
      <c r="I279" s="494"/>
      <c r="J279" s="494"/>
    </row>
    <row r="280" spans="1:10">
      <c r="A280" s="331">
        <v>43897</v>
      </c>
      <c r="B280" s="8">
        <v>9</v>
      </c>
      <c r="C280" s="494" t="s">
        <v>298</v>
      </c>
      <c r="D280" s="494" t="s">
        <v>148</v>
      </c>
      <c r="E280" s="8">
        <v>5</v>
      </c>
      <c r="F280" s="8">
        <v>6</v>
      </c>
      <c r="G280" s="494"/>
      <c r="H280" s="494"/>
      <c r="I280" s="494"/>
      <c r="J280" s="494"/>
    </row>
    <row r="281" spans="1:10">
      <c r="A281" s="331">
        <v>43900</v>
      </c>
      <c r="B281" s="8">
        <v>8</v>
      </c>
      <c r="C281" s="494" t="s">
        <v>298</v>
      </c>
      <c r="D281" s="494" t="s">
        <v>152</v>
      </c>
      <c r="E281" s="8"/>
      <c r="F281" s="8"/>
      <c r="G281" s="494" t="s">
        <v>272</v>
      </c>
      <c r="H281" s="494"/>
      <c r="I281" s="494"/>
      <c r="J281" s="494"/>
    </row>
    <row r="282" spans="1:10">
      <c r="A282" s="331">
        <v>43900</v>
      </c>
      <c r="B282" s="8">
        <v>11</v>
      </c>
      <c r="C282" s="494" t="s">
        <v>298</v>
      </c>
      <c r="D282" s="494" t="s">
        <v>154</v>
      </c>
      <c r="E282" s="8">
        <v>1</v>
      </c>
      <c r="F282" s="8">
        <v>96</v>
      </c>
      <c r="G282" s="494"/>
      <c r="H282" s="494" t="s">
        <v>260</v>
      </c>
      <c r="I282" s="494"/>
      <c r="J282" s="494"/>
    </row>
    <row r="283" spans="1:10">
      <c r="A283" s="331">
        <v>43901</v>
      </c>
      <c r="B283" s="8">
        <v>8</v>
      </c>
      <c r="C283" s="494" t="s">
        <v>298</v>
      </c>
      <c r="D283" s="494" t="s">
        <v>153</v>
      </c>
      <c r="E283" s="8">
        <v>1</v>
      </c>
      <c r="F283" s="8">
        <v>96</v>
      </c>
      <c r="G283" s="494"/>
      <c r="H283" s="494"/>
      <c r="I283" s="494"/>
      <c r="J283" s="494"/>
    </row>
    <row r="284" spans="1:10">
      <c r="A284" s="331">
        <v>43901</v>
      </c>
      <c r="B284" s="8">
        <v>11</v>
      </c>
      <c r="C284" s="494" t="s">
        <v>303</v>
      </c>
      <c r="D284" s="494" t="s">
        <v>147</v>
      </c>
      <c r="E284" s="8"/>
      <c r="F284" s="8"/>
      <c r="G284" s="494"/>
      <c r="H284" s="494"/>
      <c r="I284" s="494"/>
      <c r="J284" s="494"/>
    </row>
    <row r="285" spans="1:10">
      <c r="A285" s="331">
        <v>43903</v>
      </c>
      <c r="B285" s="8">
        <v>8</v>
      </c>
      <c r="C285" s="494" t="s">
        <v>303</v>
      </c>
      <c r="D285" s="494" t="s">
        <v>147</v>
      </c>
      <c r="E285" s="8">
        <v>1</v>
      </c>
      <c r="F285" s="8">
        <v>96</v>
      </c>
      <c r="G285" s="494"/>
      <c r="H285" s="494"/>
      <c r="I285" s="494"/>
      <c r="J285" s="494"/>
    </row>
    <row r="286" spans="1:10">
      <c r="A286" s="331">
        <v>43907</v>
      </c>
      <c r="B286" s="8">
        <v>10</v>
      </c>
      <c r="C286" s="494" t="s">
        <v>303</v>
      </c>
      <c r="D286" s="494" t="s">
        <v>147</v>
      </c>
      <c r="E286" s="8">
        <v>1</v>
      </c>
      <c r="F286" s="8">
        <v>96</v>
      </c>
      <c r="G286" s="494" t="s">
        <v>308</v>
      </c>
      <c r="H286" s="494"/>
      <c r="I286" s="494"/>
      <c r="J286" s="494"/>
    </row>
    <row r="287" spans="1:10">
      <c r="A287" s="331">
        <v>43909</v>
      </c>
      <c r="B287" s="8">
        <v>12</v>
      </c>
      <c r="C287" s="494" t="s">
        <v>303</v>
      </c>
      <c r="D287" s="494" t="s">
        <v>417</v>
      </c>
      <c r="E287" s="8"/>
      <c r="F287" s="8"/>
      <c r="G287" s="494" t="s">
        <v>435</v>
      </c>
      <c r="H287" s="494"/>
      <c r="I287" s="494"/>
      <c r="J287" s="494"/>
    </row>
    <row r="288" spans="1:10">
      <c r="A288" s="331">
        <v>43890</v>
      </c>
      <c r="B288" s="8">
        <v>15</v>
      </c>
      <c r="C288" s="494" t="s">
        <v>300</v>
      </c>
      <c r="D288" s="494" t="s">
        <v>148</v>
      </c>
      <c r="E288" s="8">
        <v>1</v>
      </c>
      <c r="F288" s="8">
        <v>24</v>
      </c>
      <c r="G288" s="494"/>
      <c r="H288" s="494"/>
      <c r="I288" s="494"/>
      <c r="J288" s="494"/>
    </row>
    <row r="289" spans="1:10">
      <c r="A289" s="331">
        <v>43891</v>
      </c>
      <c r="B289" s="8">
        <v>13</v>
      </c>
      <c r="C289" s="494" t="s">
        <v>300</v>
      </c>
      <c r="D289" s="494" t="s">
        <v>153</v>
      </c>
      <c r="E289" s="8">
        <v>1</v>
      </c>
      <c r="F289" s="8">
        <v>24</v>
      </c>
      <c r="G289" s="494"/>
      <c r="H289" s="494"/>
      <c r="I289" s="494"/>
      <c r="J289" s="494"/>
    </row>
    <row r="290" spans="1:10">
      <c r="A290" s="331">
        <v>43893</v>
      </c>
      <c r="B290" s="8">
        <v>11</v>
      </c>
      <c r="C290" s="494" t="s">
        <v>300</v>
      </c>
      <c r="D290" s="494" t="s">
        <v>147</v>
      </c>
      <c r="E290" s="8">
        <v>1</v>
      </c>
      <c r="F290" s="8">
        <v>24</v>
      </c>
      <c r="G290" s="494"/>
      <c r="H290" s="494"/>
      <c r="I290" s="494"/>
      <c r="J290" s="494"/>
    </row>
    <row r="291" spans="1:10">
      <c r="A291" s="331">
        <v>43893</v>
      </c>
      <c r="B291" s="8">
        <v>15</v>
      </c>
      <c r="C291" s="494" t="s">
        <v>300</v>
      </c>
      <c r="D291" s="494" t="s">
        <v>148</v>
      </c>
      <c r="E291" s="8">
        <v>1</v>
      </c>
      <c r="F291" s="8">
        <v>6</v>
      </c>
      <c r="G291" s="494"/>
      <c r="H291" s="494"/>
      <c r="I291" s="494"/>
      <c r="J291" s="494"/>
    </row>
    <row r="292" spans="1:10">
      <c r="A292" s="331">
        <v>43894</v>
      </c>
      <c r="B292" s="8">
        <v>11</v>
      </c>
      <c r="C292" s="494" t="s">
        <v>300</v>
      </c>
      <c r="D292" s="494" t="s">
        <v>153</v>
      </c>
      <c r="E292" s="8">
        <v>1</v>
      </c>
      <c r="F292" s="8">
        <v>6</v>
      </c>
      <c r="G292" s="494"/>
      <c r="H292" s="494"/>
      <c r="I292" s="494"/>
      <c r="J292" s="494"/>
    </row>
    <row r="293" spans="1:10">
      <c r="A293" s="331">
        <v>43895</v>
      </c>
      <c r="B293" s="8">
        <v>8</v>
      </c>
      <c r="C293" s="494" t="s">
        <v>300</v>
      </c>
      <c r="D293" s="494" t="s">
        <v>148</v>
      </c>
      <c r="E293" s="8">
        <v>5</v>
      </c>
      <c r="F293" s="8">
        <v>6</v>
      </c>
      <c r="G293" s="494"/>
      <c r="H293" s="494"/>
      <c r="I293" s="494"/>
      <c r="J293" s="494"/>
    </row>
    <row r="294" spans="1:10">
      <c r="A294" s="331">
        <v>43896</v>
      </c>
      <c r="B294" s="8">
        <v>8</v>
      </c>
      <c r="C294" s="494" t="s">
        <v>300</v>
      </c>
      <c r="D294" s="494" t="s">
        <v>153</v>
      </c>
      <c r="E294" s="8">
        <v>5</v>
      </c>
      <c r="F294" s="8">
        <v>6</v>
      </c>
      <c r="G294" s="494"/>
      <c r="H294" s="494"/>
      <c r="I294" s="494"/>
      <c r="J294" s="494"/>
    </row>
    <row r="295" spans="1:10">
      <c r="A295" s="331">
        <v>43898</v>
      </c>
      <c r="B295" s="8">
        <v>8</v>
      </c>
      <c r="C295" s="494" t="s">
        <v>300</v>
      </c>
      <c r="D295" s="494" t="s">
        <v>152</v>
      </c>
      <c r="E295" s="8"/>
      <c r="F295" s="8"/>
      <c r="G295" s="494" t="s">
        <v>272</v>
      </c>
      <c r="H295" s="494"/>
      <c r="I295" s="494"/>
      <c r="J295" s="494"/>
    </row>
    <row r="296" spans="1:10">
      <c r="A296" s="331">
        <v>43898</v>
      </c>
      <c r="B296" s="8">
        <v>9</v>
      </c>
      <c r="C296" s="494" t="s">
        <v>300</v>
      </c>
      <c r="D296" s="494" t="s">
        <v>154</v>
      </c>
      <c r="E296" s="8">
        <v>1</v>
      </c>
      <c r="F296" s="8">
        <v>96</v>
      </c>
      <c r="G296" s="494"/>
      <c r="H296" s="494" t="s">
        <v>260</v>
      </c>
      <c r="I296" s="494"/>
      <c r="J296" s="494"/>
    </row>
    <row r="297" spans="1:10">
      <c r="A297" s="331">
        <v>43899</v>
      </c>
      <c r="B297" s="8">
        <v>9</v>
      </c>
      <c r="C297" s="494" t="s">
        <v>301</v>
      </c>
      <c r="D297" s="494" t="s">
        <v>153</v>
      </c>
      <c r="E297" s="8">
        <v>1</v>
      </c>
      <c r="F297" s="8">
        <v>96</v>
      </c>
      <c r="G297" s="494"/>
      <c r="H297" s="494"/>
      <c r="I297" s="494"/>
      <c r="J297" s="494"/>
    </row>
    <row r="298" spans="1:10">
      <c r="A298" s="331">
        <v>43903</v>
      </c>
      <c r="B298" s="8">
        <v>7</v>
      </c>
      <c r="C298" s="494" t="s">
        <v>301</v>
      </c>
      <c r="D298" s="494" t="s">
        <v>147</v>
      </c>
      <c r="E298" s="8">
        <v>1</v>
      </c>
      <c r="F298" s="8">
        <v>96</v>
      </c>
      <c r="G298" s="494" t="s">
        <v>306</v>
      </c>
      <c r="H298" s="494"/>
      <c r="I298" s="494"/>
      <c r="J298" s="494"/>
    </row>
    <row r="299" spans="1:10">
      <c r="A299" s="331">
        <v>43906</v>
      </c>
      <c r="B299" s="8">
        <v>8</v>
      </c>
      <c r="C299" s="494" t="s">
        <v>301</v>
      </c>
      <c r="D299" s="494" t="s">
        <v>147</v>
      </c>
      <c r="E299" s="8">
        <v>1</v>
      </c>
      <c r="F299" s="8">
        <v>96</v>
      </c>
      <c r="G299" s="494" t="s">
        <v>307</v>
      </c>
      <c r="H299" s="494"/>
      <c r="I299" s="494"/>
      <c r="J299" s="494"/>
    </row>
    <row r="300" spans="1:10">
      <c r="A300" s="331">
        <v>43907</v>
      </c>
      <c r="B300" s="8">
        <v>12</v>
      </c>
      <c r="C300" s="494" t="s">
        <v>301</v>
      </c>
      <c r="D300" s="494" t="s">
        <v>147</v>
      </c>
      <c r="E300" s="8">
        <v>1</v>
      </c>
      <c r="F300" s="8">
        <v>96</v>
      </c>
      <c r="G300" s="494" t="s">
        <v>309</v>
      </c>
      <c r="H300" s="494"/>
      <c r="I300" s="494"/>
      <c r="J300" s="494"/>
    </row>
    <row r="301" spans="1:10">
      <c r="A301" s="331">
        <v>43909</v>
      </c>
      <c r="B301" s="8">
        <v>13</v>
      </c>
      <c r="C301" s="494" t="s">
        <v>301</v>
      </c>
      <c r="D301" s="494" t="s">
        <v>417</v>
      </c>
      <c r="E301" s="8"/>
      <c r="F301" s="8"/>
      <c r="G301" s="494" t="s">
        <v>437</v>
      </c>
      <c r="H301" s="494"/>
      <c r="I301" s="494"/>
      <c r="J301" s="494"/>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FDE71-D4C1-4861-B801-3BCD2A8C35CD}">
  <sheetPr codeName="Sheet8" filterMode="1"/>
  <dimension ref="A1:P232"/>
  <sheetViews>
    <sheetView workbookViewId="0">
      <selection activeCell="I87" sqref="I87"/>
    </sheetView>
  </sheetViews>
  <sheetFormatPr defaultRowHeight="14.25"/>
  <cols>
    <col min="1" max="1" width="14.265625" customWidth="1"/>
    <col min="2" max="2" width="30.53125" customWidth="1"/>
    <col min="4" max="4" width="12.19921875" style="8" customWidth="1"/>
    <col min="5" max="5" width="6.46484375" customWidth="1"/>
    <col min="6" max="6" width="5.46484375" customWidth="1"/>
    <col min="7" max="7" width="11.19921875" style="11" customWidth="1"/>
    <col min="8" max="8" width="22.73046875" customWidth="1"/>
    <col min="10" max="10" width="15.53125" customWidth="1"/>
    <col min="11" max="11" width="30.53125" customWidth="1"/>
    <col min="12" max="12" width="10.19921875" customWidth="1"/>
    <col min="13" max="13" width="10.19921875" style="8" customWidth="1"/>
    <col min="14" max="14" width="6.46484375" customWidth="1"/>
  </cols>
  <sheetData>
    <row r="1" spans="1:16" s="11" customFormat="1">
      <c r="A1" s="11" t="s">
        <v>161</v>
      </c>
      <c r="B1" s="11" t="s">
        <v>160</v>
      </c>
      <c r="C1" s="11" t="s">
        <v>151</v>
      </c>
      <c r="D1" s="11" t="s">
        <v>473</v>
      </c>
      <c r="E1" s="11" t="s">
        <v>150</v>
      </c>
      <c r="F1" s="11" t="s">
        <v>158</v>
      </c>
      <c r="G1" s="11" t="s">
        <v>462</v>
      </c>
      <c r="J1" s="11" t="s">
        <v>161</v>
      </c>
      <c r="K1" s="11" t="s">
        <v>160</v>
      </c>
      <c r="L1" s="11" t="s">
        <v>151</v>
      </c>
      <c r="M1" s="11" t="s">
        <v>473</v>
      </c>
      <c r="N1" s="11" t="s">
        <v>150</v>
      </c>
      <c r="O1" s="11" t="s">
        <v>158</v>
      </c>
      <c r="P1" s="11" t="s">
        <v>462</v>
      </c>
    </row>
    <row r="2" spans="1:16">
      <c r="A2" s="362">
        <v>43852</v>
      </c>
      <c r="B2" s="2" t="s">
        <v>257</v>
      </c>
      <c r="C2" s="2" t="s">
        <v>148</v>
      </c>
      <c r="D2" s="364">
        <f>COUNTA(C2)</f>
        <v>1</v>
      </c>
      <c r="E2" s="2">
        <v>1</v>
      </c>
      <c r="F2" s="2">
        <v>24</v>
      </c>
    </row>
    <row r="3" spans="1:16" hidden="1">
      <c r="A3" s="363">
        <v>43853</v>
      </c>
      <c r="B3" s="1" t="s">
        <v>257</v>
      </c>
      <c r="C3" s="1" t="s">
        <v>153</v>
      </c>
      <c r="D3" s="1"/>
      <c r="E3" s="1">
        <v>1</v>
      </c>
      <c r="F3" s="1">
        <v>24</v>
      </c>
      <c r="G3"/>
    </row>
    <row r="4" spans="1:16">
      <c r="A4" s="362">
        <v>43859</v>
      </c>
      <c r="B4" s="2" t="s">
        <v>257</v>
      </c>
      <c r="C4" s="2" t="s">
        <v>148</v>
      </c>
      <c r="D4" s="364">
        <f>COUNTA(C4)</f>
        <v>1</v>
      </c>
      <c r="E4" s="2">
        <v>1</v>
      </c>
      <c r="F4" s="2">
        <v>6</v>
      </c>
    </row>
    <row r="5" spans="1:16" hidden="1">
      <c r="A5" s="363">
        <v>43860</v>
      </c>
      <c r="B5" s="1" t="s">
        <v>257</v>
      </c>
      <c r="C5" s="1" t="s">
        <v>153</v>
      </c>
      <c r="D5" s="1"/>
      <c r="E5" s="1">
        <v>1</v>
      </c>
      <c r="F5" s="1">
        <v>6</v>
      </c>
      <c r="G5"/>
    </row>
    <row r="6" spans="1:16">
      <c r="A6" s="362">
        <v>43864</v>
      </c>
      <c r="B6" s="2" t="s">
        <v>257</v>
      </c>
      <c r="C6" s="2" t="s">
        <v>148</v>
      </c>
      <c r="D6" s="364">
        <f>COUNTA(C6)</f>
        <v>1</v>
      </c>
      <c r="E6" s="2">
        <v>5</v>
      </c>
      <c r="F6" s="2">
        <v>6</v>
      </c>
    </row>
    <row r="7" spans="1:16" hidden="1">
      <c r="A7" s="363">
        <v>43865</v>
      </c>
      <c r="B7" s="1" t="s">
        <v>257</v>
      </c>
      <c r="C7" s="1" t="s">
        <v>153</v>
      </c>
      <c r="D7" s="1"/>
      <c r="E7" s="1">
        <v>5</v>
      </c>
      <c r="F7" s="1">
        <v>6</v>
      </c>
      <c r="G7"/>
    </row>
    <row r="8" spans="1:16" hidden="1">
      <c r="A8" s="362">
        <v>43867</v>
      </c>
      <c r="B8" s="2" t="s">
        <v>257</v>
      </c>
      <c r="C8" s="2" t="s">
        <v>154</v>
      </c>
      <c r="D8" s="2"/>
      <c r="E8" s="2">
        <v>1</v>
      </c>
      <c r="F8" s="2">
        <v>96</v>
      </c>
      <c r="G8"/>
    </row>
    <row r="9" spans="1:16" hidden="1">
      <c r="A9" s="363">
        <v>43868</v>
      </c>
      <c r="B9" s="1" t="s">
        <v>268</v>
      </c>
      <c r="C9" s="1" t="s">
        <v>153</v>
      </c>
      <c r="D9" s="1"/>
      <c r="E9" s="1">
        <v>1</v>
      </c>
      <c r="F9" s="1">
        <v>96</v>
      </c>
      <c r="G9"/>
    </row>
    <row r="10" spans="1:16">
      <c r="A10" s="362">
        <v>43871</v>
      </c>
      <c r="B10" s="2" t="s">
        <v>268</v>
      </c>
      <c r="C10" s="2" t="s">
        <v>148</v>
      </c>
      <c r="D10" s="364">
        <f>COUNTA(C10)</f>
        <v>1</v>
      </c>
      <c r="E10" s="2">
        <v>1</v>
      </c>
      <c r="F10" s="2">
        <v>24</v>
      </c>
    </row>
    <row r="11" spans="1:16" hidden="1">
      <c r="A11" s="363">
        <v>43871</v>
      </c>
      <c r="B11" s="1" t="s">
        <v>268</v>
      </c>
      <c r="C11" s="1" t="s">
        <v>147</v>
      </c>
      <c r="D11" s="1"/>
      <c r="E11" s="1">
        <v>1</v>
      </c>
      <c r="F11" s="1">
        <v>96</v>
      </c>
      <c r="G11"/>
    </row>
    <row r="12" spans="1:16" hidden="1">
      <c r="A12" s="362">
        <v>43872</v>
      </c>
      <c r="B12" s="2" t="s">
        <v>268</v>
      </c>
      <c r="C12" s="2" t="s">
        <v>153</v>
      </c>
      <c r="D12" s="2"/>
      <c r="E12" s="2">
        <v>1</v>
      </c>
      <c r="F12" s="2">
        <v>24</v>
      </c>
      <c r="G12"/>
    </row>
    <row r="13" spans="1:16">
      <c r="A13" s="363">
        <v>43874</v>
      </c>
      <c r="B13" s="1" t="s">
        <v>268</v>
      </c>
      <c r="C13" s="1" t="s">
        <v>148</v>
      </c>
      <c r="D13" s="365">
        <f>COUNTA(C13)</f>
        <v>1</v>
      </c>
      <c r="E13" s="1">
        <v>1</v>
      </c>
      <c r="F13" s="1">
        <v>6</v>
      </c>
    </row>
    <row r="14" spans="1:16" hidden="1">
      <c r="A14" s="362">
        <v>43875</v>
      </c>
      <c r="B14" s="2" t="s">
        <v>268</v>
      </c>
      <c r="C14" s="2" t="s">
        <v>153</v>
      </c>
      <c r="D14" s="2"/>
      <c r="E14" s="2">
        <v>1</v>
      </c>
      <c r="F14" s="2">
        <v>6</v>
      </c>
      <c r="G14"/>
    </row>
    <row r="15" spans="1:16">
      <c r="A15" s="363">
        <v>43877</v>
      </c>
      <c r="B15" s="1" t="s">
        <v>268</v>
      </c>
      <c r="C15" s="1" t="s">
        <v>148</v>
      </c>
      <c r="D15" s="365">
        <f>COUNTA(C15)</f>
        <v>1</v>
      </c>
      <c r="E15" s="1">
        <v>5</v>
      </c>
      <c r="F15" s="1">
        <v>6</v>
      </c>
    </row>
    <row r="16" spans="1:16" hidden="1">
      <c r="A16" s="362">
        <v>43878</v>
      </c>
      <c r="B16" s="2" t="s">
        <v>268</v>
      </c>
      <c r="C16" s="2" t="s">
        <v>153</v>
      </c>
      <c r="D16" s="2"/>
      <c r="E16" s="2">
        <v>5</v>
      </c>
      <c r="F16" s="2">
        <v>6</v>
      </c>
      <c r="G16"/>
    </row>
    <row r="17" spans="1:7" hidden="1">
      <c r="A17" s="363">
        <v>43880</v>
      </c>
      <c r="B17" s="1" t="s">
        <v>268</v>
      </c>
      <c r="C17" s="1" t="s">
        <v>152</v>
      </c>
      <c r="D17" s="1"/>
      <c r="E17" s="1"/>
      <c r="F17" s="1"/>
      <c r="G17"/>
    </row>
    <row r="18" spans="1:7" hidden="1">
      <c r="A18" s="362">
        <v>43880</v>
      </c>
      <c r="B18" s="2" t="s">
        <v>268</v>
      </c>
      <c r="C18" s="2" t="s">
        <v>154</v>
      </c>
      <c r="D18" s="2"/>
      <c r="E18" s="2">
        <v>1</v>
      </c>
      <c r="F18" s="2">
        <v>96</v>
      </c>
      <c r="G18"/>
    </row>
    <row r="19" spans="1:7" hidden="1">
      <c r="A19" s="363">
        <v>43881</v>
      </c>
      <c r="B19" s="1" t="s">
        <v>274</v>
      </c>
      <c r="C19" s="1" t="s">
        <v>153</v>
      </c>
      <c r="D19" s="1"/>
      <c r="E19" s="1">
        <v>1</v>
      </c>
      <c r="F19" s="1">
        <v>96</v>
      </c>
      <c r="G19"/>
    </row>
    <row r="20" spans="1:7" hidden="1">
      <c r="A20" s="362">
        <v>43884</v>
      </c>
      <c r="B20" s="2" t="s">
        <v>274</v>
      </c>
      <c r="C20" s="2" t="s">
        <v>147</v>
      </c>
      <c r="D20" s="2"/>
      <c r="E20" s="2">
        <v>1</v>
      </c>
      <c r="F20" s="2">
        <v>96</v>
      </c>
      <c r="G20"/>
    </row>
    <row r="21" spans="1:7">
      <c r="A21" s="363">
        <v>43885</v>
      </c>
      <c r="B21" s="1" t="s">
        <v>274</v>
      </c>
      <c r="C21" s="1" t="s">
        <v>148</v>
      </c>
      <c r="D21" s="365">
        <f>COUNTA(C21)</f>
        <v>1</v>
      </c>
      <c r="E21" s="1">
        <v>1</v>
      </c>
      <c r="F21" s="1">
        <v>12</v>
      </c>
    </row>
    <row r="22" spans="1:7" hidden="1">
      <c r="A22" s="362">
        <v>43886</v>
      </c>
      <c r="B22" s="2" t="s">
        <v>274</v>
      </c>
      <c r="C22" s="2" t="s">
        <v>153</v>
      </c>
      <c r="D22" s="2"/>
      <c r="E22" s="2">
        <v>1</v>
      </c>
      <c r="F22" s="2">
        <v>12</v>
      </c>
      <c r="G22"/>
    </row>
    <row r="23" spans="1:7">
      <c r="A23" s="363">
        <v>43889</v>
      </c>
      <c r="B23" s="1" t="s">
        <v>274</v>
      </c>
      <c r="C23" s="1" t="s">
        <v>148</v>
      </c>
      <c r="D23" s="365">
        <f>COUNTA(C23)</f>
        <v>1</v>
      </c>
      <c r="E23" s="1">
        <v>1</v>
      </c>
      <c r="F23" s="1">
        <v>6</v>
      </c>
    </row>
    <row r="24" spans="1:7" hidden="1">
      <c r="A24" s="362">
        <v>43890</v>
      </c>
      <c r="B24" s="2" t="s">
        <v>274</v>
      </c>
      <c r="C24" s="2" t="s">
        <v>153</v>
      </c>
      <c r="D24" s="2"/>
      <c r="E24" s="2">
        <v>1</v>
      </c>
      <c r="F24" s="2">
        <v>6</v>
      </c>
      <c r="G24"/>
    </row>
    <row r="25" spans="1:7" hidden="1">
      <c r="A25" s="363">
        <v>43892</v>
      </c>
      <c r="B25" s="1" t="s">
        <v>274</v>
      </c>
      <c r="C25" s="1" t="s">
        <v>153</v>
      </c>
      <c r="D25" s="1"/>
      <c r="E25" s="1">
        <v>5</v>
      </c>
      <c r="F25" s="1">
        <v>6</v>
      </c>
      <c r="G25"/>
    </row>
    <row r="26" spans="1:7" hidden="1">
      <c r="A26" s="362">
        <v>43899</v>
      </c>
      <c r="B26" s="2" t="s">
        <v>274</v>
      </c>
      <c r="C26" s="2" t="s">
        <v>152</v>
      </c>
      <c r="D26" s="2"/>
      <c r="E26" s="2"/>
      <c r="F26" s="2"/>
      <c r="G26"/>
    </row>
    <row r="27" spans="1:7">
      <c r="A27" s="363">
        <v>44061</v>
      </c>
      <c r="B27" s="1" t="s">
        <v>274</v>
      </c>
      <c r="C27" s="1" t="s">
        <v>146</v>
      </c>
      <c r="D27" s="365">
        <f>COUNTA(C27)</f>
        <v>1</v>
      </c>
      <c r="E27" s="1">
        <v>1</v>
      </c>
      <c r="F27" s="1">
        <v>6</v>
      </c>
    </row>
    <row r="28" spans="1:7" hidden="1">
      <c r="A28" s="362">
        <v>44062</v>
      </c>
      <c r="B28" s="2" t="s">
        <v>274</v>
      </c>
      <c r="C28" s="2" t="s">
        <v>338</v>
      </c>
      <c r="D28" s="2"/>
      <c r="E28" s="2">
        <v>1</v>
      </c>
      <c r="F28" s="2">
        <v>6</v>
      </c>
      <c r="G28"/>
    </row>
    <row r="29" spans="1:7" hidden="1">
      <c r="A29" s="363">
        <v>44064</v>
      </c>
      <c r="B29" s="1" t="s">
        <v>274</v>
      </c>
      <c r="C29" s="1" t="s">
        <v>147</v>
      </c>
      <c r="D29" s="1"/>
      <c r="E29" s="1">
        <v>1</v>
      </c>
      <c r="F29" s="1">
        <v>6</v>
      </c>
      <c r="G29"/>
    </row>
    <row r="30" spans="1:7" hidden="1">
      <c r="A30" s="362">
        <v>44064</v>
      </c>
      <c r="B30" s="2" t="s">
        <v>274</v>
      </c>
      <c r="C30" s="2" t="s">
        <v>348</v>
      </c>
      <c r="D30" s="2"/>
      <c r="E30" s="2"/>
      <c r="F30" s="2"/>
      <c r="G30"/>
    </row>
    <row r="31" spans="1:7">
      <c r="A31" s="363">
        <v>44065</v>
      </c>
      <c r="B31" s="1" t="s">
        <v>274</v>
      </c>
      <c r="C31" s="1" t="s">
        <v>148</v>
      </c>
      <c r="D31" s="365">
        <f>COUNTA(C31)</f>
        <v>1</v>
      </c>
      <c r="E31" s="1">
        <v>1</v>
      </c>
      <c r="F31" s="1">
        <v>6</v>
      </c>
    </row>
    <row r="32" spans="1:7" hidden="1">
      <c r="A32" s="362">
        <v>44066</v>
      </c>
      <c r="B32" s="2" t="s">
        <v>274</v>
      </c>
      <c r="C32" s="2" t="s">
        <v>338</v>
      </c>
      <c r="D32" s="2"/>
      <c r="E32" s="2">
        <v>1</v>
      </c>
      <c r="F32" s="2">
        <v>6</v>
      </c>
      <c r="G32"/>
    </row>
    <row r="33" spans="1:7" hidden="1">
      <c r="A33" s="363">
        <v>44067</v>
      </c>
      <c r="B33" s="1" t="s">
        <v>274</v>
      </c>
      <c r="C33" s="1" t="s">
        <v>348</v>
      </c>
      <c r="D33" s="1"/>
      <c r="E33" s="1"/>
      <c r="F33" s="1"/>
      <c r="G33"/>
    </row>
    <row r="34" spans="1:7" hidden="1">
      <c r="A34" s="362">
        <v>44068</v>
      </c>
      <c r="B34" s="2" t="s">
        <v>274</v>
      </c>
      <c r="C34" s="2" t="s">
        <v>154</v>
      </c>
      <c r="D34" s="2"/>
      <c r="E34" s="2">
        <v>1</v>
      </c>
      <c r="F34" s="2">
        <v>96</v>
      </c>
      <c r="G34"/>
    </row>
    <row r="35" spans="1:7">
      <c r="A35" s="363">
        <v>44068</v>
      </c>
      <c r="B35" s="1" t="s">
        <v>274</v>
      </c>
      <c r="C35" s="1" t="s">
        <v>148</v>
      </c>
      <c r="D35" s="365">
        <f>COUNTA(C35)</f>
        <v>1</v>
      </c>
      <c r="E35" s="1">
        <v>1</v>
      </c>
      <c r="F35" s="1">
        <v>6</v>
      </c>
    </row>
    <row r="36" spans="1:7" hidden="1">
      <c r="A36" s="362">
        <v>44069</v>
      </c>
      <c r="B36" s="2" t="s">
        <v>274</v>
      </c>
      <c r="C36" s="2" t="s">
        <v>338</v>
      </c>
      <c r="D36" s="2"/>
      <c r="E36" s="2">
        <v>1</v>
      </c>
      <c r="F36" s="2">
        <v>6</v>
      </c>
      <c r="G36"/>
    </row>
    <row r="37" spans="1:7" hidden="1">
      <c r="A37" s="363">
        <v>44070</v>
      </c>
      <c r="B37" s="1" t="s">
        <v>274</v>
      </c>
      <c r="C37" s="1" t="s">
        <v>348</v>
      </c>
      <c r="D37" s="1"/>
      <c r="E37" s="1">
        <v>1</v>
      </c>
      <c r="F37" s="1">
        <v>6</v>
      </c>
      <c r="G37"/>
    </row>
    <row r="38" spans="1:7" hidden="1">
      <c r="A38" s="362">
        <v>44071</v>
      </c>
      <c r="B38" s="2" t="s">
        <v>274</v>
      </c>
      <c r="C38" s="2" t="s">
        <v>348</v>
      </c>
      <c r="D38" s="2"/>
      <c r="E38" s="2">
        <v>1</v>
      </c>
      <c r="F38" s="2">
        <v>6</v>
      </c>
      <c r="G38"/>
    </row>
    <row r="39" spans="1:7" hidden="1">
      <c r="A39" s="363">
        <v>44072</v>
      </c>
      <c r="B39" s="1" t="s">
        <v>274</v>
      </c>
      <c r="C39" s="1" t="s">
        <v>348</v>
      </c>
      <c r="D39" s="1"/>
      <c r="E39" s="1">
        <v>1</v>
      </c>
      <c r="F39" s="1">
        <v>6</v>
      </c>
      <c r="G39"/>
    </row>
    <row r="40" spans="1:7">
      <c r="A40" s="362">
        <v>44074</v>
      </c>
      <c r="B40" s="2" t="s">
        <v>274</v>
      </c>
      <c r="C40" s="2" t="s">
        <v>148</v>
      </c>
      <c r="D40" s="364">
        <f>COUNTA(C40)</f>
        <v>1</v>
      </c>
      <c r="E40" s="2">
        <v>1</v>
      </c>
      <c r="F40" s="2">
        <v>6</v>
      </c>
    </row>
    <row r="41" spans="1:7" hidden="1">
      <c r="A41" s="363">
        <v>44075</v>
      </c>
      <c r="B41" s="1" t="s">
        <v>274</v>
      </c>
      <c r="C41" s="1"/>
      <c r="D41" s="1"/>
      <c r="E41" s="1">
        <v>1</v>
      </c>
      <c r="F41" s="1">
        <v>6</v>
      </c>
      <c r="G41"/>
    </row>
    <row r="42" spans="1:7" hidden="1">
      <c r="A42" s="362">
        <v>44076</v>
      </c>
      <c r="B42" s="2" t="s">
        <v>274</v>
      </c>
      <c r="C42" s="2" t="s">
        <v>348</v>
      </c>
      <c r="D42" s="2"/>
      <c r="E42" s="2">
        <v>1</v>
      </c>
      <c r="F42" s="2">
        <v>6</v>
      </c>
      <c r="G42"/>
    </row>
    <row r="43" spans="1:7" hidden="1">
      <c r="A43" s="363">
        <v>44077</v>
      </c>
      <c r="B43" s="1" t="s">
        <v>274</v>
      </c>
      <c r="C43" s="1" t="s">
        <v>348</v>
      </c>
      <c r="D43" s="1"/>
      <c r="E43" s="1">
        <v>1</v>
      </c>
      <c r="F43" s="1">
        <v>6</v>
      </c>
      <c r="G43"/>
    </row>
    <row r="44" spans="1:7" hidden="1">
      <c r="A44" s="362">
        <v>44078</v>
      </c>
      <c r="B44" s="2" t="s">
        <v>274</v>
      </c>
      <c r="C44" s="2" t="s">
        <v>348</v>
      </c>
      <c r="D44" s="2"/>
      <c r="E44" s="2">
        <v>1</v>
      </c>
      <c r="F44" s="2">
        <v>6</v>
      </c>
      <c r="G44"/>
    </row>
    <row r="45" spans="1:7" hidden="1">
      <c r="A45" s="363">
        <v>44079</v>
      </c>
      <c r="B45" s="1" t="s">
        <v>274</v>
      </c>
      <c r="C45" s="1"/>
      <c r="D45" s="1"/>
      <c r="E45" s="1"/>
      <c r="F45" s="1"/>
      <c r="G45"/>
    </row>
    <row r="46" spans="1:7" hidden="1">
      <c r="A46" s="362">
        <v>44069</v>
      </c>
      <c r="B46" s="2" t="s">
        <v>318</v>
      </c>
      <c r="C46" s="2" t="s">
        <v>338</v>
      </c>
      <c r="D46" s="2"/>
      <c r="E46" s="2">
        <v>1</v>
      </c>
      <c r="F46" s="2">
        <v>96</v>
      </c>
      <c r="G46"/>
    </row>
    <row r="47" spans="1:7" hidden="1">
      <c r="A47" s="363">
        <v>44070</v>
      </c>
      <c r="B47" s="1" t="s">
        <v>318</v>
      </c>
      <c r="C47" s="1" t="s">
        <v>338</v>
      </c>
      <c r="D47" s="1"/>
      <c r="E47" s="1">
        <v>1</v>
      </c>
      <c r="F47" s="1">
        <v>96</v>
      </c>
      <c r="G47"/>
    </row>
    <row r="48" spans="1:7" hidden="1">
      <c r="A48" s="362">
        <v>44070</v>
      </c>
      <c r="B48" s="2" t="s">
        <v>318</v>
      </c>
      <c r="C48" s="2" t="s">
        <v>147</v>
      </c>
      <c r="D48" s="2"/>
      <c r="E48" s="2">
        <v>1</v>
      </c>
      <c r="F48" s="2">
        <v>96</v>
      </c>
      <c r="G48"/>
    </row>
    <row r="49" spans="1:7" hidden="1">
      <c r="A49" s="363">
        <v>44071</v>
      </c>
      <c r="B49" s="1" t="s">
        <v>318</v>
      </c>
      <c r="C49" s="1" t="s">
        <v>348</v>
      </c>
      <c r="D49" s="1"/>
      <c r="E49" s="1">
        <v>1</v>
      </c>
      <c r="F49" s="1">
        <v>96</v>
      </c>
      <c r="G49"/>
    </row>
    <row r="50" spans="1:7" hidden="1">
      <c r="A50" s="362">
        <v>44072</v>
      </c>
      <c r="B50" s="2" t="s">
        <v>318</v>
      </c>
      <c r="C50" s="2" t="s">
        <v>348</v>
      </c>
      <c r="D50" s="2"/>
      <c r="E50" s="2">
        <v>1</v>
      </c>
      <c r="F50" s="2">
        <v>96</v>
      </c>
      <c r="G50"/>
    </row>
    <row r="51" spans="1:7" hidden="1">
      <c r="A51" s="363">
        <v>44074</v>
      </c>
      <c r="B51" s="1" t="s">
        <v>318</v>
      </c>
      <c r="C51" s="1" t="s">
        <v>147</v>
      </c>
      <c r="D51" s="1"/>
      <c r="E51" s="1">
        <v>1</v>
      </c>
      <c r="F51" s="1">
        <v>96</v>
      </c>
      <c r="G51"/>
    </row>
    <row r="52" spans="1:7" hidden="1">
      <c r="A52" s="362">
        <v>44075</v>
      </c>
      <c r="B52" s="2" t="s">
        <v>318</v>
      </c>
      <c r="C52" s="2" t="s">
        <v>147</v>
      </c>
      <c r="D52" s="2"/>
      <c r="E52" s="2">
        <v>1</v>
      </c>
      <c r="F52" s="2">
        <v>96</v>
      </c>
      <c r="G52"/>
    </row>
    <row r="53" spans="1:7">
      <c r="A53" s="363">
        <v>44075</v>
      </c>
      <c r="B53" s="1" t="s">
        <v>318</v>
      </c>
      <c r="C53" s="1" t="s">
        <v>148</v>
      </c>
      <c r="D53" s="365">
        <f>COUNTA(C53)</f>
        <v>1</v>
      </c>
      <c r="E53" s="1">
        <v>1</v>
      </c>
      <c r="F53" s="1">
        <v>12</v>
      </c>
    </row>
    <row r="54" spans="1:7" hidden="1">
      <c r="A54" s="362">
        <v>44076</v>
      </c>
      <c r="B54" s="2" t="s">
        <v>318</v>
      </c>
      <c r="C54" s="2" t="s">
        <v>338</v>
      </c>
      <c r="D54" s="2"/>
      <c r="E54" s="2">
        <v>1</v>
      </c>
      <c r="F54" s="2">
        <v>12</v>
      </c>
      <c r="G54"/>
    </row>
    <row r="55" spans="1:7">
      <c r="A55" s="363">
        <v>44077</v>
      </c>
      <c r="B55" s="1" t="s">
        <v>318</v>
      </c>
      <c r="C55" s="1" t="s">
        <v>148</v>
      </c>
      <c r="D55" s="365">
        <f>COUNTA(C55)</f>
        <v>1</v>
      </c>
      <c r="E55" s="1">
        <v>1</v>
      </c>
      <c r="F55" s="1">
        <v>6</v>
      </c>
    </row>
    <row r="56" spans="1:7" hidden="1">
      <c r="A56" s="362">
        <v>44078</v>
      </c>
      <c r="B56" s="2" t="s">
        <v>318</v>
      </c>
      <c r="C56" s="2" t="s">
        <v>338</v>
      </c>
      <c r="D56" s="2"/>
      <c r="E56" s="2">
        <v>1</v>
      </c>
      <c r="F56" s="2">
        <v>6</v>
      </c>
      <c r="G56"/>
    </row>
    <row r="57" spans="1:7">
      <c r="A57" s="363">
        <v>44079</v>
      </c>
      <c r="B57" s="1" t="s">
        <v>318</v>
      </c>
      <c r="C57" s="1" t="s">
        <v>148</v>
      </c>
      <c r="D57" s="365">
        <f>COUNTA(C57)</f>
        <v>1</v>
      </c>
      <c r="E57" s="1">
        <v>5</v>
      </c>
      <c r="F57" s="1">
        <v>6</v>
      </c>
    </row>
    <row r="58" spans="1:7" hidden="1">
      <c r="A58" s="362">
        <v>44080</v>
      </c>
      <c r="B58" s="2" t="s">
        <v>318</v>
      </c>
      <c r="C58" s="2" t="s">
        <v>338</v>
      </c>
      <c r="D58" s="2"/>
      <c r="E58" s="2">
        <v>5</v>
      </c>
      <c r="F58" s="2">
        <v>6</v>
      </c>
      <c r="G58"/>
    </row>
    <row r="59" spans="1:7" hidden="1">
      <c r="A59" s="363">
        <v>44082</v>
      </c>
      <c r="B59" s="1" t="s">
        <v>318</v>
      </c>
      <c r="C59" s="1" t="s">
        <v>154</v>
      </c>
      <c r="D59" s="1"/>
      <c r="E59" s="1">
        <v>1</v>
      </c>
      <c r="F59" s="1">
        <v>96</v>
      </c>
      <c r="G59"/>
    </row>
    <row r="60" spans="1:7" hidden="1">
      <c r="A60" s="362">
        <v>44082</v>
      </c>
      <c r="B60" s="2" t="s">
        <v>318</v>
      </c>
      <c r="C60" s="2" t="s">
        <v>152</v>
      </c>
      <c r="D60" s="2"/>
      <c r="E60" s="2">
        <v>5</v>
      </c>
      <c r="F60" s="2">
        <v>6</v>
      </c>
      <c r="G60"/>
    </row>
    <row r="61" spans="1:7" hidden="1">
      <c r="A61" s="363">
        <v>44083</v>
      </c>
      <c r="B61" s="1" t="s">
        <v>335</v>
      </c>
      <c r="C61" s="1" t="s">
        <v>338</v>
      </c>
      <c r="D61" s="1"/>
      <c r="E61" s="1">
        <v>1</v>
      </c>
      <c r="F61" s="1">
        <v>96</v>
      </c>
      <c r="G61"/>
    </row>
    <row r="62" spans="1:7" hidden="1">
      <c r="A62" s="362">
        <v>44086</v>
      </c>
      <c r="B62" s="2" t="s">
        <v>335</v>
      </c>
      <c r="C62" s="2" t="s">
        <v>348</v>
      </c>
      <c r="D62" s="2"/>
      <c r="E62" s="2">
        <v>1</v>
      </c>
      <c r="F62" s="2">
        <v>96</v>
      </c>
      <c r="G62"/>
    </row>
    <row r="63" spans="1:7" hidden="1">
      <c r="A63" s="363">
        <v>44088</v>
      </c>
      <c r="B63" s="1" t="s">
        <v>335</v>
      </c>
      <c r="C63" s="1" t="s">
        <v>147</v>
      </c>
      <c r="D63" s="1"/>
      <c r="E63" s="1">
        <v>1</v>
      </c>
      <c r="F63" s="1">
        <v>96</v>
      </c>
      <c r="G63"/>
    </row>
    <row r="64" spans="1:7" hidden="1">
      <c r="A64" s="362">
        <v>44089</v>
      </c>
      <c r="B64" s="2" t="s">
        <v>335</v>
      </c>
      <c r="C64" s="2" t="s">
        <v>348</v>
      </c>
      <c r="D64" s="2"/>
      <c r="E64" s="2">
        <v>1</v>
      </c>
      <c r="F64" s="2">
        <v>96</v>
      </c>
      <c r="G64"/>
    </row>
    <row r="65" spans="1:7" hidden="1">
      <c r="A65" s="363">
        <v>44090</v>
      </c>
      <c r="B65" s="1" t="s">
        <v>335</v>
      </c>
      <c r="C65" s="1" t="s">
        <v>147</v>
      </c>
      <c r="D65" s="1"/>
      <c r="E65" s="1">
        <v>1</v>
      </c>
      <c r="F65" s="1">
        <v>96</v>
      </c>
      <c r="G65"/>
    </row>
    <row r="66" spans="1:7">
      <c r="A66" s="362">
        <v>44092</v>
      </c>
      <c r="B66" s="2" t="s">
        <v>335</v>
      </c>
      <c r="C66" s="2" t="s">
        <v>148</v>
      </c>
      <c r="D66" s="364">
        <f>COUNTA(C66)</f>
        <v>1</v>
      </c>
      <c r="E66" s="2">
        <v>1</v>
      </c>
      <c r="F66" s="2">
        <v>12</v>
      </c>
    </row>
    <row r="67" spans="1:7" hidden="1">
      <c r="A67" s="363">
        <v>44094</v>
      </c>
      <c r="B67" s="1" t="s">
        <v>335</v>
      </c>
      <c r="C67" s="1" t="s">
        <v>348</v>
      </c>
      <c r="D67" s="1"/>
      <c r="E67" s="1">
        <v>1</v>
      </c>
      <c r="F67" s="1">
        <v>12</v>
      </c>
      <c r="G67"/>
    </row>
    <row r="68" spans="1:7" hidden="1">
      <c r="A68" s="362">
        <v>44095</v>
      </c>
      <c r="B68" s="2" t="s">
        <v>335</v>
      </c>
      <c r="C68" s="2" t="s">
        <v>348</v>
      </c>
      <c r="D68" s="2"/>
      <c r="E68" s="2">
        <v>1</v>
      </c>
      <c r="F68" s="2">
        <v>12</v>
      </c>
      <c r="G68"/>
    </row>
    <row r="69" spans="1:7">
      <c r="A69" s="363">
        <v>44097</v>
      </c>
      <c r="B69" s="1" t="s">
        <v>335</v>
      </c>
      <c r="C69" s="1" t="s">
        <v>148</v>
      </c>
      <c r="D69" s="365">
        <f>COUNTA(C69)</f>
        <v>1</v>
      </c>
      <c r="E69" s="1">
        <v>1</v>
      </c>
      <c r="F69" s="1">
        <v>6</v>
      </c>
    </row>
    <row r="70" spans="1:7" hidden="1">
      <c r="A70" s="362">
        <v>44098</v>
      </c>
      <c r="B70" s="2" t="s">
        <v>335</v>
      </c>
      <c r="C70" s="2" t="s">
        <v>338</v>
      </c>
      <c r="D70" s="2"/>
      <c r="E70" s="2">
        <v>5</v>
      </c>
      <c r="F70" s="2">
        <v>6</v>
      </c>
      <c r="G70"/>
    </row>
    <row r="71" spans="1:7" hidden="1">
      <c r="A71" s="363">
        <v>44099</v>
      </c>
      <c r="B71" s="1" t="s">
        <v>335</v>
      </c>
      <c r="C71" s="1" t="s">
        <v>348</v>
      </c>
      <c r="D71" s="1"/>
      <c r="E71" s="1">
        <v>5</v>
      </c>
      <c r="F71" s="1">
        <v>6</v>
      </c>
      <c r="G71"/>
    </row>
    <row r="72" spans="1:7" hidden="1">
      <c r="A72" s="362">
        <v>44101</v>
      </c>
      <c r="B72" s="2" t="s">
        <v>335</v>
      </c>
      <c r="C72" s="2" t="s">
        <v>348</v>
      </c>
      <c r="D72" s="2"/>
      <c r="E72" s="2">
        <v>5</v>
      </c>
      <c r="F72" s="2">
        <v>6</v>
      </c>
      <c r="G72"/>
    </row>
    <row r="73" spans="1:7" hidden="1">
      <c r="A73" s="363">
        <v>44102</v>
      </c>
      <c r="B73" s="1" t="s">
        <v>335</v>
      </c>
      <c r="C73" s="1" t="s">
        <v>154</v>
      </c>
      <c r="D73" s="1"/>
      <c r="E73" s="1">
        <v>1</v>
      </c>
      <c r="F73" s="1">
        <v>96</v>
      </c>
      <c r="G73"/>
    </row>
    <row r="74" spans="1:7" hidden="1">
      <c r="A74" s="362">
        <v>44102</v>
      </c>
      <c r="B74" s="2" t="s">
        <v>335</v>
      </c>
      <c r="C74" s="2" t="s">
        <v>348</v>
      </c>
      <c r="D74" s="2"/>
      <c r="E74" s="2">
        <v>4</v>
      </c>
      <c r="F74" s="2">
        <v>6</v>
      </c>
      <c r="G74"/>
    </row>
    <row r="75" spans="1:7" hidden="1">
      <c r="A75" s="363">
        <v>44103</v>
      </c>
      <c r="B75" s="1" t="s">
        <v>335</v>
      </c>
      <c r="C75" s="1" t="s">
        <v>152</v>
      </c>
      <c r="D75" s="1"/>
      <c r="E75" s="1">
        <v>5</v>
      </c>
      <c r="F75" s="1"/>
      <c r="G75"/>
    </row>
    <row r="76" spans="1:7" hidden="1">
      <c r="A76" s="362">
        <v>44103</v>
      </c>
      <c r="B76" s="2" t="s">
        <v>355</v>
      </c>
      <c r="C76" s="2" t="s">
        <v>338</v>
      </c>
      <c r="D76" s="2"/>
      <c r="E76" s="2">
        <v>1</v>
      </c>
      <c r="F76" s="2">
        <v>96</v>
      </c>
      <c r="G76"/>
    </row>
    <row r="77" spans="1:7">
      <c r="A77" s="363">
        <v>44104</v>
      </c>
      <c r="B77" s="1" t="s">
        <v>355</v>
      </c>
      <c r="C77" s="1" t="s">
        <v>148</v>
      </c>
      <c r="D77" s="365">
        <f>COUNTA(C77)</f>
        <v>1</v>
      </c>
      <c r="E77" s="1">
        <v>1</v>
      </c>
      <c r="F77" s="1">
        <v>12</v>
      </c>
    </row>
    <row r="78" spans="1:7" hidden="1">
      <c r="A78" s="362">
        <v>44105</v>
      </c>
      <c r="B78" s="2" t="s">
        <v>355</v>
      </c>
      <c r="C78" s="2" t="s">
        <v>348</v>
      </c>
      <c r="D78" s="2"/>
      <c r="E78" s="2">
        <v>1</v>
      </c>
      <c r="F78" s="2">
        <v>12</v>
      </c>
      <c r="G78"/>
    </row>
    <row r="79" spans="1:7" hidden="1">
      <c r="A79" s="363">
        <v>44106</v>
      </c>
      <c r="B79" s="1" t="s">
        <v>355</v>
      </c>
      <c r="C79" s="1" t="s">
        <v>348</v>
      </c>
      <c r="D79" s="1"/>
      <c r="E79" s="1">
        <v>1</v>
      </c>
      <c r="F79" s="1">
        <v>12</v>
      </c>
      <c r="G79"/>
    </row>
    <row r="80" spans="1:7">
      <c r="A80" s="362">
        <v>44107</v>
      </c>
      <c r="B80" s="2" t="s">
        <v>355</v>
      </c>
      <c r="C80" s="2" t="s">
        <v>148</v>
      </c>
      <c r="D80" s="364">
        <f>COUNTA(C80)</f>
        <v>1</v>
      </c>
      <c r="E80" s="2">
        <v>1</v>
      </c>
      <c r="F80" s="2">
        <v>6</v>
      </c>
    </row>
    <row r="81" spans="1:15">
      <c r="A81" s="363">
        <v>44109</v>
      </c>
      <c r="B81" s="1" t="s">
        <v>355</v>
      </c>
      <c r="C81" s="1" t="s">
        <v>148</v>
      </c>
      <c r="D81" s="365">
        <f>COUNTA(C81)</f>
        <v>1</v>
      </c>
      <c r="E81" s="1">
        <v>5</v>
      </c>
      <c r="F81" s="1">
        <v>6</v>
      </c>
    </row>
    <row r="82" spans="1:15" hidden="1">
      <c r="A82" s="362">
        <v>44110</v>
      </c>
      <c r="B82" s="2" t="s">
        <v>355</v>
      </c>
      <c r="C82" s="2" t="s">
        <v>338</v>
      </c>
      <c r="D82" s="2"/>
      <c r="E82" s="2">
        <v>5</v>
      </c>
      <c r="F82" s="2">
        <v>6</v>
      </c>
      <c r="G82"/>
    </row>
    <row r="83" spans="1:15" hidden="1">
      <c r="A83" s="363">
        <v>44111</v>
      </c>
      <c r="B83" s="1" t="s">
        <v>355</v>
      </c>
      <c r="C83" s="1" t="s">
        <v>348</v>
      </c>
      <c r="D83" s="1"/>
      <c r="E83" s="1">
        <v>5</v>
      </c>
      <c r="F83" s="1">
        <v>6</v>
      </c>
      <c r="G83"/>
    </row>
    <row r="84" spans="1:15" hidden="1">
      <c r="A84" s="362">
        <v>44112</v>
      </c>
      <c r="B84" s="2" t="s">
        <v>355</v>
      </c>
      <c r="C84" s="2" t="s">
        <v>348</v>
      </c>
      <c r="D84" s="2"/>
      <c r="E84" s="2">
        <v>5</v>
      </c>
      <c r="F84" s="2">
        <v>6</v>
      </c>
      <c r="G84"/>
    </row>
    <row r="85" spans="1:15" hidden="1">
      <c r="A85" s="363">
        <v>44113</v>
      </c>
      <c r="B85" s="1" t="s">
        <v>355</v>
      </c>
      <c r="C85" s="1" t="s">
        <v>154</v>
      </c>
      <c r="D85" s="1"/>
      <c r="E85" s="1">
        <v>1</v>
      </c>
      <c r="F85" s="1">
        <v>12</v>
      </c>
      <c r="G85"/>
    </row>
    <row r="86" spans="1:15" hidden="1">
      <c r="A86" s="362">
        <v>44113</v>
      </c>
      <c r="B86" s="2" t="s">
        <v>355</v>
      </c>
      <c r="C86" s="2" t="s">
        <v>152</v>
      </c>
      <c r="D86" s="2"/>
      <c r="E86" s="2"/>
      <c r="F86" s="2"/>
      <c r="G86"/>
    </row>
    <row r="87" spans="1:15">
      <c r="A87" s="363">
        <v>44131</v>
      </c>
      <c r="B87" s="1" t="s">
        <v>355</v>
      </c>
      <c r="C87" s="1" t="s">
        <v>276</v>
      </c>
      <c r="D87" s="1"/>
      <c r="E87" s="1"/>
      <c r="F87" s="1"/>
      <c r="G87"/>
    </row>
    <row r="88" spans="1:15">
      <c r="A88" s="362">
        <v>44152</v>
      </c>
      <c r="B88" s="2" t="s">
        <v>355</v>
      </c>
      <c r="C88" s="2" t="s">
        <v>146</v>
      </c>
      <c r="D88" s="364">
        <f>COUNTA(C88)</f>
        <v>1</v>
      </c>
      <c r="E88" s="2">
        <v>1</v>
      </c>
      <c r="F88" s="2">
        <v>6</v>
      </c>
    </row>
    <row r="89" spans="1:15" hidden="1">
      <c r="A89" s="363">
        <v>44153</v>
      </c>
      <c r="B89" s="1" t="s">
        <v>355</v>
      </c>
      <c r="C89" s="1" t="s">
        <v>348</v>
      </c>
      <c r="D89" s="1"/>
      <c r="E89" s="1">
        <v>1</v>
      </c>
      <c r="F89" s="1">
        <v>6</v>
      </c>
      <c r="G89"/>
    </row>
    <row r="90" spans="1:15">
      <c r="A90" s="362">
        <v>44155</v>
      </c>
      <c r="B90" s="2" t="s">
        <v>355</v>
      </c>
      <c r="C90" s="2" t="s">
        <v>148</v>
      </c>
      <c r="D90" s="364">
        <f>COUNTA(C90)</f>
        <v>1</v>
      </c>
      <c r="E90" s="2">
        <v>5</v>
      </c>
      <c r="F90" s="2">
        <v>6</v>
      </c>
    </row>
    <row r="91" spans="1:15" hidden="1">
      <c r="A91" s="363">
        <v>44157</v>
      </c>
      <c r="B91" s="1" t="s">
        <v>355</v>
      </c>
      <c r="C91" s="1" t="s">
        <v>154</v>
      </c>
      <c r="D91" s="1"/>
      <c r="E91" s="1">
        <v>1</v>
      </c>
      <c r="F91" s="1">
        <v>6</v>
      </c>
      <c r="G91"/>
    </row>
    <row r="92" spans="1:15">
      <c r="A92" s="362">
        <v>44158</v>
      </c>
      <c r="B92" s="2" t="s">
        <v>355</v>
      </c>
      <c r="C92" s="2" t="s">
        <v>148</v>
      </c>
      <c r="D92" s="364">
        <f>COUNTA(C92)</f>
        <v>1</v>
      </c>
      <c r="E92" s="2"/>
      <c r="F92" s="2"/>
      <c r="G92" s="365">
        <f>SUBTOTAL(9,D2:D97)</f>
        <v>23</v>
      </c>
    </row>
    <row r="93" spans="1:15">
      <c r="A93" s="363">
        <v>44164</v>
      </c>
      <c r="B93" s="1" t="s">
        <v>355</v>
      </c>
      <c r="C93" s="1" t="s">
        <v>276</v>
      </c>
      <c r="D93" s="1"/>
      <c r="E93" s="1">
        <v>1</v>
      </c>
      <c r="F93" s="1"/>
      <c r="G93"/>
      <c r="J93" s="362"/>
      <c r="K93" s="2"/>
      <c r="L93" s="2"/>
      <c r="M93" s="2"/>
      <c r="N93" s="2">
        <v>4</v>
      </c>
      <c r="O93" s="2">
        <v>6</v>
      </c>
    </row>
    <row r="94" spans="1:15" hidden="1">
      <c r="A94" s="362">
        <v>44165</v>
      </c>
      <c r="B94" s="2" t="s">
        <v>355</v>
      </c>
      <c r="C94" s="2" t="s">
        <v>348</v>
      </c>
      <c r="D94" s="2"/>
      <c r="E94" s="2">
        <v>1</v>
      </c>
      <c r="F94" s="2">
        <v>6</v>
      </c>
      <c r="G94"/>
      <c r="J94" s="363">
        <v>44123</v>
      </c>
      <c r="K94" s="1" t="s">
        <v>349</v>
      </c>
      <c r="L94" s="1" t="s">
        <v>348</v>
      </c>
      <c r="M94" s="1"/>
      <c r="N94" s="1">
        <v>4</v>
      </c>
      <c r="O94" s="1">
        <v>6</v>
      </c>
    </row>
    <row r="95" spans="1:15" hidden="1">
      <c r="A95" s="363">
        <v>44166</v>
      </c>
      <c r="B95" s="1" t="s">
        <v>355</v>
      </c>
      <c r="C95" s="1" t="s">
        <v>348</v>
      </c>
      <c r="D95" s="1"/>
      <c r="E95" s="1">
        <v>1</v>
      </c>
      <c r="F95" s="1">
        <v>6</v>
      </c>
      <c r="G95"/>
      <c r="J95" s="362">
        <v>44124</v>
      </c>
      <c r="K95" s="2" t="s">
        <v>349</v>
      </c>
      <c r="L95" s="2" t="s">
        <v>154</v>
      </c>
      <c r="M95" s="2"/>
      <c r="N95" s="2">
        <v>1</v>
      </c>
      <c r="O95" s="2">
        <v>12</v>
      </c>
    </row>
    <row r="96" spans="1:15">
      <c r="A96" s="362">
        <v>44168</v>
      </c>
      <c r="B96" s="2" t="s">
        <v>355</v>
      </c>
      <c r="C96" s="2" t="s">
        <v>440</v>
      </c>
      <c r="D96" s="2"/>
      <c r="E96" s="2"/>
      <c r="F96" s="2"/>
      <c r="G96"/>
    </row>
    <row r="97" spans="1:7" hidden="1">
      <c r="A97" s="363">
        <v>44168</v>
      </c>
      <c r="B97" s="1" t="s">
        <v>355</v>
      </c>
      <c r="C97" s="1" t="s">
        <v>348</v>
      </c>
      <c r="D97" s="1"/>
      <c r="E97" s="1">
        <v>1</v>
      </c>
      <c r="F97" s="1">
        <v>6</v>
      </c>
      <c r="G97"/>
    </row>
    <row r="98" spans="1:7" s="8" customFormat="1" hidden="1">
      <c r="A98" s="363"/>
      <c r="B98" s="1"/>
      <c r="C98" s="365"/>
      <c r="E98" s="1"/>
      <c r="F98" s="1"/>
      <c r="G98" s="11"/>
    </row>
    <row r="99" spans="1:7" hidden="1">
      <c r="A99" s="362">
        <v>44116</v>
      </c>
      <c r="B99" s="2" t="s">
        <v>374</v>
      </c>
      <c r="C99" s="2" t="s">
        <v>148</v>
      </c>
      <c r="D99" s="364">
        <f>COUNTA(C99)</f>
        <v>1</v>
      </c>
      <c r="E99" s="2">
        <v>1</v>
      </c>
      <c r="F99" s="2">
        <v>6</v>
      </c>
    </row>
    <row r="100" spans="1:7" hidden="1">
      <c r="A100" s="363">
        <v>44117</v>
      </c>
      <c r="B100" s="1" t="s">
        <v>374</v>
      </c>
      <c r="C100" s="1" t="s">
        <v>338</v>
      </c>
      <c r="D100" s="1"/>
      <c r="E100" s="1">
        <v>1</v>
      </c>
      <c r="F100" s="1">
        <v>6</v>
      </c>
      <c r="G100">
        <f>SUBTOTAL(9,G2:G97)</f>
        <v>0</v>
      </c>
    </row>
    <row r="101" spans="1:7" hidden="1">
      <c r="A101" s="362">
        <v>44118</v>
      </c>
      <c r="B101" s="2" t="s">
        <v>374</v>
      </c>
      <c r="C101" s="2" t="s">
        <v>348</v>
      </c>
      <c r="D101" s="2"/>
      <c r="E101" s="2"/>
      <c r="F101" s="2"/>
      <c r="G101"/>
    </row>
    <row r="102" spans="1:7" hidden="1">
      <c r="A102" s="363">
        <v>44118</v>
      </c>
      <c r="B102" s="1" t="s">
        <v>374</v>
      </c>
      <c r="C102" s="1" t="s">
        <v>338</v>
      </c>
      <c r="D102" s="1"/>
      <c r="E102" s="1">
        <v>1</v>
      </c>
      <c r="F102" s="1">
        <v>6</v>
      </c>
      <c r="G102"/>
    </row>
    <row r="103" spans="1:7" hidden="1">
      <c r="A103" s="362">
        <v>44119</v>
      </c>
      <c r="B103" s="2" t="s">
        <v>374</v>
      </c>
      <c r="C103" s="2" t="s">
        <v>348</v>
      </c>
      <c r="D103" s="2"/>
      <c r="E103" s="2">
        <v>1</v>
      </c>
      <c r="F103" s="2">
        <v>6</v>
      </c>
      <c r="G103"/>
    </row>
    <row r="104" spans="1:7" hidden="1">
      <c r="A104" s="363">
        <v>44120</v>
      </c>
      <c r="B104" s="1" t="s">
        <v>374</v>
      </c>
      <c r="C104" s="1" t="s">
        <v>338</v>
      </c>
      <c r="D104" s="1"/>
      <c r="E104" s="1">
        <v>1</v>
      </c>
      <c r="F104" s="1">
        <v>6</v>
      </c>
      <c r="G104"/>
    </row>
    <row r="105" spans="1:7" hidden="1">
      <c r="A105" s="362">
        <v>44121</v>
      </c>
      <c r="B105" s="2" t="s">
        <v>374</v>
      </c>
      <c r="C105" s="2" t="s">
        <v>338</v>
      </c>
      <c r="D105" s="2"/>
      <c r="E105" s="2">
        <v>1</v>
      </c>
      <c r="F105" s="2">
        <v>6</v>
      </c>
      <c r="G105"/>
    </row>
    <row r="106" spans="1:7" hidden="1">
      <c r="A106" s="363">
        <v>44123</v>
      </c>
      <c r="B106" s="1" t="s">
        <v>374</v>
      </c>
      <c r="C106" s="1" t="s">
        <v>348</v>
      </c>
      <c r="D106" s="1"/>
      <c r="E106" s="1">
        <v>1</v>
      </c>
      <c r="F106" s="1">
        <v>6</v>
      </c>
      <c r="G106"/>
    </row>
    <row r="107" spans="1:7" hidden="1">
      <c r="A107" s="362">
        <v>44124</v>
      </c>
      <c r="B107" s="2" t="s">
        <v>374</v>
      </c>
      <c r="C107" s="2" t="s">
        <v>348</v>
      </c>
      <c r="D107" s="2"/>
      <c r="E107" s="2">
        <v>1</v>
      </c>
      <c r="F107" s="2">
        <v>6</v>
      </c>
      <c r="G107"/>
    </row>
    <row r="108" spans="1:7" hidden="1">
      <c r="A108" s="363">
        <v>44125</v>
      </c>
      <c r="B108" s="1" t="s">
        <v>374</v>
      </c>
      <c r="C108" s="1" t="s">
        <v>348</v>
      </c>
      <c r="D108" s="1"/>
      <c r="E108" s="1">
        <v>1</v>
      </c>
      <c r="F108" s="1">
        <v>6</v>
      </c>
      <c r="G108"/>
    </row>
    <row r="109" spans="1:7" hidden="1">
      <c r="A109" s="362">
        <v>44126</v>
      </c>
      <c r="B109" s="2" t="s">
        <v>374</v>
      </c>
      <c r="C109" s="2" t="s">
        <v>154</v>
      </c>
      <c r="D109" s="2"/>
      <c r="E109" s="2">
        <v>1</v>
      </c>
      <c r="F109" s="2">
        <v>12</v>
      </c>
      <c r="G109"/>
    </row>
    <row r="110" spans="1:7" hidden="1">
      <c r="A110" s="363">
        <v>44159</v>
      </c>
      <c r="B110" s="1" t="s">
        <v>374</v>
      </c>
      <c r="C110" s="1" t="s">
        <v>348</v>
      </c>
      <c r="D110" s="1"/>
      <c r="E110" s="1">
        <v>1</v>
      </c>
      <c r="F110" s="1">
        <v>6</v>
      </c>
      <c r="G110"/>
    </row>
    <row r="111" spans="1:7" hidden="1">
      <c r="A111" s="362">
        <v>44160</v>
      </c>
      <c r="B111" s="2" t="s">
        <v>374</v>
      </c>
      <c r="C111" s="2" t="s">
        <v>348</v>
      </c>
      <c r="D111" s="2"/>
      <c r="E111" s="2">
        <v>1</v>
      </c>
      <c r="F111" s="2">
        <v>6</v>
      </c>
      <c r="G111"/>
    </row>
    <row r="112" spans="1:7" hidden="1">
      <c r="A112" s="363">
        <v>44162</v>
      </c>
      <c r="B112" s="1" t="s">
        <v>374</v>
      </c>
      <c r="C112" s="1" t="s">
        <v>348</v>
      </c>
      <c r="D112" s="1"/>
      <c r="E112" s="1">
        <v>1</v>
      </c>
      <c r="F112" s="1">
        <v>6</v>
      </c>
      <c r="G112"/>
    </row>
    <row r="113" spans="1:7" hidden="1">
      <c r="A113" s="362">
        <v>44164</v>
      </c>
      <c r="B113" s="2" t="s">
        <v>374</v>
      </c>
      <c r="C113" s="2" t="s">
        <v>348</v>
      </c>
      <c r="D113" s="2"/>
      <c r="E113" s="2">
        <v>1</v>
      </c>
      <c r="F113" s="2">
        <v>6</v>
      </c>
      <c r="G113"/>
    </row>
    <row r="114" spans="1:7">
      <c r="A114" s="363">
        <v>44169</v>
      </c>
      <c r="B114" s="1" t="s">
        <v>374</v>
      </c>
      <c r="C114" s="1" t="s">
        <v>148</v>
      </c>
      <c r="D114" s="365">
        <f>COUNTA(C114)</f>
        <v>1</v>
      </c>
      <c r="E114" s="1">
        <v>2</v>
      </c>
      <c r="F114" s="1">
        <v>6</v>
      </c>
    </row>
    <row r="115" spans="1:7" hidden="1">
      <c r="A115" s="362">
        <v>44170</v>
      </c>
      <c r="B115" s="2" t="s">
        <v>374</v>
      </c>
      <c r="C115" s="2" t="s">
        <v>348</v>
      </c>
      <c r="D115" s="2"/>
      <c r="E115" s="2">
        <v>2</v>
      </c>
      <c r="F115" s="2">
        <v>6</v>
      </c>
      <c r="G115"/>
    </row>
    <row r="116" spans="1:7">
      <c r="A116" s="363">
        <v>44172</v>
      </c>
      <c r="B116" s="1" t="s">
        <v>374</v>
      </c>
      <c r="C116" s="1" t="s">
        <v>148</v>
      </c>
      <c r="D116" s="365">
        <f>COUNTA(C116)</f>
        <v>1</v>
      </c>
      <c r="E116" s="1">
        <v>5</v>
      </c>
      <c r="F116" s="1">
        <v>10</v>
      </c>
      <c r="G116" s="366">
        <f>SUBTOTAL(9,D2:D128)</f>
        <v>25</v>
      </c>
    </row>
    <row r="117" spans="1:7" hidden="1">
      <c r="A117" s="362">
        <v>44173</v>
      </c>
      <c r="B117" s="2" t="s">
        <v>374</v>
      </c>
      <c r="C117" s="2" t="s">
        <v>348</v>
      </c>
      <c r="D117" s="2"/>
      <c r="E117" s="2">
        <v>5</v>
      </c>
      <c r="F117" s="2">
        <v>10</v>
      </c>
      <c r="G117"/>
    </row>
    <row r="118" spans="1:7" hidden="1">
      <c r="A118" s="363">
        <v>44175</v>
      </c>
      <c r="B118" s="1" t="s">
        <v>374</v>
      </c>
      <c r="C118" s="1" t="s">
        <v>348</v>
      </c>
      <c r="D118" s="1"/>
      <c r="E118" s="1">
        <v>5</v>
      </c>
      <c r="F118" s="1">
        <v>10</v>
      </c>
      <c r="G118"/>
    </row>
    <row r="119" spans="1:7" hidden="1">
      <c r="A119" s="362">
        <v>44177</v>
      </c>
      <c r="B119" s="2" t="s">
        <v>374</v>
      </c>
      <c r="C119" s="2" t="s">
        <v>348</v>
      </c>
      <c r="D119" s="2"/>
      <c r="E119" s="2">
        <v>5</v>
      </c>
      <c r="F119" s="2">
        <v>10</v>
      </c>
      <c r="G119"/>
    </row>
    <row r="120" spans="1:7" hidden="1">
      <c r="A120" s="363">
        <v>44178</v>
      </c>
      <c r="B120" s="1" t="s">
        <v>374</v>
      </c>
      <c r="C120" s="1" t="s">
        <v>152</v>
      </c>
      <c r="D120" s="1"/>
      <c r="E120" s="1">
        <v>38</v>
      </c>
      <c r="F120" s="1"/>
      <c r="G120"/>
    </row>
    <row r="121" spans="1:7">
      <c r="A121" s="362">
        <v>44179</v>
      </c>
      <c r="B121" s="2" t="s">
        <v>374</v>
      </c>
      <c r="C121" s="2" t="s">
        <v>276</v>
      </c>
      <c r="D121" s="2"/>
      <c r="E121" s="2"/>
      <c r="F121" s="2"/>
      <c r="G121"/>
    </row>
    <row r="122" spans="1:7">
      <c r="A122" s="363">
        <v>44183</v>
      </c>
      <c r="B122" s="1" t="s">
        <v>374</v>
      </c>
      <c r="C122" s="1" t="s">
        <v>440</v>
      </c>
      <c r="D122" s="1"/>
      <c r="E122" s="1"/>
      <c r="F122" s="1"/>
      <c r="G122"/>
    </row>
    <row r="123" spans="1:7" hidden="1">
      <c r="A123" s="362">
        <v>44127</v>
      </c>
      <c r="B123" s="2" t="s">
        <v>385</v>
      </c>
      <c r="C123" s="2" t="s">
        <v>338</v>
      </c>
      <c r="D123" s="2"/>
      <c r="E123" s="2">
        <v>1</v>
      </c>
      <c r="F123" s="2">
        <v>12</v>
      </c>
      <c r="G123"/>
    </row>
    <row r="124" spans="1:7" hidden="1">
      <c r="A124" s="363">
        <v>44129</v>
      </c>
      <c r="B124" s="1" t="s">
        <v>385</v>
      </c>
      <c r="C124" s="1" t="s">
        <v>338</v>
      </c>
      <c r="D124" s="1"/>
      <c r="E124" s="1">
        <v>1</v>
      </c>
      <c r="F124" s="1">
        <v>12</v>
      </c>
      <c r="G124"/>
    </row>
    <row r="125" spans="1:7" hidden="1">
      <c r="A125" s="362">
        <v>44131</v>
      </c>
      <c r="B125" s="2" t="s">
        <v>385</v>
      </c>
      <c r="C125" s="2" t="s">
        <v>348</v>
      </c>
      <c r="D125" s="2"/>
      <c r="E125" s="2">
        <v>1</v>
      </c>
      <c r="F125" s="2">
        <v>12</v>
      </c>
      <c r="G125"/>
    </row>
    <row r="126" spans="1:7" hidden="1">
      <c r="A126" s="363">
        <v>44132</v>
      </c>
      <c r="B126" s="1" t="s">
        <v>385</v>
      </c>
      <c r="C126" s="1" t="s">
        <v>348</v>
      </c>
      <c r="D126" s="1"/>
      <c r="E126" s="1">
        <v>1</v>
      </c>
      <c r="F126" s="1">
        <v>12</v>
      </c>
      <c r="G126"/>
    </row>
    <row r="127" spans="1:7" hidden="1">
      <c r="A127" s="362">
        <v>44133</v>
      </c>
      <c r="B127" s="2" t="s">
        <v>385</v>
      </c>
      <c r="C127" s="2" t="s">
        <v>348</v>
      </c>
      <c r="D127" s="2"/>
      <c r="E127" s="2">
        <v>1</v>
      </c>
      <c r="F127" s="2">
        <v>12</v>
      </c>
      <c r="G127"/>
    </row>
    <row r="128" spans="1:7" hidden="1">
      <c r="A128" s="363">
        <v>44134</v>
      </c>
      <c r="B128" s="1" t="s">
        <v>385</v>
      </c>
      <c r="C128" s="1" t="s">
        <v>348</v>
      </c>
      <c r="D128" s="1"/>
      <c r="E128" s="1">
        <v>1</v>
      </c>
      <c r="F128" s="1">
        <v>12</v>
      </c>
      <c r="G128"/>
    </row>
    <row r="129" spans="1:8" s="8" customFormat="1" hidden="1">
      <c r="A129" s="363"/>
      <c r="B129" s="1"/>
      <c r="C129" s="1"/>
      <c r="E129" s="1"/>
      <c r="F129" s="1"/>
      <c r="G129" s="11"/>
    </row>
    <row r="130" spans="1:8" hidden="1">
      <c r="A130" s="363">
        <v>44144</v>
      </c>
      <c r="B130" s="1" t="s">
        <v>385</v>
      </c>
      <c r="C130" s="1" t="s">
        <v>348</v>
      </c>
      <c r="D130" s="1"/>
      <c r="E130" s="1">
        <v>5</v>
      </c>
      <c r="F130" s="1">
        <v>10</v>
      </c>
      <c r="G130"/>
    </row>
    <row r="131" spans="1:8" hidden="1">
      <c r="A131" s="362">
        <v>44145</v>
      </c>
      <c r="B131" s="2" t="s">
        <v>385</v>
      </c>
      <c r="C131" s="2" t="s">
        <v>348</v>
      </c>
      <c r="D131" s="2"/>
      <c r="E131" s="2">
        <v>5</v>
      </c>
      <c r="F131" s="2">
        <v>10</v>
      </c>
      <c r="G131"/>
    </row>
    <row r="132" spans="1:8" hidden="1">
      <c r="A132" s="363">
        <v>44147</v>
      </c>
      <c r="B132" s="1" t="s">
        <v>385</v>
      </c>
      <c r="C132" s="1" t="s">
        <v>348</v>
      </c>
      <c r="D132" s="1"/>
      <c r="E132" s="1">
        <v>5</v>
      </c>
      <c r="F132" s="1">
        <v>10</v>
      </c>
      <c r="G132"/>
    </row>
    <row r="133" spans="1:8" hidden="1">
      <c r="A133" s="362">
        <v>44149</v>
      </c>
      <c r="B133" s="2" t="s">
        <v>385</v>
      </c>
      <c r="C133" s="2" t="s">
        <v>348</v>
      </c>
      <c r="D133" s="2"/>
      <c r="E133" s="2">
        <v>5</v>
      </c>
      <c r="F133" s="2">
        <v>10</v>
      </c>
      <c r="G133"/>
    </row>
    <row r="134" spans="1:8" hidden="1">
      <c r="A134" s="363">
        <v>44151</v>
      </c>
      <c r="B134" s="1" t="s">
        <v>385</v>
      </c>
      <c r="C134" s="1" t="s">
        <v>348</v>
      </c>
      <c r="D134" s="1"/>
      <c r="E134" s="1">
        <v>5</v>
      </c>
      <c r="F134" s="1">
        <v>10</v>
      </c>
      <c r="G134"/>
    </row>
    <row r="135" spans="1:8" hidden="1">
      <c r="A135" s="362">
        <v>44153</v>
      </c>
      <c r="B135" s="2" t="s">
        <v>385</v>
      </c>
      <c r="C135" s="2" t="s">
        <v>348</v>
      </c>
      <c r="D135" s="2"/>
      <c r="E135" s="2">
        <v>5</v>
      </c>
      <c r="F135" s="2">
        <v>10</v>
      </c>
      <c r="G135"/>
    </row>
    <row r="136" spans="1:8" hidden="1">
      <c r="G136"/>
    </row>
    <row r="137" spans="1:8" hidden="1">
      <c r="G137"/>
    </row>
    <row r="138" spans="1:8" s="8" customFormat="1"/>
    <row r="139" spans="1:8">
      <c r="A139" s="362">
        <v>44207</v>
      </c>
      <c r="B139" s="2" t="s">
        <v>374</v>
      </c>
      <c r="C139" s="2" t="s">
        <v>146</v>
      </c>
      <c r="D139" s="365">
        <f>COUNTA(C139)</f>
        <v>1</v>
      </c>
      <c r="E139" s="2">
        <v>1</v>
      </c>
      <c r="F139" s="2">
        <v>6</v>
      </c>
      <c r="G139" s="357"/>
    </row>
    <row r="140" spans="1:8" hidden="1">
      <c r="A140" s="363">
        <v>44208</v>
      </c>
      <c r="B140" s="1" t="s">
        <v>374</v>
      </c>
      <c r="C140" s="1" t="s">
        <v>348</v>
      </c>
      <c r="E140" s="1">
        <v>1</v>
      </c>
      <c r="F140" s="1">
        <v>6</v>
      </c>
      <c r="G140" s="356"/>
    </row>
    <row r="141" spans="1:8">
      <c r="A141" s="362">
        <v>44209</v>
      </c>
      <c r="B141" s="2" t="s">
        <v>374</v>
      </c>
      <c r="C141" s="2" t="s">
        <v>148</v>
      </c>
      <c r="D141" s="365">
        <f>COUNTA(C141)</f>
        <v>1</v>
      </c>
      <c r="E141" s="2"/>
      <c r="F141" s="2"/>
      <c r="H141" s="357" t="s">
        <v>499</v>
      </c>
    </row>
    <row r="142" spans="1:8" ht="13.9" customHeight="1">
      <c r="A142" s="363">
        <v>44209</v>
      </c>
      <c r="B142" s="1" t="s">
        <v>374</v>
      </c>
      <c r="C142" s="1" t="s">
        <v>440</v>
      </c>
      <c r="E142" s="1"/>
      <c r="F142" s="1"/>
      <c r="G142" s="11">
        <v>27</v>
      </c>
      <c r="H142" s="400" t="s">
        <v>500</v>
      </c>
    </row>
    <row r="143" spans="1:8">
      <c r="A143" s="362">
        <v>44212</v>
      </c>
      <c r="B143" s="2" t="s">
        <v>374</v>
      </c>
      <c r="C143" s="2" t="s">
        <v>146</v>
      </c>
      <c r="D143" s="365">
        <f>COUNTA(C143)</f>
        <v>1</v>
      </c>
      <c r="E143" s="2">
        <v>1</v>
      </c>
      <c r="F143" s="2">
        <v>6</v>
      </c>
      <c r="G143" s="357"/>
    </row>
    <row r="144" spans="1:8">
      <c r="A144" s="363">
        <v>44214</v>
      </c>
      <c r="B144" s="1" t="s">
        <v>374</v>
      </c>
      <c r="C144" s="1" t="s">
        <v>148</v>
      </c>
      <c r="D144" s="365">
        <f>COUNTA(C144)</f>
        <v>1</v>
      </c>
      <c r="E144" s="1">
        <v>1</v>
      </c>
      <c r="F144" s="1">
        <v>6</v>
      </c>
      <c r="G144" s="356"/>
    </row>
    <row r="145" spans="1:7" hidden="1">
      <c r="A145" s="362">
        <v>44216</v>
      </c>
      <c r="B145" s="2" t="s">
        <v>374</v>
      </c>
      <c r="C145" s="2" t="s">
        <v>348</v>
      </c>
      <c r="E145" s="2">
        <v>1</v>
      </c>
      <c r="F145" s="2">
        <v>6</v>
      </c>
      <c r="G145" s="357"/>
    </row>
    <row r="146" spans="1:7" hidden="1">
      <c r="A146" s="363">
        <v>44217</v>
      </c>
      <c r="B146" s="1" t="s">
        <v>374</v>
      </c>
      <c r="C146" s="1" t="s">
        <v>348</v>
      </c>
      <c r="E146" s="1">
        <v>1</v>
      </c>
      <c r="F146" s="1">
        <v>6</v>
      </c>
      <c r="G146" s="398"/>
    </row>
    <row r="147" spans="1:7">
      <c r="A147" s="362">
        <v>44221</v>
      </c>
      <c r="B147" s="2" t="s">
        <v>374</v>
      </c>
      <c r="C147" s="2" t="s">
        <v>148</v>
      </c>
      <c r="D147" s="365">
        <f>COUNTA(C147)</f>
        <v>1</v>
      </c>
      <c r="E147" s="2">
        <v>2</v>
      </c>
      <c r="F147" s="2">
        <v>6</v>
      </c>
      <c r="G147" s="399"/>
    </row>
    <row r="148" spans="1:7" hidden="1">
      <c r="A148" s="363">
        <v>44222</v>
      </c>
      <c r="B148" s="1" t="s">
        <v>374</v>
      </c>
      <c r="C148" s="1" t="s">
        <v>338</v>
      </c>
      <c r="E148" s="1">
        <v>2</v>
      </c>
      <c r="F148" s="1">
        <v>6</v>
      </c>
      <c r="G148" s="356"/>
    </row>
    <row r="149" spans="1:7" hidden="1">
      <c r="A149" s="362">
        <v>44223</v>
      </c>
      <c r="B149" s="2" t="s">
        <v>374</v>
      </c>
      <c r="C149" s="2" t="s">
        <v>348</v>
      </c>
      <c r="E149" s="2">
        <v>2</v>
      </c>
      <c r="F149" s="2">
        <v>6</v>
      </c>
      <c r="G149" s="357"/>
    </row>
    <row r="150" spans="1:7" hidden="1">
      <c r="A150" s="363">
        <v>44225</v>
      </c>
      <c r="B150" s="1" t="s">
        <v>374</v>
      </c>
      <c r="C150" s="1" t="s">
        <v>348</v>
      </c>
      <c r="E150" s="1">
        <v>2</v>
      </c>
      <c r="F150" s="1">
        <v>6</v>
      </c>
      <c r="G150" s="356"/>
    </row>
    <row r="151" spans="1:7" hidden="1">
      <c r="A151" s="362">
        <v>44227</v>
      </c>
      <c r="B151" s="2" t="s">
        <v>374</v>
      </c>
      <c r="C151" s="2" t="s">
        <v>348</v>
      </c>
      <c r="E151" s="2">
        <v>2</v>
      </c>
      <c r="F151" s="2">
        <v>6</v>
      </c>
      <c r="G151" s="357"/>
    </row>
    <row r="152" spans="1:7">
      <c r="G152"/>
    </row>
    <row r="153" spans="1:7">
      <c r="G153"/>
    </row>
    <row r="154" spans="1:7">
      <c r="A154" s="362">
        <v>44135</v>
      </c>
      <c r="B154" s="2" t="s">
        <v>385</v>
      </c>
      <c r="C154" s="2" t="s">
        <v>148</v>
      </c>
      <c r="D154" s="364">
        <f>COUNTA(C154)</f>
        <v>1</v>
      </c>
      <c r="E154" s="2">
        <v>1</v>
      </c>
      <c r="F154" s="2">
        <v>6</v>
      </c>
    </row>
    <row r="155" spans="1:7" hidden="1">
      <c r="A155" s="363">
        <v>44137</v>
      </c>
      <c r="B155" s="1" t="s">
        <v>385</v>
      </c>
      <c r="C155" s="1" t="s">
        <v>348</v>
      </c>
      <c r="D155" s="1"/>
      <c r="E155" s="1">
        <v>2</v>
      </c>
      <c r="F155" s="1">
        <v>6</v>
      </c>
      <c r="G155"/>
    </row>
    <row r="156" spans="1:7" hidden="1">
      <c r="A156" s="362">
        <v>44138</v>
      </c>
      <c r="B156" s="2" t="s">
        <v>385</v>
      </c>
      <c r="C156" s="2"/>
      <c r="D156" s="2"/>
      <c r="E156" s="2">
        <v>1</v>
      </c>
      <c r="F156" s="2">
        <v>6</v>
      </c>
      <c r="G156"/>
    </row>
    <row r="157" spans="1:7" hidden="1">
      <c r="A157" s="363">
        <v>44139</v>
      </c>
      <c r="B157" s="1" t="s">
        <v>385</v>
      </c>
      <c r="C157" s="1" t="s">
        <v>348</v>
      </c>
      <c r="D157" s="1"/>
      <c r="E157" s="1">
        <v>1</v>
      </c>
      <c r="F157" s="1">
        <v>6</v>
      </c>
      <c r="G157"/>
    </row>
    <row r="158" spans="1:7">
      <c r="A158" s="362">
        <v>44140</v>
      </c>
      <c r="B158" s="2" t="s">
        <v>385</v>
      </c>
      <c r="C158" s="2" t="s">
        <v>148</v>
      </c>
      <c r="D158" s="364">
        <f>COUNTA(C158)</f>
        <v>1</v>
      </c>
      <c r="E158" s="2">
        <v>6</v>
      </c>
      <c r="F158" s="2">
        <v>6</v>
      </c>
    </row>
    <row r="159" spans="1:7" hidden="1">
      <c r="A159" s="363">
        <v>44141</v>
      </c>
      <c r="B159" s="1" t="s">
        <v>385</v>
      </c>
      <c r="C159" s="1" t="s">
        <v>348</v>
      </c>
      <c r="D159" s="1"/>
      <c r="E159" s="1">
        <v>6</v>
      </c>
      <c r="F159" s="1">
        <v>6</v>
      </c>
      <c r="G159"/>
    </row>
    <row r="160" spans="1:7">
      <c r="A160" s="362">
        <v>44142</v>
      </c>
      <c r="B160" s="2" t="s">
        <v>385</v>
      </c>
      <c r="C160" s="2" t="s">
        <v>148</v>
      </c>
      <c r="D160" s="364">
        <f>COUNTA(C160)</f>
        <v>1</v>
      </c>
      <c r="E160" s="2"/>
      <c r="F160" s="2"/>
      <c r="G160" s="11">
        <f>SUBTOTAL(9,D2:D137)</f>
        <v>25</v>
      </c>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sheetData>
  <autoFilter ref="C1:C151" xr:uid="{9D47F62C-1DC4-429E-9658-1ADA98527302}">
    <filterColumn colId="0">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T51" sqref="T51"/>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360" t="s">
        <v>161</v>
      </c>
      <c r="B1" s="361" t="s">
        <v>160</v>
      </c>
      <c r="C1" s="361" t="s">
        <v>151</v>
      </c>
      <c r="D1" s="361" t="s">
        <v>475</v>
      </c>
      <c r="E1" s="361" t="s">
        <v>150</v>
      </c>
      <c r="F1" s="361" t="s">
        <v>158</v>
      </c>
      <c r="G1" s="367" t="s">
        <v>462</v>
      </c>
    </row>
    <row r="2" spans="1:7" hidden="1">
      <c r="A2" s="363">
        <v>43850</v>
      </c>
      <c r="B2" s="1" t="s">
        <v>232</v>
      </c>
      <c r="C2" s="1" t="s">
        <v>149</v>
      </c>
      <c r="D2" s="1"/>
      <c r="E2" s="1">
        <v>96</v>
      </c>
      <c r="F2" s="1">
        <v>96</v>
      </c>
    </row>
    <row r="3" spans="1:7" hidden="1">
      <c r="A3" s="362">
        <v>43851</v>
      </c>
      <c r="B3" s="2" t="s">
        <v>232</v>
      </c>
      <c r="C3" s="2" t="s">
        <v>153</v>
      </c>
      <c r="D3" s="2"/>
      <c r="E3" s="2"/>
      <c r="F3" s="2"/>
    </row>
    <row r="4" spans="1:7" hidden="1">
      <c r="A4" s="363">
        <v>43852</v>
      </c>
      <c r="B4" s="1" t="s">
        <v>232</v>
      </c>
      <c r="C4" s="1" t="s">
        <v>153</v>
      </c>
      <c r="D4" s="1"/>
      <c r="E4" s="1"/>
      <c r="F4" s="1"/>
    </row>
    <row r="5" spans="1:7" hidden="1">
      <c r="A5" s="362">
        <v>43855</v>
      </c>
      <c r="B5" s="2" t="s">
        <v>232</v>
      </c>
      <c r="C5" s="2" t="s">
        <v>147</v>
      </c>
      <c r="D5" s="2"/>
      <c r="E5" s="2">
        <v>96</v>
      </c>
      <c r="F5" s="2">
        <v>96</v>
      </c>
    </row>
    <row r="6" spans="1:7">
      <c r="A6" s="363">
        <v>43856</v>
      </c>
      <c r="B6" s="1" t="s">
        <v>280</v>
      </c>
      <c r="C6" s="1" t="s">
        <v>148</v>
      </c>
      <c r="D6" s="1">
        <f>COUNTA(C6)</f>
        <v>1</v>
      </c>
      <c r="E6" s="1">
        <v>1</v>
      </c>
      <c r="F6" s="1">
        <v>24</v>
      </c>
    </row>
    <row r="7" spans="1:7">
      <c r="A7" s="362">
        <v>43861</v>
      </c>
      <c r="B7" s="2" t="s">
        <v>280</v>
      </c>
      <c r="C7" s="2" t="s">
        <v>148</v>
      </c>
      <c r="D7" s="1">
        <f>COUNTA(C7)</f>
        <v>1</v>
      </c>
      <c r="E7" s="2">
        <v>1</v>
      </c>
      <c r="F7" s="2">
        <v>6</v>
      </c>
    </row>
    <row r="8" spans="1:7" hidden="1">
      <c r="A8" s="363">
        <v>43862</v>
      </c>
      <c r="B8" s="1" t="s">
        <v>280</v>
      </c>
      <c r="C8" s="1" t="s">
        <v>153</v>
      </c>
      <c r="D8" s="1"/>
      <c r="E8" s="1">
        <v>1</v>
      </c>
      <c r="F8" s="1">
        <v>6</v>
      </c>
    </row>
    <row r="9" spans="1:7">
      <c r="A9" s="362">
        <v>43864</v>
      </c>
      <c r="B9" s="2" t="s">
        <v>280</v>
      </c>
      <c r="C9" s="2" t="s">
        <v>148</v>
      </c>
      <c r="D9" s="1">
        <f>COUNTA(C9)</f>
        <v>1</v>
      </c>
      <c r="E9" s="2">
        <v>5</v>
      </c>
      <c r="F9" s="2">
        <v>6</v>
      </c>
    </row>
    <row r="10" spans="1:7" hidden="1">
      <c r="A10" s="363">
        <v>43865</v>
      </c>
      <c r="B10" s="1" t="s">
        <v>280</v>
      </c>
      <c r="C10" s="1" t="s">
        <v>153</v>
      </c>
      <c r="D10" s="1"/>
      <c r="E10" s="1">
        <v>5</v>
      </c>
      <c r="F10" s="1">
        <v>6</v>
      </c>
    </row>
    <row r="11" spans="1:7" hidden="1">
      <c r="A11" s="362">
        <v>43867</v>
      </c>
      <c r="B11" s="2" t="s">
        <v>280</v>
      </c>
      <c r="C11" s="2" t="s">
        <v>154</v>
      </c>
      <c r="D11" s="2"/>
      <c r="E11" s="2">
        <v>1</v>
      </c>
      <c r="F11" s="2">
        <v>96</v>
      </c>
    </row>
    <row r="12" spans="1:7" hidden="1">
      <c r="A12" s="363">
        <v>43871</v>
      </c>
      <c r="B12" s="1" t="s">
        <v>284</v>
      </c>
      <c r="C12" s="1" t="s">
        <v>147</v>
      </c>
      <c r="D12" s="1"/>
      <c r="E12" s="1">
        <v>1</v>
      </c>
      <c r="F12" s="1">
        <v>96</v>
      </c>
    </row>
    <row r="13" spans="1:7">
      <c r="A13" s="362">
        <v>43873</v>
      </c>
      <c r="B13" s="2" t="s">
        <v>284</v>
      </c>
      <c r="C13" s="2" t="s">
        <v>148</v>
      </c>
      <c r="D13" s="1">
        <f>COUNTA(C13)</f>
        <v>1</v>
      </c>
      <c r="E13" s="2">
        <v>1</v>
      </c>
      <c r="F13" s="2">
        <v>24</v>
      </c>
    </row>
    <row r="14" spans="1:7" hidden="1">
      <c r="A14" s="363">
        <v>43874</v>
      </c>
      <c r="B14" s="1" t="s">
        <v>284</v>
      </c>
      <c r="C14" s="1" t="s">
        <v>153</v>
      </c>
      <c r="D14" s="1"/>
      <c r="E14" s="1">
        <v>1</v>
      </c>
      <c r="F14" s="1">
        <v>24</v>
      </c>
    </row>
    <row r="15" spans="1:7">
      <c r="A15" s="362">
        <v>43875</v>
      </c>
      <c r="B15" s="2" t="s">
        <v>284</v>
      </c>
      <c r="C15" s="2" t="s">
        <v>148</v>
      </c>
      <c r="D15" s="1">
        <f>COUNTA(C15)</f>
        <v>1</v>
      </c>
      <c r="E15" s="2">
        <v>1</v>
      </c>
      <c r="F15" s="2">
        <v>6</v>
      </c>
    </row>
    <row r="16" spans="1:7" hidden="1">
      <c r="A16" s="363">
        <v>43876</v>
      </c>
      <c r="B16" s="1" t="s">
        <v>284</v>
      </c>
      <c r="C16" s="1" t="s">
        <v>153</v>
      </c>
      <c r="D16" s="1"/>
      <c r="E16" s="1">
        <v>1</v>
      </c>
      <c r="F16" s="1">
        <v>6</v>
      </c>
    </row>
    <row r="17" spans="1:6">
      <c r="A17" s="362">
        <v>43877</v>
      </c>
      <c r="B17" s="2" t="s">
        <v>284</v>
      </c>
      <c r="C17" s="2" t="s">
        <v>148</v>
      </c>
      <c r="D17" s="1">
        <f>COUNTA(C17)</f>
        <v>1</v>
      </c>
      <c r="E17" s="2">
        <v>1</v>
      </c>
      <c r="F17" s="2">
        <v>6</v>
      </c>
    </row>
    <row r="18" spans="1:6" hidden="1">
      <c r="A18" s="363">
        <v>43878</v>
      </c>
      <c r="B18" s="1" t="s">
        <v>284</v>
      </c>
      <c r="C18" s="1" t="s">
        <v>153</v>
      </c>
      <c r="D18" s="1"/>
      <c r="E18" s="1">
        <v>1</v>
      </c>
      <c r="F18" s="1">
        <v>6</v>
      </c>
    </row>
    <row r="19" spans="1:6">
      <c r="A19" s="362">
        <v>43880</v>
      </c>
      <c r="B19" s="2" t="s">
        <v>284</v>
      </c>
      <c r="C19" s="2" t="s">
        <v>148</v>
      </c>
      <c r="D19" s="1">
        <f>COUNTA(C19)</f>
        <v>1</v>
      </c>
      <c r="E19" s="2">
        <v>5</v>
      </c>
      <c r="F19" s="2">
        <v>6</v>
      </c>
    </row>
    <row r="20" spans="1:6" hidden="1">
      <c r="A20" s="363">
        <v>43881</v>
      </c>
      <c r="B20" s="1" t="s">
        <v>284</v>
      </c>
      <c r="C20" s="1" t="s">
        <v>153</v>
      </c>
      <c r="D20" s="1"/>
      <c r="E20" s="1">
        <v>5</v>
      </c>
      <c r="F20" s="1">
        <v>6</v>
      </c>
    </row>
    <row r="21" spans="1:6" hidden="1">
      <c r="A21" s="362">
        <v>43882</v>
      </c>
      <c r="B21" s="2" t="s">
        <v>284</v>
      </c>
      <c r="C21" s="2" t="s">
        <v>154</v>
      </c>
      <c r="D21" s="2"/>
      <c r="E21" s="2">
        <v>1</v>
      </c>
      <c r="F21" s="2">
        <v>96</v>
      </c>
    </row>
    <row r="22" spans="1:6" hidden="1">
      <c r="A22" s="363">
        <v>43882</v>
      </c>
      <c r="B22" s="1" t="s">
        <v>284</v>
      </c>
      <c r="C22" s="1" t="s">
        <v>152</v>
      </c>
      <c r="D22" s="1"/>
      <c r="E22" s="1"/>
      <c r="F22" s="1"/>
    </row>
    <row r="23" spans="1:6" hidden="1">
      <c r="A23" s="362">
        <v>43883</v>
      </c>
      <c r="B23" s="2" t="s">
        <v>290</v>
      </c>
      <c r="C23" s="2" t="s">
        <v>153</v>
      </c>
      <c r="D23" s="2"/>
      <c r="E23" s="2">
        <v>1</v>
      </c>
      <c r="F23" s="2">
        <v>96</v>
      </c>
    </row>
    <row r="24" spans="1:6" hidden="1">
      <c r="A24" s="363">
        <v>43883</v>
      </c>
      <c r="B24" s="1" t="s">
        <v>311</v>
      </c>
      <c r="C24" s="1" t="s">
        <v>153</v>
      </c>
      <c r="D24" s="1"/>
      <c r="E24" s="1">
        <v>1</v>
      </c>
      <c r="F24" s="1">
        <v>96</v>
      </c>
    </row>
    <row r="25" spans="1:6" hidden="1">
      <c r="A25" s="362">
        <v>43884</v>
      </c>
      <c r="B25" s="2" t="s">
        <v>290</v>
      </c>
      <c r="C25" s="2" t="s">
        <v>147</v>
      </c>
      <c r="D25" s="2"/>
      <c r="E25" s="2">
        <v>1</v>
      </c>
      <c r="F25" s="2">
        <v>96</v>
      </c>
    </row>
    <row r="26" spans="1:6">
      <c r="A26" s="363">
        <v>43884</v>
      </c>
      <c r="B26" s="1" t="s">
        <v>290</v>
      </c>
      <c r="C26" s="1" t="s">
        <v>148</v>
      </c>
      <c r="D26" s="1">
        <f>COUNTA(C26)</f>
        <v>1</v>
      </c>
      <c r="E26" s="1">
        <v>1</v>
      </c>
      <c r="F26" s="1">
        <v>24</v>
      </c>
    </row>
    <row r="27" spans="1:6" hidden="1">
      <c r="A27" s="362">
        <v>43884</v>
      </c>
      <c r="B27" s="2" t="s">
        <v>311</v>
      </c>
      <c r="C27" s="2" t="s">
        <v>147</v>
      </c>
      <c r="D27" s="2"/>
      <c r="E27" s="2">
        <v>1</v>
      </c>
      <c r="F27" s="2">
        <v>96</v>
      </c>
    </row>
    <row r="28" spans="1:6">
      <c r="A28" s="363">
        <v>43884</v>
      </c>
      <c r="B28" s="1" t="s">
        <v>311</v>
      </c>
      <c r="C28" s="1" t="s">
        <v>148</v>
      </c>
      <c r="D28" s="1">
        <f>COUNTA(C28)</f>
        <v>1</v>
      </c>
      <c r="E28" s="1">
        <v>1</v>
      </c>
      <c r="F28" s="1">
        <v>24</v>
      </c>
    </row>
    <row r="29" spans="1:6" hidden="1">
      <c r="A29" s="362">
        <v>43885</v>
      </c>
      <c r="B29" s="2" t="s">
        <v>290</v>
      </c>
      <c r="C29" s="2" t="s">
        <v>153</v>
      </c>
      <c r="D29" s="2"/>
      <c r="E29" s="2"/>
      <c r="F29" s="2"/>
    </row>
    <row r="30" spans="1:6" hidden="1">
      <c r="A30" s="363">
        <v>43885</v>
      </c>
      <c r="B30" s="1" t="s">
        <v>311</v>
      </c>
      <c r="C30" s="1" t="s">
        <v>153</v>
      </c>
      <c r="D30" s="1"/>
      <c r="E30" s="1"/>
      <c r="F30" s="1"/>
    </row>
    <row r="31" spans="1:6">
      <c r="A31" s="362">
        <v>43890</v>
      </c>
      <c r="B31" s="2" t="s">
        <v>290</v>
      </c>
      <c r="C31" s="2" t="s">
        <v>148</v>
      </c>
      <c r="D31" s="1">
        <f>COUNTA(C31)</f>
        <v>1</v>
      </c>
      <c r="E31" s="2">
        <v>1</v>
      </c>
      <c r="F31" s="2">
        <v>6</v>
      </c>
    </row>
    <row r="32" spans="1:6">
      <c r="A32" s="363">
        <v>43890</v>
      </c>
      <c r="B32" s="1" t="s">
        <v>311</v>
      </c>
      <c r="C32" s="1" t="s">
        <v>148</v>
      </c>
      <c r="D32" s="1">
        <f>COUNTA(C32)</f>
        <v>1</v>
      </c>
      <c r="E32" s="1">
        <v>1</v>
      </c>
      <c r="F32" s="1">
        <v>6</v>
      </c>
    </row>
    <row r="33" spans="1:6">
      <c r="A33" s="362">
        <v>43891</v>
      </c>
      <c r="B33" s="2" t="s">
        <v>311</v>
      </c>
      <c r="C33" s="2" t="s">
        <v>148</v>
      </c>
      <c r="D33" s="1">
        <f>COUNTA(C33)</f>
        <v>1</v>
      </c>
      <c r="E33" s="2">
        <v>5</v>
      </c>
      <c r="F33" s="2">
        <v>6</v>
      </c>
    </row>
    <row r="34" spans="1:6">
      <c r="A34" s="363">
        <v>43891</v>
      </c>
      <c r="B34" s="1" t="s">
        <v>290</v>
      </c>
      <c r="C34" s="1" t="s">
        <v>148</v>
      </c>
      <c r="D34" s="1">
        <f>COUNTA(C34)</f>
        <v>1</v>
      </c>
      <c r="E34" s="1">
        <v>5</v>
      </c>
      <c r="F34" s="1">
        <v>6</v>
      </c>
    </row>
    <row r="35" spans="1:6" hidden="1">
      <c r="A35" s="362">
        <v>43892</v>
      </c>
      <c r="B35" s="2" t="s">
        <v>290</v>
      </c>
      <c r="C35" s="2" t="s">
        <v>153</v>
      </c>
      <c r="D35" s="2"/>
      <c r="E35" s="2">
        <v>5</v>
      </c>
      <c r="F35" s="2">
        <v>6</v>
      </c>
    </row>
    <row r="36" spans="1:6" hidden="1">
      <c r="A36" s="363">
        <v>43892</v>
      </c>
      <c r="B36" s="1" t="s">
        <v>311</v>
      </c>
      <c r="C36" s="1" t="s">
        <v>153</v>
      </c>
      <c r="D36" s="1"/>
      <c r="E36" s="1">
        <v>5</v>
      </c>
      <c r="F36" s="1">
        <v>6</v>
      </c>
    </row>
    <row r="37" spans="1:6" hidden="1">
      <c r="A37" s="362">
        <v>43897</v>
      </c>
      <c r="B37" s="2" t="s">
        <v>311</v>
      </c>
      <c r="C37" s="2" t="s">
        <v>152</v>
      </c>
      <c r="D37" s="2"/>
      <c r="E37" s="2">
        <v>5</v>
      </c>
      <c r="F37" s="2"/>
    </row>
    <row r="38" spans="1:6" hidden="1">
      <c r="A38" s="363">
        <v>43898</v>
      </c>
      <c r="B38" s="1" t="s">
        <v>290</v>
      </c>
      <c r="C38" s="1" t="s">
        <v>152</v>
      </c>
      <c r="D38" s="1"/>
      <c r="E38" s="1"/>
      <c r="F38" s="1"/>
    </row>
    <row r="39" spans="1:6">
      <c r="A39" s="362">
        <v>43928</v>
      </c>
      <c r="B39" s="2" t="s">
        <v>311</v>
      </c>
      <c r="C39" s="2" t="s">
        <v>276</v>
      </c>
      <c r="D39" s="2"/>
      <c r="E39" s="2"/>
      <c r="F39" s="2"/>
    </row>
    <row r="40" spans="1:6">
      <c r="A40" s="363">
        <v>44152</v>
      </c>
      <c r="B40" s="1" t="s">
        <v>311</v>
      </c>
      <c r="C40" s="1" t="s">
        <v>146</v>
      </c>
      <c r="D40" s="1">
        <f>COUNTA(C40)</f>
        <v>1</v>
      </c>
      <c r="E40" s="1">
        <v>1</v>
      </c>
      <c r="F40" s="1">
        <v>6</v>
      </c>
    </row>
    <row r="41" spans="1:6" hidden="1">
      <c r="A41" s="362">
        <v>44153</v>
      </c>
      <c r="B41" s="2" t="s">
        <v>311</v>
      </c>
      <c r="C41" s="2" t="s">
        <v>348</v>
      </c>
      <c r="D41" s="2"/>
      <c r="E41" s="2">
        <v>1</v>
      </c>
      <c r="F41" s="2">
        <v>6</v>
      </c>
    </row>
    <row r="42" spans="1:6" hidden="1">
      <c r="A42" s="363">
        <v>44155</v>
      </c>
      <c r="B42" s="1" t="s">
        <v>311</v>
      </c>
      <c r="C42" s="1" t="s">
        <v>348</v>
      </c>
      <c r="D42" s="1"/>
      <c r="E42" s="1">
        <v>1</v>
      </c>
      <c r="F42" s="1">
        <v>6</v>
      </c>
    </row>
    <row r="43" spans="1:6">
      <c r="A43" s="362">
        <v>44157</v>
      </c>
      <c r="B43" s="2" t="s">
        <v>311</v>
      </c>
      <c r="C43" s="2" t="s">
        <v>148</v>
      </c>
      <c r="D43" s="1">
        <f>COUNTA(C43)</f>
        <v>1</v>
      </c>
      <c r="E43" s="2">
        <v>5</v>
      </c>
      <c r="F43" s="2">
        <v>6</v>
      </c>
    </row>
    <row r="44" spans="1:6" hidden="1">
      <c r="A44" s="363">
        <v>44158</v>
      </c>
      <c r="B44" s="1" t="s">
        <v>311</v>
      </c>
      <c r="C44" s="1" t="s">
        <v>154</v>
      </c>
      <c r="D44" s="1"/>
      <c r="E44" s="1">
        <v>1</v>
      </c>
      <c r="F44" s="1">
        <v>6</v>
      </c>
    </row>
    <row r="45" spans="1:6">
      <c r="A45" s="362">
        <v>44159</v>
      </c>
      <c r="B45" s="2" t="s">
        <v>311</v>
      </c>
      <c r="C45" s="2" t="s">
        <v>148</v>
      </c>
      <c r="D45" s="1">
        <f>COUNTA(C45)</f>
        <v>1</v>
      </c>
      <c r="E45" s="2"/>
      <c r="F45" s="2"/>
    </row>
    <row r="46" spans="1:6" hidden="1">
      <c r="A46" s="363">
        <v>44159</v>
      </c>
      <c r="B46" s="1" t="s">
        <v>445</v>
      </c>
      <c r="C46" s="1" t="s">
        <v>348</v>
      </c>
      <c r="D46" s="1"/>
      <c r="E46" s="1">
        <v>1</v>
      </c>
      <c r="F46" s="1">
        <v>6</v>
      </c>
    </row>
    <row r="47" spans="1:6" hidden="1">
      <c r="A47" s="362">
        <v>44160</v>
      </c>
      <c r="B47" s="2" t="s">
        <v>445</v>
      </c>
      <c r="C47" s="2" t="s">
        <v>348</v>
      </c>
      <c r="D47" s="2"/>
      <c r="E47" s="2">
        <v>1</v>
      </c>
      <c r="F47" s="2">
        <v>6</v>
      </c>
    </row>
    <row r="48" spans="1:6" hidden="1">
      <c r="A48" s="363">
        <v>44162</v>
      </c>
      <c r="B48" s="1" t="s">
        <v>445</v>
      </c>
      <c r="C48" s="1" t="s">
        <v>348</v>
      </c>
      <c r="D48" s="1"/>
      <c r="E48" s="1">
        <v>1</v>
      </c>
      <c r="F48" s="1">
        <v>6</v>
      </c>
    </row>
    <row r="49" spans="1:8">
      <c r="A49" s="362">
        <v>44164</v>
      </c>
      <c r="B49" s="2" t="s">
        <v>445</v>
      </c>
      <c r="C49" s="2" t="s">
        <v>148</v>
      </c>
      <c r="D49" s="1">
        <f>COUNTA(C49)</f>
        <v>1</v>
      </c>
      <c r="E49" s="2">
        <v>2</v>
      </c>
      <c r="F49" s="2">
        <v>6</v>
      </c>
    </row>
    <row r="50" spans="1:8">
      <c r="A50" s="363">
        <v>44164</v>
      </c>
      <c r="B50" s="1" t="s">
        <v>311</v>
      </c>
      <c r="C50" s="1" t="s">
        <v>276</v>
      </c>
      <c r="D50" s="1"/>
      <c r="E50" s="1">
        <v>1</v>
      </c>
      <c r="F50" s="1"/>
    </row>
    <row r="51" spans="1:8">
      <c r="A51" s="362">
        <v>44165</v>
      </c>
      <c r="B51" s="2" t="s">
        <v>445</v>
      </c>
      <c r="C51" s="2" t="s">
        <v>148</v>
      </c>
      <c r="D51" s="1">
        <f>COUNTA(C51)</f>
        <v>1</v>
      </c>
      <c r="E51" s="2">
        <v>5</v>
      </c>
      <c r="F51" s="2">
        <v>10</v>
      </c>
    </row>
    <row r="52" spans="1:8" hidden="1">
      <c r="A52" s="363">
        <v>44166</v>
      </c>
      <c r="B52" s="1" t="s">
        <v>445</v>
      </c>
      <c r="C52" s="1" t="s">
        <v>348</v>
      </c>
      <c r="D52" s="1"/>
      <c r="E52" s="1">
        <v>5</v>
      </c>
      <c r="F52" s="1">
        <v>10</v>
      </c>
    </row>
    <row r="53" spans="1:8" hidden="1">
      <c r="A53" s="362">
        <v>44168</v>
      </c>
      <c r="B53" s="2" t="s">
        <v>445</v>
      </c>
      <c r="C53" s="2" t="s">
        <v>348</v>
      </c>
      <c r="D53" s="2"/>
      <c r="E53" s="2">
        <v>5</v>
      </c>
      <c r="F53" s="2">
        <v>10</v>
      </c>
    </row>
    <row r="54" spans="1:8" hidden="1">
      <c r="A54" s="363">
        <v>44170</v>
      </c>
      <c r="B54" s="1" t="s">
        <v>445</v>
      </c>
      <c r="C54" s="1" t="s">
        <v>348</v>
      </c>
      <c r="D54" s="1"/>
      <c r="E54" s="1">
        <v>5</v>
      </c>
      <c r="F54" s="1">
        <v>10</v>
      </c>
    </row>
    <row r="55" spans="1:8" hidden="1">
      <c r="A55" s="362">
        <v>44171</v>
      </c>
      <c r="B55" s="2" t="s">
        <v>445</v>
      </c>
      <c r="C55" s="2" t="s">
        <v>152</v>
      </c>
      <c r="D55" s="2"/>
      <c r="E55" s="2">
        <v>40</v>
      </c>
      <c r="F55" s="2"/>
    </row>
    <row r="56" spans="1:8">
      <c r="A56" s="363">
        <v>44179</v>
      </c>
      <c r="B56" s="1" t="s">
        <v>445</v>
      </c>
      <c r="C56" s="1" t="s">
        <v>276</v>
      </c>
      <c r="D56" s="1"/>
      <c r="E56" s="1"/>
      <c r="F56" s="1"/>
    </row>
    <row r="57" spans="1:8">
      <c r="A57" s="362">
        <v>44183</v>
      </c>
      <c r="B57" s="2" t="s">
        <v>445</v>
      </c>
      <c r="C57" s="2" t="s">
        <v>440</v>
      </c>
      <c r="E57" s="2"/>
      <c r="F57" s="2"/>
      <c r="G57" s="368">
        <f>SUM(D2:D56)</f>
        <v>18</v>
      </c>
    </row>
    <row r="58" spans="1:8">
      <c r="A58" s="363">
        <v>44207</v>
      </c>
      <c r="B58" s="1" t="s">
        <v>445</v>
      </c>
      <c r="C58" s="1" t="s">
        <v>146</v>
      </c>
      <c r="D58" s="8">
        <v>1</v>
      </c>
      <c r="E58" s="1">
        <v>1</v>
      </c>
      <c r="F58" s="1">
        <v>6</v>
      </c>
      <c r="G58" s="356"/>
    </row>
    <row r="59" spans="1:8" hidden="1">
      <c r="A59" s="362">
        <v>44208</v>
      </c>
      <c r="B59" s="2" t="s">
        <v>445</v>
      </c>
      <c r="C59" s="2" t="s">
        <v>348</v>
      </c>
      <c r="E59" s="2">
        <v>1</v>
      </c>
      <c r="F59" s="2">
        <v>6</v>
      </c>
      <c r="G59" s="357"/>
    </row>
    <row r="60" spans="1:8">
      <c r="A60" s="363">
        <v>44209</v>
      </c>
      <c r="B60" s="1" t="s">
        <v>445</v>
      </c>
      <c r="C60" s="1" t="s">
        <v>148</v>
      </c>
      <c r="D60" s="8">
        <v>1</v>
      </c>
      <c r="E60" s="1"/>
      <c r="F60" s="1"/>
      <c r="G60" s="401">
        <f>SUM(D2:D60)</f>
        <v>20</v>
      </c>
    </row>
    <row r="61" spans="1:8">
      <c r="A61" s="362">
        <v>44209</v>
      </c>
      <c r="B61" s="2" t="s">
        <v>445</v>
      </c>
      <c r="C61" s="2" t="s">
        <v>440</v>
      </c>
      <c r="E61" s="2"/>
      <c r="F61" s="2"/>
      <c r="H61" s="357" t="s">
        <v>500</v>
      </c>
    </row>
    <row r="62" spans="1:8">
      <c r="A62" s="363">
        <v>44212</v>
      </c>
      <c r="B62" s="1" t="s">
        <v>445</v>
      </c>
      <c r="C62" s="1" t="s">
        <v>146</v>
      </c>
      <c r="E62" s="1">
        <v>1</v>
      </c>
      <c r="F62" s="1">
        <v>6</v>
      </c>
      <c r="G62" s="356"/>
    </row>
    <row r="63" spans="1:8">
      <c r="A63" s="362">
        <v>44214</v>
      </c>
      <c r="B63" s="2" t="s">
        <v>445</v>
      </c>
      <c r="C63" s="2" t="s">
        <v>148</v>
      </c>
      <c r="E63" s="2">
        <v>1</v>
      </c>
      <c r="F63" s="2">
        <v>6</v>
      </c>
      <c r="G63" s="357"/>
    </row>
    <row r="64" spans="1:8" hidden="1">
      <c r="A64" s="363">
        <v>44216</v>
      </c>
      <c r="B64" s="1" t="s">
        <v>445</v>
      </c>
      <c r="C64" s="1" t="s">
        <v>348</v>
      </c>
      <c r="E64" s="1">
        <v>1</v>
      </c>
      <c r="F64" s="1">
        <v>6</v>
      </c>
      <c r="G64" s="356"/>
    </row>
    <row r="65" spans="1:7">
      <c r="A65" s="362">
        <v>44217</v>
      </c>
      <c r="B65" s="2" t="s">
        <v>445</v>
      </c>
      <c r="C65" s="2" t="s">
        <v>148</v>
      </c>
      <c r="E65" s="2"/>
      <c r="F65" s="2"/>
      <c r="G65" s="357"/>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FCE90-DDD7-4ADF-ABF2-010540DECD2C}">
  <sheetPr codeName="Sheet11" filterMode="1"/>
  <dimension ref="A1:H99"/>
  <sheetViews>
    <sheetView workbookViewId="0">
      <selection activeCell="K39" sqref="K39"/>
    </sheetView>
  </sheetViews>
  <sheetFormatPr defaultRowHeight="14.25"/>
  <cols>
    <col min="1" max="1" width="17.46484375" customWidth="1"/>
    <col min="2" max="2" width="28.796875" customWidth="1"/>
    <col min="3" max="3" width="9.33203125" customWidth="1"/>
    <col min="4" max="4" width="7.73046875" style="8" customWidth="1"/>
    <col min="5" max="5" width="3.9296875" customWidth="1"/>
    <col min="6" max="6" width="6.265625" customWidth="1"/>
    <col min="7" max="7" width="8.86328125" customWidth="1"/>
    <col min="8" max="8" width="6.06640625" customWidth="1"/>
  </cols>
  <sheetData>
    <row r="1" spans="1:8" s="332" customFormat="1" ht="28.5">
      <c r="A1" s="469" t="s">
        <v>161</v>
      </c>
      <c r="B1" s="470" t="s">
        <v>160</v>
      </c>
      <c r="C1" s="470" t="s">
        <v>151</v>
      </c>
      <c r="D1" s="470" t="s">
        <v>476</v>
      </c>
      <c r="E1" s="470" t="s">
        <v>150</v>
      </c>
      <c r="F1" s="470" t="s">
        <v>158</v>
      </c>
      <c r="G1" s="471" t="s">
        <v>477</v>
      </c>
    </row>
    <row r="2" spans="1:8">
      <c r="A2" s="463">
        <v>43881</v>
      </c>
      <c r="B2" s="464" t="s">
        <v>237</v>
      </c>
      <c r="C2" s="464" t="s">
        <v>149</v>
      </c>
      <c r="D2" s="464"/>
      <c r="E2" s="464">
        <v>96</v>
      </c>
      <c r="F2" s="464">
        <v>96</v>
      </c>
      <c r="G2" s="188"/>
      <c r="H2" s="188"/>
    </row>
    <row r="3" spans="1:8" hidden="1">
      <c r="A3" s="457">
        <v>43882</v>
      </c>
      <c r="B3" s="458" t="s">
        <v>237</v>
      </c>
      <c r="C3" s="458" t="s">
        <v>153</v>
      </c>
      <c r="D3" s="458"/>
      <c r="E3" s="458">
        <v>96</v>
      </c>
      <c r="F3" s="458">
        <v>96</v>
      </c>
    </row>
    <row r="4" spans="1:8" hidden="1">
      <c r="A4" s="363">
        <v>43883</v>
      </c>
      <c r="B4" s="1" t="s">
        <v>237</v>
      </c>
      <c r="C4" s="1" t="s">
        <v>153</v>
      </c>
      <c r="D4" s="1"/>
      <c r="E4" s="1"/>
      <c r="F4" s="1"/>
    </row>
    <row r="5" spans="1:8" hidden="1">
      <c r="A5" s="362">
        <v>43884</v>
      </c>
      <c r="B5" s="2" t="s">
        <v>237</v>
      </c>
      <c r="C5" s="2" t="s">
        <v>147</v>
      </c>
      <c r="D5" s="2"/>
      <c r="E5" s="2">
        <v>96</v>
      </c>
      <c r="F5" s="2">
        <v>96</v>
      </c>
    </row>
    <row r="6" spans="1:8" hidden="1">
      <c r="A6" s="363">
        <v>43885</v>
      </c>
      <c r="B6" s="1" t="s">
        <v>237</v>
      </c>
      <c r="C6" s="1" t="s">
        <v>147</v>
      </c>
      <c r="D6" s="1"/>
      <c r="E6" s="1">
        <v>93</v>
      </c>
      <c r="F6" s="1">
        <v>96</v>
      </c>
    </row>
    <row r="7" spans="1:8" hidden="1">
      <c r="A7" s="362">
        <v>43888</v>
      </c>
      <c r="B7" s="2" t="s">
        <v>237</v>
      </c>
      <c r="C7" s="2" t="s">
        <v>147</v>
      </c>
      <c r="D7" s="2"/>
      <c r="E7" s="2">
        <v>79</v>
      </c>
      <c r="F7" s="2">
        <v>96</v>
      </c>
    </row>
    <row r="8" spans="1:8" hidden="1">
      <c r="A8" s="363">
        <v>43889</v>
      </c>
      <c r="B8" s="1" t="s">
        <v>237</v>
      </c>
      <c r="C8" s="1" t="s">
        <v>147</v>
      </c>
      <c r="D8" s="1"/>
      <c r="E8" s="1">
        <v>61</v>
      </c>
      <c r="F8" s="1">
        <v>96</v>
      </c>
    </row>
    <row r="9" spans="1:8" hidden="1">
      <c r="A9" s="454">
        <v>43890</v>
      </c>
      <c r="B9" s="5" t="s">
        <v>237</v>
      </c>
      <c r="C9" s="5" t="s">
        <v>147</v>
      </c>
      <c r="D9" s="5"/>
      <c r="E9" s="5">
        <v>19</v>
      </c>
      <c r="F9" s="5">
        <v>96</v>
      </c>
    </row>
    <row r="10" spans="1:8">
      <c r="A10" s="463">
        <v>43891</v>
      </c>
      <c r="B10" s="464" t="s">
        <v>296</v>
      </c>
      <c r="C10" s="464" t="s">
        <v>148</v>
      </c>
      <c r="D10" s="464">
        <f>COUNTA(C10)</f>
        <v>1</v>
      </c>
      <c r="E10" s="464">
        <v>1</v>
      </c>
      <c r="F10" s="464">
        <v>24</v>
      </c>
      <c r="G10" s="188"/>
      <c r="H10" s="188"/>
    </row>
    <row r="11" spans="1:8" hidden="1">
      <c r="A11" s="457">
        <v>43892</v>
      </c>
      <c r="B11" s="458" t="s">
        <v>296</v>
      </c>
      <c r="C11" s="458" t="s">
        <v>153</v>
      </c>
      <c r="D11" s="458"/>
      <c r="E11" s="458">
        <v>1</v>
      </c>
      <c r="F11" s="458">
        <v>24</v>
      </c>
    </row>
    <row r="12" spans="1:8" hidden="1">
      <c r="A12" s="455">
        <v>43893</v>
      </c>
      <c r="B12" s="456" t="s">
        <v>296</v>
      </c>
      <c r="C12" s="456" t="s">
        <v>147</v>
      </c>
      <c r="D12" s="456"/>
      <c r="E12" s="456">
        <v>1</v>
      </c>
      <c r="F12" s="456">
        <v>24</v>
      </c>
    </row>
    <row r="13" spans="1:8">
      <c r="A13" s="465">
        <v>43895</v>
      </c>
      <c r="B13" s="466" t="s">
        <v>296</v>
      </c>
      <c r="C13" s="466" t="s">
        <v>148</v>
      </c>
      <c r="D13" s="464">
        <f>COUNTA(C13)</f>
        <v>1</v>
      </c>
      <c r="E13" s="466">
        <v>1</v>
      </c>
      <c r="F13" s="466">
        <v>6</v>
      </c>
      <c r="G13" s="188"/>
      <c r="H13" s="188"/>
    </row>
    <row r="14" spans="1:8" hidden="1">
      <c r="A14" s="459">
        <v>43896</v>
      </c>
      <c r="B14" s="372" t="s">
        <v>296</v>
      </c>
      <c r="C14" s="372" t="s">
        <v>153</v>
      </c>
      <c r="D14" s="372"/>
      <c r="E14" s="372">
        <v>1</v>
      </c>
      <c r="F14" s="372">
        <v>6</v>
      </c>
    </row>
    <row r="15" spans="1:8">
      <c r="A15" s="465">
        <v>43899</v>
      </c>
      <c r="B15" s="466" t="s">
        <v>296</v>
      </c>
      <c r="C15" s="466" t="s">
        <v>148</v>
      </c>
      <c r="D15" s="464">
        <f>COUNTA(C15)</f>
        <v>1</v>
      </c>
      <c r="E15" s="466">
        <v>5</v>
      </c>
      <c r="F15" s="466">
        <v>6</v>
      </c>
      <c r="G15" s="188"/>
      <c r="H15" s="188"/>
    </row>
    <row r="16" spans="1:8" hidden="1">
      <c r="A16" s="460">
        <v>43900</v>
      </c>
      <c r="B16" s="461" t="s">
        <v>296</v>
      </c>
      <c r="C16" s="461" t="s">
        <v>153</v>
      </c>
      <c r="D16" s="461"/>
      <c r="E16" s="461">
        <v>5</v>
      </c>
      <c r="F16" s="461">
        <v>6</v>
      </c>
    </row>
    <row r="17" spans="1:8" hidden="1">
      <c r="A17" s="454">
        <v>43902</v>
      </c>
      <c r="B17" s="5" t="s">
        <v>296</v>
      </c>
      <c r="C17" s="5" t="s">
        <v>147</v>
      </c>
      <c r="D17" s="5"/>
      <c r="E17" s="5"/>
      <c r="F17" s="5"/>
    </row>
    <row r="18" spans="1:8">
      <c r="A18" s="463">
        <v>43902</v>
      </c>
      <c r="B18" s="464" t="s">
        <v>296</v>
      </c>
      <c r="C18" s="464" t="s">
        <v>152</v>
      </c>
      <c r="D18" s="464"/>
      <c r="E18" s="464"/>
      <c r="F18" s="464"/>
      <c r="G18" s="188">
        <v>3</v>
      </c>
      <c r="H18" s="188"/>
    </row>
    <row r="19" spans="1:8" hidden="1">
      <c r="A19" s="457">
        <v>43902</v>
      </c>
      <c r="B19" s="458" t="s">
        <v>296</v>
      </c>
      <c r="C19" s="458" t="s">
        <v>154</v>
      </c>
      <c r="D19" s="458"/>
      <c r="E19" s="458"/>
      <c r="F19" s="458"/>
    </row>
    <row r="20" spans="1:8" hidden="1">
      <c r="A20" s="455">
        <v>43905</v>
      </c>
      <c r="B20" s="456" t="s">
        <v>305</v>
      </c>
      <c r="C20" s="456" t="s">
        <v>147</v>
      </c>
      <c r="D20" s="456"/>
      <c r="E20" s="456">
        <v>1</v>
      </c>
      <c r="F20" s="456">
        <v>96</v>
      </c>
    </row>
    <row r="21" spans="1:8">
      <c r="A21" s="465">
        <v>43912</v>
      </c>
      <c r="B21" s="466" t="s">
        <v>305</v>
      </c>
      <c r="C21" s="466" t="s">
        <v>148</v>
      </c>
      <c r="D21" s="464">
        <f>COUNTA(C21)</f>
        <v>1</v>
      </c>
      <c r="E21" s="466">
        <v>1</v>
      </c>
      <c r="F21" s="466">
        <v>24</v>
      </c>
      <c r="G21" s="188"/>
      <c r="H21" s="188"/>
    </row>
    <row r="22" spans="1:8" hidden="1">
      <c r="A22" s="460">
        <v>43913</v>
      </c>
      <c r="B22" s="461" t="s">
        <v>305</v>
      </c>
      <c r="C22" s="461" t="s">
        <v>153</v>
      </c>
      <c r="D22" s="461"/>
      <c r="E22" s="461">
        <v>1</v>
      </c>
      <c r="F22" s="461">
        <v>24</v>
      </c>
    </row>
    <row r="23" spans="1:8" hidden="1">
      <c r="A23" s="454">
        <v>43914</v>
      </c>
      <c r="B23" s="5" t="s">
        <v>305</v>
      </c>
      <c r="C23" s="5" t="s">
        <v>147</v>
      </c>
      <c r="D23" s="5"/>
      <c r="E23" s="5">
        <v>1</v>
      </c>
      <c r="F23" s="5">
        <v>24</v>
      </c>
    </row>
    <row r="24" spans="1:8">
      <c r="A24" s="463">
        <v>43915</v>
      </c>
      <c r="B24" s="464" t="s">
        <v>305</v>
      </c>
      <c r="C24" s="464" t="s">
        <v>148</v>
      </c>
      <c r="D24" s="464">
        <f>COUNTA(C24)</f>
        <v>1</v>
      </c>
      <c r="E24" s="464">
        <v>1</v>
      </c>
      <c r="F24" s="464">
        <v>6</v>
      </c>
      <c r="G24" s="188"/>
      <c r="H24" s="188"/>
    </row>
    <row r="25" spans="1:8" hidden="1">
      <c r="A25" s="462">
        <v>43916</v>
      </c>
      <c r="B25" s="370" t="s">
        <v>305</v>
      </c>
      <c r="C25" s="370" t="s">
        <v>153</v>
      </c>
      <c r="D25" s="370"/>
      <c r="E25" s="370">
        <v>1</v>
      </c>
      <c r="F25" s="370">
        <v>6</v>
      </c>
    </row>
    <row r="26" spans="1:8">
      <c r="A26" s="463">
        <v>43917</v>
      </c>
      <c r="B26" s="464" t="s">
        <v>305</v>
      </c>
      <c r="C26" s="464" t="s">
        <v>148</v>
      </c>
      <c r="D26" s="464">
        <f>COUNTA(C26)</f>
        <v>1</v>
      </c>
      <c r="E26" s="464">
        <v>5</v>
      </c>
      <c r="F26" s="464">
        <v>6</v>
      </c>
      <c r="G26" s="188"/>
      <c r="H26" s="188"/>
    </row>
    <row r="27" spans="1:8" hidden="1">
      <c r="A27" s="462">
        <v>43918</v>
      </c>
      <c r="B27" s="370" t="s">
        <v>305</v>
      </c>
      <c r="C27" s="370" t="s">
        <v>153</v>
      </c>
      <c r="D27" s="370"/>
      <c r="E27" s="370">
        <v>5</v>
      </c>
      <c r="F27" s="370">
        <v>6</v>
      </c>
    </row>
    <row r="28" spans="1:8">
      <c r="A28" s="463">
        <v>43920</v>
      </c>
      <c r="B28" s="464" t="s">
        <v>305</v>
      </c>
      <c r="C28" s="464" t="s">
        <v>152</v>
      </c>
      <c r="D28" s="464"/>
      <c r="E28" s="464"/>
      <c r="F28" s="464"/>
      <c r="G28" s="188">
        <v>6</v>
      </c>
      <c r="H28" s="188"/>
    </row>
    <row r="29" spans="1:8">
      <c r="A29" s="465">
        <v>44104</v>
      </c>
      <c r="B29" s="466" t="s">
        <v>305</v>
      </c>
      <c r="C29" s="466" t="s">
        <v>146</v>
      </c>
      <c r="D29" s="464">
        <f>COUNTA(C29)</f>
        <v>1</v>
      </c>
      <c r="E29" s="466">
        <v>1</v>
      </c>
      <c r="F29" s="466">
        <v>6</v>
      </c>
      <c r="G29" s="188"/>
      <c r="H29" s="188"/>
    </row>
    <row r="30" spans="1:8" hidden="1">
      <c r="A30" s="459">
        <v>44105</v>
      </c>
      <c r="B30" s="372" t="s">
        <v>305</v>
      </c>
      <c r="C30" s="372" t="s">
        <v>348</v>
      </c>
      <c r="D30" s="372"/>
      <c r="E30" s="372">
        <v>1</v>
      </c>
      <c r="F30" s="372">
        <v>6</v>
      </c>
    </row>
    <row r="31" spans="1:8">
      <c r="A31" s="465">
        <v>44106</v>
      </c>
      <c r="B31" s="466" t="s">
        <v>305</v>
      </c>
      <c r="C31" s="466" t="s">
        <v>148</v>
      </c>
      <c r="D31" s="464">
        <f>COUNTA(C31)</f>
        <v>1</v>
      </c>
      <c r="E31" s="466">
        <v>5</v>
      </c>
      <c r="F31" s="466">
        <v>6</v>
      </c>
      <c r="G31" s="188"/>
      <c r="H31" s="188"/>
    </row>
    <row r="32" spans="1:8" hidden="1">
      <c r="A32" s="460">
        <v>44107</v>
      </c>
      <c r="B32" s="461" t="s">
        <v>305</v>
      </c>
      <c r="C32" s="461" t="s">
        <v>348</v>
      </c>
      <c r="D32" s="461"/>
      <c r="E32" s="461">
        <v>5</v>
      </c>
      <c r="F32" s="461">
        <v>6</v>
      </c>
    </row>
    <row r="33" spans="1:8" hidden="1">
      <c r="A33" s="362">
        <v>44109</v>
      </c>
      <c r="B33" s="2" t="s">
        <v>305</v>
      </c>
      <c r="C33" s="2" t="s">
        <v>154</v>
      </c>
      <c r="D33" s="2"/>
      <c r="E33" s="2"/>
      <c r="F33" s="2"/>
    </row>
    <row r="34" spans="1:8" hidden="1">
      <c r="A34" s="363">
        <v>44110</v>
      </c>
      <c r="B34" s="1" t="s">
        <v>366</v>
      </c>
      <c r="C34" s="1" t="s">
        <v>147</v>
      </c>
      <c r="D34" s="1"/>
      <c r="E34" s="1">
        <v>1</v>
      </c>
      <c r="F34" s="1">
        <v>96</v>
      </c>
    </row>
    <row r="35" spans="1:8" hidden="1">
      <c r="A35" s="362">
        <v>44110</v>
      </c>
      <c r="B35" s="2" t="s">
        <v>366</v>
      </c>
      <c r="C35" s="2" t="s">
        <v>338</v>
      </c>
      <c r="D35" s="2"/>
      <c r="E35" s="2">
        <v>1</v>
      </c>
      <c r="F35" s="2">
        <v>96</v>
      </c>
    </row>
    <row r="36" spans="1:8" hidden="1">
      <c r="A36" s="363">
        <v>44111</v>
      </c>
      <c r="B36" s="1" t="s">
        <v>366</v>
      </c>
      <c r="C36" s="1" t="s">
        <v>338</v>
      </c>
      <c r="D36" s="1"/>
      <c r="E36" s="1">
        <v>1</v>
      </c>
      <c r="F36" s="1">
        <v>96</v>
      </c>
    </row>
    <row r="37" spans="1:8" hidden="1">
      <c r="A37" s="362">
        <v>44112</v>
      </c>
      <c r="B37" s="2" t="s">
        <v>366</v>
      </c>
      <c r="C37" s="2" t="s">
        <v>348</v>
      </c>
      <c r="D37" s="2"/>
      <c r="E37" s="2">
        <v>1</v>
      </c>
      <c r="F37" s="2">
        <v>96</v>
      </c>
    </row>
    <row r="38" spans="1:8" hidden="1">
      <c r="A38" s="455">
        <v>44113</v>
      </c>
      <c r="B38" s="456" t="s">
        <v>366</v>
      </c>
      <c r="C38" s="456" t="s">
        <v>348</v>
      </c>
      <c r="D38" s="456"/>
      <c r="E38" s="456">
        <v>1</v>
      </c>
      <c r="F38" s="456">
        <v>96</v>
      </c>
    </row>
    <row r="39" spans="1:8">
      <c r="A39" s="465">
        <v>44116</v>
      </c>
      <c r="B39" s="466" t="s">
        <v>366</v>
      </c>
      <c r="C39" s="466" t="s">
        <v>148</v>
      </c>
      <c r="D39" s="464">
        <f>COUNTA(C39)</f>
        <v>1</v>
      </c>
      <c r="E39" s="466">
        <v>1</v>
      </c>
      <c r="F39" s="466">
        <v>12</v>
      </c>
      <c r="G39" s="188"/>
      <c r="H39" s="188"/>
    </row>
    <row r="40" spans="1:8" hidden="1">
      <c r="A40" s="460">
        <v>44117</v>
      </c>
      <c r="B40" s="461" t="s">
        <v>366</v>
      </c>
      <c r="C40" s="461" t="s">
        <v>348</v>
      </c>
      <c r="D40" s="461"/>
      <c r="E40" s="461">
        <v>1</v>
      </c>
      <c r="F40" s="461">
        <v>12</v>
      </c>
    </row>
    <row r="41" spans="1:8" hidden="1">
      <c r="A41" s="362">
        <v>44118</v>
      </c>
      <c r="B41" s="2" t="s">
        <v>366</v>
      </c>
      <c r="C41" s="2" t="s">
        <v>147</v>
      </c>
      <c r="D41" s="2"/>
      <c r="E41" s="2">
        <v>1</v>
      </c>
      <c r="F41" s="2">
        <v>12</v>
      </c>
    </row>
    <row r="42" spans="1:8" hidden="1">
      <c r="A42" s="455">
        <v>44118</v>
      </c>
      <c r="B42" s="456" t="s">
        <v>366</v>
      </c>
      <c r="C42" s="456" t="s">
        <v>348</v>
      </c>
      <c r="D42" s="456"/>
      <c r="E42" s="456">
        <v>1</v>
      </c>
      <c r="F42" s="456">
        <v>12</v>
      </c>
    </row>
    <row r="43" spans="1:8">
      <c r="A43" s="465">
        <v>44119</v>
      </c>
      <c r="B43" s="466" t="s">
        <v>366</v>
      </c>
      <c r="C43" s="466" t="s">
        <v>148</v>
      </c>
      <c r="D43" s="464">
        <f>COUNTA(C43)</f>
        <v>1</v>
      </c>
      <c r="E43" s="466">
        <v>1</v>
      </c>
      <c r="F43" s="466">
        <v>6</v>
      </c>
      <c r="G43" s="188"/>
      <c r="H43" s="188"/>
    </row>
    <row r="44" spans="1:8" hidden="1">
      <c r="A44" s="459">
        <v>44120</v>
      </c>
      <c r="B44" s="372" t="s">
        <v>366</v>
      </c>
      <c r="C44" s="372" t="s">
        <v>338</v>
      </c>
      <c r="D44" s="372"/>
      <c r="E44" s="372">
        <v>1</v>
      </c>
      <c r="F44" s="372">
        <v>6</v>
      </c>
    </row>
    <row r="45" spans="1:8">
      <c r="A45" s="465">
        <v>44121</v>
      </c>
      <c r="B45" s="466" t="s">
        <v>366</v>
      </c>
      <c r="C45" s="466" t="s">
        <v>148</v>
      </c>
      <c r="D45" s="464">
        <f>COUNTA(C45)</f>
        <v>1</v>
      </c>
      <c r="E45" s="466">
        <v>5</v>
      </c>
      <c r="F45" s="466">
        <v>6</v>
      </c>
      <c r="G45" s="188"/>
      <c r="H45" s="188"/>
    </row>
    <row r="46" spans="1:8" hidden="1">
      <c r="A46" s="460">
        <v>44123</v>
      </c>
      <c r="B46" s="461" t="s">
        <v>366</v>
      </c>
      <c r="C46" s="461" t="s">
        <v>348</v>
      </c>
      <c r="D46" s="461"/>
      <c r="E46" s="461">
        <v>5</v>
      </c>
      <c r="F46" s="461">
        <v>6</v>
      </c>
    </row>
    <row r="47" spans="1:8" hidden="1">
      <c r="A47" s="454">
        <v>44124</v>
      </c>
      <c r="B47" s="5" t="s">
        <v>366</v>
      </c>
      <c r="C47" s="5" t="s">
        <v>348</v>
      </c>
      <c r="D47" s="5"/>
      <c r="E47" s="5">
        <v>5</v>
      </c>
      <c r="F47" s="5">
        <v>6</v>
      </c>
    </row>
    <row r="48" spans="1:8">
      <c r="A48" s="463">
        <v>44125</v>
      </c>
      <c r="B48" s="464" t="s">
        <v>366</v>
      </c>
      <c r="C48" s="464" t="s">
        <v>152</v>
      </c>
      <c r="D48" s="464"/>
      <c r="E48" s="464">
        <v>5</v>
      </c>
      <c r="F48" s="464"/>
      <c r="G48" s="188">
        <v>11</v>
      </c>
      <c r="H48" s="188"/>
    </row>
    <row r="49" spans="1:8" hidden="1">
      <c r="A49" s="462">
        <v>44125</v>
      </c>
      <c r="B49" s="370" t="s">
        <v>366</v>
      </c>
      <c r="C49" s="370" t="s">
        <v>154</v>
      </c>
      <c r="D49" s="370"/>
      <c r="E49" s="370">
        <v>2</v>
      </c>
      <c r="F49" s="370">
        <v>6</v>
      </c>
    </row>
    <row r="50" spans="1:8">
      <c r="A50" s="463">
        <v>44131</v>
      </c>
      <c r="B50" s="464" t="s">
        <v>366</v>
      </c>
      <c r="C50" s="464" t="s">
        <v>276</v>
      </c>
      <c r="D50" s="188"/>
      <c r="E50" s="464"/>
      <c r="F50" s="464"/>
      <c r="G50" s="467">
        <f>SUBTOTAL(9,D10:D49)</f>
        <v>11</v>
      </c>
      <c r="H50" s="188"/>
    </row>
    <row r="51" spans="1:8" hidden="1">
      <c r="A51" s="457">
        <v>44126</v>
      </c>
      <c r="B51" s="458" t="s">
        <v>413</v>
      </c>
      <c r="C51" s="458" t="s">
        <v>338</v>
      </c>
      <c r="D51" s="458"/>
      <c r="E51" s="458">
        <v>1</v>
      </c>
      <c r="F51" s="458">
        <v>6</v>
      </c>
    </row>
    <row r="52" spans="1:8" hidden="1">
      <c r="A52" s="363">
        <v>44127</v>
      </c>
      <c r="B52" s="1" t="s">
        <v>413</v>
      </c>
      <c r="C52" s="1" t="s">
        <v>338</v>
      </c>
      <c r="D52" s="1"/>
      <c r="E52" s="1">
        <v>1</v>
      </c>
      <c r="F52" s="1">
        <v>6</v>
      </c>
    </row>
    <row r="53" spans="1:8" hidden="1">
      <c r="A53" s="362">
        <v>44129</v>
      </c>
      <c r="B53" s="2" t="s">
        <v>413</v>
      </c>
      <c r="C53" s="2" t="s">
        <v>147</v>
      </c>
      <c r="D53" s="2"/>
      <c r="E53" s="2">
        <v>1</v>
      </c>
      <c r="F53" s="2">
        <v>6</v>
      </c>
    </row>
    <row r="54" spans="1:8" hidden="1">
      <c r="A54" s="363">
        <v>44129</v>
      </c>
      <c r="B54" s="1" t="s">
        <v>413</v>
      </c>
      <c r="C54" s="1" t="s">
        <v>348</v>
      </c>
      <c r="D54" s="1"/>
      <c r="E54" s="1">
        <v>1</v>
      </c>
      <c r="F54" s="1">
        <v>6</v>
      </c>
    </row>
    <row r="55" spans="1:8" hidden="1">
      <c r="A55" s="362">
        <v>44130</v>
      </c>
      <c r="B55" s="2" t="s">
        <v>413</v>
      </c>
      <c r="C55" s="2" t="s">
        <v>147</v>
      </c>
      <c r="D55" s="2"/>
      <c r="E55" s="2">
        <v>1</v>
      </c>
      <c r="F55" s="2">
        <v>6</v>
      </c>
    </row>
    <row r="56" spans="1:8" hidden="1">
      <c r="A56" s="363">
        <v>44131</v>
      </c>
      <c r="B56" s="1" t="s">
        <v>413</v>
      </c>
      <c r="C56" s="1" t="s">
        <v>348</v>
      </c>
      <c r="D56" s="1"/>
      <c r="E56" s="1">
        <v>1</v>
      </c>
      <c r="F56" s="1">
        <v>6</v>
      </c>
    </row>
    <row r="57" spans="1:8" hidden="1">
      <c r="A57" s="363">
        <v>44133</v>
      </c>
      <c r="B57" s="1" t="s">
        <v>413</v>
      </c>
      <c r="C57" s="1" t="s">
        <v>348</v>
      </c>
      <c r="D57" s="1"/>
      <c r="E57" s="1">
        <v>6</v>
      </c>
      <c r="F57" s="1">
        <v>6</v>
      </c>
    </row>
    <row r="58" spans="1:8" hidden="1">
      <c r="A58" s="362">
        <v>44134</v>
      </c>
      <c r="B58" s="2" t="s">
        <v>413</v>
      </c>
      <c r="C58" s="2" t="s">
        <v>348</v>
      </c>
      <c r="D58" s="2"/>
      <c r="E58" s="2">
        <v>6</v>
      </c>
      <c r="F58" s="2">
        <v>6</v>
      </c>
    </row>
    <row r="59" spans="1:8" hidden="1">
      <c r="A59" s="362">
        <v>44137</v>
      </c>
      <c r="B59" s="2" t="s">
        <v>413</v>
      </c>
      <c r="C59" s="2" t="s">
        <v>348</v>
      </c>
      <c r="D59" s="2"/>
      <c r="E59" s="2">
        <v>1</v>
      </c>
      <c r="F59" s="2">
        <v>6</v>
      </c>
    </row>
    <row r="60" spans="1:8" hidden="1">
      <c r="A60" s="363">
        <v>44139</v>
      </c>
      <c r="B60" s="1" t="s">
        <v>413</v>
      </c>
      <c r="C60" s="1" t="s">
        <v>338</v>
      </c>
      <c r="D60" s="1"/>
      <c r="E60" s="1">
        <v>1</v>
      </c>
      <c r="F60" s="1">
        <v>6</v>
      </c>
    </row>
    <row r="61" spans="1:8" hidden="1">
      <c r="A61" s="362">
        <v>44140</v>
      </c>
      <c r="B61" s="2" t="s">
        <v>413</v>
      </c>
      <c r="C61" s="2" t="s">
        <v>348</v>
      </c>
      <c r="D61" s="2"/>
      <c r="E61" s="2">
        <v>1</v>
      </c>
      <c r="F61" s="2">
        <v>6</v>
      </c>
    </row>
    <row r="62" spans="1:8" hidden="1">
      <c r="A62" s="363">
        <v>44142</v>
      </c>
      <c r="B62" s="1" t="s">
        <v>413</v>
      </c>
      <c r="C62" s="1" t="s">
        <v>348</v>
      </c>
      <c r="D62" s="1"/>
      <c r="E62" s="1">
        <v>1</v>
      </c>
      <c r="F62" s="1">
        <v>6</v>
      </c>
    </row>
    <row r="63" spans="1:8" hidden="1">
      <c r="A63" s="363">
        <v>44145</v>
      </c>
      <c r="B63" s="1" t="s">
        <v>413</v>
      </c>
      <c r="C63" s="1" t="s">
        <v>348</v>
      </c>
      <c r="D63" s="1"/>
      <c r="E63" s="1">
        <v>1</v>
      </c>
      <c r="F63" s="1">
        <v>6</v>
      </c>
    </row>
    <row r="64" spans="1:8" hidden="1">
      <c r="A64" s="362">
        <v>44147</v>
      </c>
      <c r="B64" s="2" t="s">
        <v>413</v>
      </c>
      <c r="C64" s="2" t="s">
        <v>348</v>
      </c>
      <c r="D64" s="2"/>
      <c r="E64" s="2">
        <v>1</v>
      </c>
      <c r="F64" s="2">
        <v>6</v>
      </c>
    </row>
    <row r="65" spans="1:8" hidden="1">
      <c r="A65" s="362">
        <v>44152</v>
      </c>
      <c r="B65" s="2" t="s">
        <v>413</v>
      </c>
      <c r="C65" s="2" t="s">
        <v>348</v>
      </c>
      <c r="D65" s="2"/>
      <c r="E65" s="2">
        <v>1</v>
      </c>
      <c r="F65" s="2">
        <v>6</v>
      </c>
    </row>
    <row r="66" spans="1:8" hidden="1">
      <c r="A66" s="363">
        <v>44126</v>
      </c>
      <c r="B66" s="1" t="s">
        <v>416</v>
      </c>
      <c r="C66" s="1" t="s">
        <v>338</v>
      </c>
      <c r="D66" s="1"/>
      <c r="E66" s="1">
        <v>1</v>
      </c>
      <c r="F66" s="1">
        <v>6</v>
      </c>
    </row>
    <row r="67" spans="1:8" hidden="1">
      <c r="A67" s="362">
        <v>44127</v>
      </c>
      <c r="B67" s="2" t="s">
        <v>416</v>
      </c>
      <c r="C67" s="2" t="s">
        <v>338</v>
      </c>
      <c r="D67" s="2"/>
      <c r="E67" s="2">
        <v>1</v>
      </c>
      <c r="F67" s="2">
        <v>6</v>
      </c>
    </row>
    <row r="68" spans="1:8" hidden="1">
      <c r="A68" s="363">
        <v>44129</v>
      </c>
      <c r="B68" s="1" t="s">
        <v>416</v>
      </c>
      <c r="C68" s="1" t="s">
        <v>147</v>
      </c>
      <c r="D68" s="1"/>
      <c r="E68" s="1">
        <v>1</v>
      </c>
      <c r="F68" s="1">
        <v>6</v>
      </c>
    </row>
    <row r="69" spans="1:8" hidden="1">
      <c r="A69" s="362">
        <v>44129</v>
      </c>
      <c r="B69" s="2" t="s">
        <v>416</v>
      </c>
      <c r="C69" s="2" t="s">
        <v>348</v>
      </c>
      <c r="D69" s="2"/>
      <c r="E69" s="2">
        <v>1</v>
      </c>
      <c r="F69" s="2">
        <v>6</v>
      </c>
    </row>
    <row r="70" spans="1:8" hidden="1">
      <c r="A70" s="363">
        <v>44130</v>
      </c>
      <c r="B70" s="1" t="s">
        <v>416</v>
      </c>
      <c r="C70" s="1" t="s">
        <v>147</v>
      </c>
      <c r="D70" s="1"/>
      <c r="E70" s="1">
        <v>1</v>
      </c>
      <c r="F70" s="1">
        <v>6</v>
      </c>
    </row>
    <row r="71" spans="1:8" hidden="1">
      <c r="A71" s="454">
        <v>44131</v>
      </c>
      <c r="B71" s="5" t="s">
        <v>416</v>
      </c>
      <c r="C71" s="5" t="s">
        <v>348</v>
      </c>
      <c r="D71" s="5"/>
      <c r="E71" s="5">
        <v>1</v>
      </c>
      <c r="F71" s="5">
        <v>6</v>
      </c>
    </row>
    <row r="72" spans="1:8">
      <c r="A72" s="463">
        <v>44132</v>
      </c>
      <c r="B72" s="464" t="s">
        <v>416</v>
      </c>
      <c r="C72" s="464" t="s">
        <v>148</v>
      </c>
      <c r="D72" s="464">
        <f>COUNTA(C72)</f>
        <v>1</v>
      </c>
      <c r="E72" s="464">
        <v>6</v>
      </c>
      <c r="F72" s="464">
        <v>6</v>
      </c>
      <c r="G72" s="188"/>
      <c r="H72" s="188"/>
    </row>
    <row r="73" spans="1:8" hidden="1">
      <c r="A73" s="457">
        <v>44133</v>
      </c>
      <c r="B73" s="458" t="s">
        <v>416</v>
      </c>
      <c r="C73" s="458" t="s">
        <v>348</v>
      </c>
      <c r="D73" s="458"/>
      <c r="E73" s="458">
        <v>6</v>
      </c>
      <c r="F73" s="458">
        <v>6</v>
      </c>
    </row>
    <row r="74" spans="1:8" hidden="1">
      <c r="A74" s="455">
        <v>44134</v>
      </c>
      <c r="B74" s="456" t="s">
        <v>416</v>
      </c>
      <c r="C74" s="456" t="s">
        <v>348</v>
      </c>
      <c r="D74" s="456"/>
      <c r="E74" s="456">
        <v>6</v>
      </c>
      <c r="F74" s="456">
        <v>6</v>
      </c>
    </row>
    <row r="75" spans="1:8">
      <c r="A75" s="465">
        <v>44135</v>
      </c>
      <c r="B75" s="466" t="s">
        <v>416</v>
      </c>
      <c r="C75" s="466" t="s">
        <v>148</v>
      </c>
      <c r="D75" s="464">
        <f>COUNTA(C75)</f>
        <v>1</v>
      </c>
      <c r="E75" s="466">
        <v>1</v>
      </c>
      <c r="F75" s="466">
        <v>6</v>
      </c>
      <c r="G75" s="188"/>
      <c r="H75" s="188"/>
    </row>
    <row r="76" spans="1:8">
      <c r="A76" s="463">
        <v>44135</v>
      </c>
      <c r="B76" s="464" t="s">
        <v>416</v>
      </c>
      <c r="C76" s="464" t="s">
        <v>148</v>
      </c>
      <c r="D76" s="464">
        <f>COUNTA(C76)</f>
        <v>1</v>
      </c>
      <c r="E76" s="464">
        <v>5</v>
      </c>
      <c r="F76" s="464">
        <v>10</v>
      </c>
      <c r="G76" s="188"/>
      <c r="H76" s="188"/>
    </row>
    <row r="77" spans="1:8" hidden="1">
      <c r="A77" s="462">
        <v>44137</v>
      </c>
      <c r="B77" s="370" t="s">
        <v>416</v>
      </c>
      <c r="C77" s="370" t="s">
        <v>348</v>
      </c>
      <c r="D77" s="370"/>
      <c r="E77" s="370">
        <v>1</v>
      </c>
      <c r="F77" s="370">
        <v>6</v>
      </c>
    </row>
    <row r="78" spans="1:8">
      <c r="A78" s="463">
        <v>44138</v>
      </c>
      <c r="B78" s="464" t="s">
        <v>416</v>
      </c>
      <c r="C78" s="464" t="s">
        <v>152</v>
      </c>
      <c r="D78" s="464"/>
      <c r="E78" s="464">
        <v>40</v>
      </c>
      <c r="F78" s="464"/>
      <c r="G78" s="188">
        <v>14</v>
      </c>
      <c r="H78" s="188"/>
    </row>
    <row r="79" spans="1:8" hidden="1">
      <c r="A79" s="457">
        <v>44139</v>
      </c>
      <c r="B79" s="458" t="s">
        <v>416</v>
      </c>
      <c r="C79" s="458" t="s">
        <v>348</v>
      </c>
      <c r="D79" s="458"/>
      <c r="E79" s="458">
        <v>1</v>
      </c>
      <c r="F79" s="458">
        <v>6</v>
      </c>
    </row>
    <row r="80" spans="1:8" hidden="1">
      <c r="A80" s="363">
        <v>44140</v>
      </c>
      <c r="B80" s="1" t="s">
        <v>416</v>
      </c>
      <c r="C80" s="1" t="s">
        <v>348</v>
      </c>
      <c r="D80" s="1"/>
      <c r="E80" s="1">
        <v>1</v>
      </c>
      <c r="F80" s="1">
        <v>6</v>
      </c>
    </row>
    <row r="81" spans="1:8" hidden="1">
      <c r="A81" s="454">
        <v>44142</v>
      </c>
      <c r="B81" s="5" t="s">
        <v>416</v>
      </c>
      <c r="C81" s="5" t="s">
        <v>348</v>
      </c>
      <c r="D81" s="5"/>
      <c r="E81" s="5">
        <v>1</v>
      </c>
      <c r="F81" s="5">
        <v>6</v>
      </c>
    </row>
    <row r="82" spans="1:8">
      <c r="A82" s="463">
        <v>44144</v>
      </c>
      <c r="B82" s="464" t="s">
        <v>416</v>
      </c>
      <c r="C82" s="464" t="s">
        <v>148</v>
      </c>
      <c r="D82" s="464">
        <f>COUNTA(C82)</f>
        <v>1</v>
      </c>
      <c r="E82" s="464">
        <v>1</v>
      </c>
      <c r="F82" s="464">
        <v>6</v>
      </c>
      <c r="G82" s="188"/>
      <c r="H82" s="188"/>
    </row>
    <row r="83" spans="1:8" hidden="1">
      <c r="A83" s="457">
        <v>44145</v>
      </c>
      <c r="B83" s="458" t="s">
        <v>416</v>
      </c>
      <c r="C83" s="458" t="s">
        <v>348</v>
      </c>
      <c r="D83" s="458"/>
      <c r="E83" s="458">
        <v>1</v>
      </c>
      <c r="F83" s="458">
        <v>6</v>
      </c>
    </row>
    <row r="84" spans="1:8" hidden="1">
      <c r="A84" s="455">
        <v>44147</v>
      </c>
      <c r="B84" s="456" t="s">
        <v>416</v>
      </c>
      <c r="C84" s="456" t="s">
        <v>348</v>
      </c>
      <c r="D84" s="456"/>
      <c r="E84" s="456">
        <v>1</v>
      </c>
      <c r="F84" s="456">
        <v>6</v>
      </c>
    </row>
    <row r="85" spans="1:8">
      <c r="A85" s="465">
        <v>44151</v>
      </c>
      <c r="B85" s="466" t="s">
        <v>416</v>
      </c>
      <c r="C85" s="466" t="s">
        <v>148</v>
      </c>
      <c r="D85" s="464">
        <f>COUNTA(C85)</f>
        <v>1</v>
      </c>
      <c r="E85" s="466">
        <v>1</v>
      </c>
      <c r="F85" s="466">
        <v>6</v>
      </c>
      <c r="G85" s="188"/>
      <c r="H85" s="188">
        <v>16</v>
      </c>
    </row>
    <row r="86" spans="1:8" hidden="1">
      <c r="A86" s="459">
        <v>44152</v>
      </c>
      <c r="B86" s="372" t="s">
        <v>416</v>
      </c>
      <c r="C86" s="372" t="s">
        <v>348</v>
      </c>
      <c r="D86" s="372"/>
      <c r="E86" s="372">
        <v>1</v>
      </c>
      <c r="F86" s="372">
        <v>6</v>
      </c>
    </row>
    <row r="87" spans="1:8">
      <c r="A87" s="465">
        <v>44154</v>
      </c>
      <c r="B87" s="466" t="s">
        <v>416</v>
      </c>
      <c r="C87" s="466" t="s">
        <v>146</v>
      </c>
      <c r="D87" s="464">
        <f>COUNTA(C87)</f>
        <v>1</v>
      </c>
      <c r="E87" s="466">
        <v>1</v>
      </c>
      <c r="F87" s="466">
        <v>6</v>
      </c>
      <c r="G87" s="188">
        <v>15</v>
      </c>
      <c r="H87" s="188"/>
    </row>
    <row r="88" spans="1:8" hidden="1">
      <c r="A88" s="459">
        <v>44155</v>
      </c>
      <c r="B88" s="372" t="s">
        <v>416</v>
      </c>
      <c r="C88" s="372" t="s">
        <v>348</v>
      </c>
      <c r="D88" s="372"/>
      <c r="E88" s="372">
        <v>1</v>
      </c>
      <c r="F88" s="372">
        <v>6</v>
      </c>
    </row>
    <row r="89" spans="1:8">
      <c r="A89" s="465">
        <v>44157</v>
      </c>
      <c r="B89" s="466" t="s">
        <v>416</v>
      </c>
      <c r="C89" s="466" t="s">
        <v>148</v>
      </c>
      <c r="D89" s="464">
        <f>COUNTA(C89)</f>
        <v>1</v>
      </c>
      <c r="E89" s="466">
        <v>2</v>
      </c>
      <c r="F89" s="466">
        <v>6</v>
      </c>
      <c r="G89" s="188"/>
      <c r="H89" s="188"/>
    </row>
    <row r="90" spans="1:8" hidden="1">
      <c r="A90" s="460">
        <v>44158</v>
      </c>
      <c r="B90" s="461" t="s">
        <v>416</v>
      </c>
      <c r="C90" s="461" t="s">
        <v>348</v>
      </c>
      <c r="D90" s="461"/>
      <c r="E90" s="461">
        <v>2</v>
      </c>
      <c r="F90" s="461">
        <v>6</v>
      </c>
    </row>
    <row r="91" spans="1:8" hidden="1">
      <c r="A91" s="454">
        <v>44159</v>
      </c>
      <c r="B91" s="5" t="s">
        <v>416</v>
      </c>
      <c r="C91" s="5" t="s">
        <v>348</v>
      </c>
      <c r="D91" s="5"/>
      <c r="E91" s="5">
        <v>2</v>
      </c>
      <c r="F91" s="5">
        <v>6</v>
      </c>
    </row>
    <row r="92" spans="1:8">
      <c r="A92" s="463">
        <v>44160</v>
      </c>
      <c r="B92" s="464" t="s">
        <v>416</v>
      </c>
      <c r="C92" s="464" t="s">
        <v>148</v>
      </c>
      <c r="D92" s="464">
        <f>COUNTA(C92)</f>
        <v>1</v>
      </c>
      <c r="E92" s="464"/>
      <c r="F92" s="464"/>
      <c r="G92" s="188"/>
      <c r="H92" s="188"/>
    </row>
    <row r="93" spans="1:8">
      <c r="A93" s="465">
        <v>44164</v>
      </c>
      <c r="B93" s="466" t="s">
        <v>416</v>
      </c>
      <c r="C93" s="466" t="s">
        <v>276</v>
      </c>
      <c r="D93" s="188"/>
      <c r="E93" s="466">
        <v>1</v>
      </c>
      <c r="F93" s="466"/>
      <c r="G93" s="196">
        <v>17</v>
      </c>
      <c r="H93" s="188"/>
    </row>
    <row r="94" spans="1:8">
      <c r="A94" s="463">
        <v>44168</v>
      </c>
      <c r="B94" s="464" t="s">
        <v>416</v>
      </c>
      <c r="C94" s="464" t="s">
        <v>440</v>
      </c>
      <c r="D94" s="464"/>
      <c r="E94" s="464"/>
      <c r="F94" s="464"/>
      <c r="G94" s="188">
        <v>17</v>
      </c>
      <c r="H94" s="188"/>
    </row>
    <row r="95" spans="1:8">
      <c r="A95" s="468">
        <v>44168</v>
      </c>
      <c r="B95" s="188" t="s">
        <v>416</v>
      </c>
      <c r="C95" s="188" t="s">
        <v>440</v>
      </c>
      <c r="D95" s="188"/>
      <c r="E95" s="188"/>
      <c r="F95" s="188"/>
      <c r="G95" s="188"/>
      <c r="H95" s="188"/>
    </row>
    <row r="96" spans="1:8">
      <c r="A96" s="468">
        <v>44207</v>
      </c>
      <c r="B96" s="188" t="s">
        <v>416</v>
      </c>
      <c r="C96" s="188" t="s">
        <v>146</v>
      </c>
      <c r="D96" s="188"/>
      <c r="E96" s="188"/>
      <c r="F96" s="188"/>
      <c r="G96" s="188">
        <v>15</v>
      </c>
      <c r="H96" s="188"/>
    </row>
    <row r="97" spans="1:8" hidden="1">
      <c r="A97" s="331">
        <v>44208</v>
      </c>
      <c r="B97" s="8" t="s">
        <v>416</v>
      </c>
      <c r="C97" s="8" t="s">
        <v>348</v>
      </c>
    </row>
    <row r="98" spans="1:8">
      <c r="A98" s="468">
        <v>44209</v>
      </c>
      <c r="B98" s="188" t="s">
        <v>416</v>
      </c>
      <c r="C98" s="188" t="s">
        <v>440</v>
      </c>
      <c r="D98" s="188"/>
      <c r="E98" s="188"/>
      <c r="F98" s="188"/>
      <c r="G98" s="196">
        <v>15</v>
      </c>
      <c r="H98" s="188"/>
    </row>
    <row r="99" spans="1:8">
      <c r="A99" s="188"/>
      <c r="B99" s="188"/>
      <c r="C99" s="188"/>
      <c r="D99" s="188"/>
      <c r="E99" s="188"/>
      <c r="F99" s="188"/>
      <c r="G99" s="188"/>
      <c r="H99" s="188"/>
    </row>
  </sheetData>
  <autoFilter ref="A1:C98" xr:uid="{A7E806F1-3AFD-453B-B31F-0E8197AC8FAB}">
    <filterColumn colId="2">
      <filters>
        <filter val="Extract DNA"/>
        <filter val="Freeze"/>
        <filter val="Passage"/>
        <filter val="Send out for analysis"/>
        <filter val="Thaw"/>
        <filter val="Transfect"/>
      </filters>
    </filterColumn>
  </autoFilter>
  <pageMargins left="0.7" right="0.7" top="0.75" bottom="0.75" header="0.3" footer="0.3"/>
  <pageSetup orientation="portrait"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9ED7-BF26-4548-ABF0-D835DFECDF29}">
  <sheetPr codeName="Sheet10" filterMode="1"/>
  <dimension ref="A1:H68"/>
  <sheetViews>
    <sheetView workbookViewId="0">
      <selection activeCell="C72" sqref="C72"/>
    </sheetView>
  </sheetViews>
  <sheetFormatPr defaultRowHeight="14.25"/>
  <cols>
    <col min="1" max="1" width="14.19921875" customWidth="1"/>
    <col min="2" max="2" width="30.796875" customWidth="1"/>
    <col min="3" max="3" width="15.19921875" customWidth="1"/>
    <col min="4" max="4" width="12.796875" style="8" customWidth="1"/>
  </cols>
  <sheetData>
    <row r="1" spans="1:7">
      <c r="A1" s="360" t="s">
        <v>161</v>
      </c>
      <c r="B1" s="361" t="s">
        <v>160</v>
      </c>
      <c r="C1" s="361" t="s">
        <v>151</v>
      </c>
      <c r="D1" s="361" t="s">
        <v>475</v>
      </c>
      <c r="E1" s="361" t="s">
        <v>150</v>
      </c>
      <c r="F1" s="361" t="s">
        <v>158</v>
      </c>
      <c r="G1" s="367" t="s">
        <v>462</v>
      </c>
    </row>
    <row r="2" spans="1:7">
      <c r="A2" s="363">
        <v>43890</v>
      </c>
      <c r="B2" s="1" t="s">
        <v>297</v>
      </c>
      <c r="C2" s="1" t="s">
        <v>148</v>
      </c>
      <c r="D2" s="1">
        <f>COUNTA(C2)</f>
        <v>1</v>
      </c>
      <c r="E2" s="1">
        <v>1</v>
      </c>
      <c r="F2" s="1">
        <v>24</v>
      </c>
    </row>
    <row r="3" spans="1:7" hidden="1">
      <c r="A3" s="362">
        <v>43891</v>
      </c>
      <c r="B3" s="2" t="s">
        <v>297</v>
      </c>
      <c r="C3" s="2" t="s">
        <v>153</v>
      </c>
      <c r="D3" s="2"/>
      <c r="E3" s="2">
        <v>1</v>
      </c>
      <c r="F3" s="2">
        <v>24</v>
      </c>
    </row>
    <row r="4" spans="1:7" hidden="1">
      <c r="A4" s="363">
        <v>43893</v>
      </c>
      <c r="B4" s="1" t="s">
        <v>297</v>
      </c>
      <c r="C4" s="1" t="s">
        <v>147</v>
      </c>
      <c r="D4" s="1"/>
      <c r="E4" s="1">
        <v>1</v>
      </c>
      <c r="F4" s="1">
        <v>24</v>
      </c>
    </row>
    <row r="5" spans="1:7">
      <c r="A5" s="362">
        <v>43893</v>
      </c>
      <c r="B5" s="2" t="s">
        <v>297</v>
      </c>
      <c r="C5" s="2" t="s">
        <v>148</v>
      </c>
      <c r="D5" s="1">
        <f>COUNTA(C5)</f>
        <v>1</v>
      </c>
      <c r="E5" s="2">
        <v>1</v>
      </c>
      <c r="F5" s="2">
        <v>6</v>
      </c>
    </row>
    <row r="6" spans="1:7" hidden="1">
      <c r="A6" s="363">
        <v>43894</v>
      </c>
      <c r="B6" s="1" t="s">
        <v>297</v>
      </c>
      <c r="C6" s="1" t="s">
        <v>153</v>
      </c>
      <c r="D6" s="1"/>
      <c r="E6" s="1">
        <v>1</v>
      </c>
      <c r="F6" s="1">
        <v>6</v>
      </c>
    </row>
    <row r="7" spans="1:7">
      <c r="A7" s="362">
        <v>43897</v>
      </c>
      <c r="B7" s="2" t="s">
        <v>297</v>
      </c>
      <c r="C7" s="2" t="s">
        <v>148</v>
      </c>
      <c r="D7" s="1">
        <f>COUNTA(C7)</f>
        <v>1</v>
      </c>
      <c r="E7" s="2">
        <v>5</v>
      </c>
      <c r="F7" s="2">
        <v>6</v>
      </c>
    </row>
    <row r="8" spans="1:7">
      <c r="A8" s="363">
        <v>43901</v>
      </c>
      <c r="B8" s="1" t="s">
        <v>297</v>
      </c>
      <c r="C8" s="1" t="s">
        <v>152</v>
      </c>
      <c r="D8" s="1"/>
      <c r="E8" s="1"/>
      <c r="F8" s="1"/>
      <c r="G8">
        <v>3</v>
      </c>
    </row>
    <row r="9" spans="1:7">
      <c r="A9" s="362">
        <v>43901</v>
      </c>
      <c r="B9" s="2" t="s">
        <v>297</v>
      </c>
      <c r="C9" s="2" t="s">
        <v>154</v>
      </c>
      <c r="D9" s="2"/>
      <c r="E9" s="2">
        <v>1</v>
      </c>
      <c r="F9" s="2">
        <v>96</v>
      </c>
    </row>
    <row r="10" spans="1:7" hidden="1">
      <c r="A10" s="363">
        <v>43902</v>
      </c>
      <c r="B10" s="1" t="s">
        <v>302</v>
      </c>
      <c r="C10" s="1" t="s">
        <v>153</v>
      </c>
      <c r="D10" s="1"/>
      <c r="E10" s="1">
        <v>1</v>
      </c>
      <c r="F10" s="1">
        <v>96</v>
      </c>
    </row>
    <row r="11" spans="1:7" hidden="1">
      <c r="A11" s="362">
        <v>43904</v>
      </c>
      <c r="B11" s="2" t="s">
        <v>302</v>
      </c>
      <c r="C11" s="2" t="s">
        <v>147</v>
      </c>
      <c r="D11" s="2"/>
      <c r="E11" s="2">
        <v>1</v>
      </c>
      <c r="F11" s="2">
        <v>96</v>
      </c>
    </row>
    <row r="12" spans="1:7" hidden="1">
      <c r="A12" s="363">
        <v>43907</v>
      </c>
      <c r="B12" s="1" t="s">
        <v>302</v>
      </c>
      <c r="C12" s="1" t="s">
        <v>147</v>
      </c>
      <c r="D12" s="1"/>
      <c r="E12" s="1">
        <v>1</v>
      </c>
      <c r="F12" s="1">
        <v>96</v>
      </c>
    </row>
    <row r="13" spans="1:7">
      <c r="A13" s="362">
        <v>43909</v>
      </c>
      <c r="B13" s="2" t="s">
        <v>302</v>
      </c>
      <c r="C13" s="2" t="s">
        <v>148</v>
      </c>
      <c r="D13" s="1">
        <f>COUNTA(C13)</f>
        <v>1</v>
      </c>
      <c r="E13" s="2">
        <v>1</v>
      </c>
      <c r="F13" s="2">
        <v>24</v>
      </c>
    </row>
    <row r="14" spans="1:7" hidden="1">
      <c r="A14" s="363">
        <v>43910</v>
      </c>
      <c r="B14" s="1" t="s">
        <v>302</v>
      </c>
      <c r="C14" s="1" t="s">
        <v>153</v>
      </c>
      <c r="D14" s="1"/>
      <c r="E14" s="1">
        <v>1</v>
      </c>
      <c r="F14" s="1">
        <v>24</v>
      </c>
    </row>
    <row r="15" spans="1:7">
      <c r="A15" s="362">
        <v>43912</v>
      </c>
      <c r="B15" s="2" t="s">
        <v>302</v>
      </c>
      <c r="C15" s="2" t="s">
        <v>148</v>
      </c>
      <c r="D15" s="1">
        <f>COUNTA(C15)</f>
        <v>1</v>
      </c>
      <c r="E15" s="2">
        <v>1</v>
      </c>
      <c r="F15" s="2">
        <v>6</v>
      </c>
    </row>
    <row r="16" spans="1:7" hidden="1">
      <c r="A16" s="363">
        <v>43913</v>
      </c>
      <c r="B16" s="1" t="s">
        <v>302</v>
      </c>
      <c r="C16" s="1" t="s">
        <v>153</v>
      </c>
      <c r="D16" s="1"/>
      <c r="E16" s="1">
        <v>1</v>
      </c>
      <c r="F16" s="1">
        <v>6</v>
      </c>
    </row>
    <row r="17" spans="1:7">
      <c r="A17" s="362">
        <v>43914</v>
      </c>
      <c r="B17" s="2" t="s">
        <v>302</v>
      </c>
      <c r="C17" s="2" t="s">
        <v>148</v>
      </c>
      <c r="D17" s="1">
        <f>COUNTA(C17)</f>
        <v>1</v>
      </c>
      <c r="E17" s="2">
        <v>5</v>
      </c>
      <c r="F17" s="2">
        <v>6</v>
      </c>
      <c r="G17">
        <v>6</v>
      </c>
    </row>
    <row r="18" spans="1:7" hidden="1">
      <c r="A18" s="363">
        <v>43915</v>
      </c>
      <c r="B18" s="1" t="s">
        <v>302</v>
      </c>
      <c r="C18" s="1" t="s">
        <v>153</v>
      </c>
      <c r="D18" s="1"/>
      <c r="E18" s="1">
        <v>5</v>
      </c>
      <c r="F18" s="1">
        <v>6</v>
      </c>
    </row>
    <row r="19" spans="1:7" s="8" customFormat="1">
      <c r="A19" s="428" t="s">
        <v>553</v>
      </c>
      <c r="B19" s="1"/>
      <c r="C19" s="1"/>
      <c r="D19" s="1"/>
      <c r="E19" s="1"/>
      <c r="F19" s="1"/>
      <c r="G19" s="8" t="s">
        <v>554</v>
      </c>
    </row>
    <row r="20" spans="1:7">
      <c r="A20" s="362">
        <v>44104</v>
      </c>
      <c r="B20" s="2" t="s">
        <v>302</v>
      </c>
      <c r="C20" s="2" t="s">
        <v>146</v>
      </c>
      <c r="D20" s="1">
        <f>COUNTA(C20)</f>
        <v>1</v>
      </c>
      <c r="E20" s="2">
        <v>1</v>
      </c>
      <c r="F20" s="2">
        <v>6</v>
      </c>
      <c r="G20">
        <v>7</v>
      </c>
    </row>
    <row r="21" spans="1:7" hidden="1">
      <c r="A21" s="363">
        <v>44105</v>
      </c>
      <c r="B21" s="1" t="s">
        <v>302</v>
      </c>
      <c r="C21" s="1" t="s">
        <v>348</v>
      </c>
      <c r="D21" s="1"/>
      <c r="E21" s="1">
        <v>1</v>
      </c>
      <c r="F21" s="1">
        <v>6</v>
      </c>
    </row>
    <row r="22" spans="1:7">
      <c r="A22" s="362">
        <v>44106</v>
      </c>
      <c r="B22" s="2" t="s">
        <v>302</v>
      </c>
      <c r="C22" s="2" t="s">
        <v>148</v>
      </c>
      <c r="D22" s="1">
        <f>COUNTA(C22)</f>
        <v>1</v>
      </c>
      <c r="E22" s="2">
        <v>5</v>
      </c>
      <c r="F22" s="2">
        <v>6</v>
      </c>
    </row>
    <row r="23" spans="1:7" hidden="1">
      <c r="A23" s="363">
        <v>44107</v>
      </c>
      <c r="B23" s="1" t="s">
        <v>302</v>
      </c>
      <c r="C23" s="1" t="s">
        <v>348</v>
      </c>
      <c r="D23" s="1"/>
      <c r="E23" s="1">
        <v>5</v>
      </c>
      <c r="F23" s="1">
        <v>6</v>
      </c>
    </row>
    <row r="24" spans="1:7">
      <c r="A24" s="362">
        <v>44109</v>
      </c>
      <c r="B24" s="2" t="s">
        <v>302</v>
      </c>
      <c r="C24" s="2" t="s">
        <v>152</v>
      </c>
      <c r="D24" s="2"/>
      <c r="E24" s="2"/>
      <c r="F24" s="2"/>
      <c r="G24">
        <v>8</v>
      </c>
    </row>
    <row r="25" spans="1:7">
      <c r="A25" s="363">
        <v>44109</v>
      </c>
      <c r="B25" s="1" t="s">
        <v>302</v>
      </c>
      <c r="C25" s="1" t="s">
        <v>154</v>
      </c>
      <c r="D25" s="1"/>
      <c r="E25" s="1"/>
      <c r="F25" s="1"/>
    </row>
    <row r="26" spans="1:7" hidden="1">
      <c r="A26" s="362">
        <v>44110</v>
      </c>
      <c r="B26" s="2" t="s">
        <v>367</v>
      </c>
      <c r="C26" s="2" t="s">
        <v>147</v>
      </c>
      <c r="D26" s="2"/>
      <c r="E26" s="2">
        <v>1</v>
      </c>
      <c r="F26" s="2">
        <v>96</v>
      </c>
    </row>
    <row r="27" spans="1:7" hidden="1">
      <c r="A27" s="363">
        <v>44110</v>
      </c>
      <c r="B27" s="1" t="s">
        <v>367</v>
      </c>
      <c r="C27" s="1" t="s">
        <v>338</v>
      </c>
      <c r="D27" s="1"/>
      <c r="E27" s="1">
        <v>1</v>
      </c>
      <c r="F27" s="1">
        <v>96</v>
      </c>
    </row>
    <row r="28" spans="1:7" hidden="1">
      <c r="A28" s="362">
        <v>44111</v>
      </c>
      <c r="B28" s="2" t="s">
        <v>367</v>
      </c>
      <c r="C28" s="2" t="s">
        <v>338</v>
      </c>
      <c r="D28" s="2"/>
      <c r="E28" s="2">
        <v>1</v>
      </c>
      <c r="F28" s="2">
        <v>96</v>
      </c>
    </row>
    <row r="29" spans="1:7" hidden="1">
      <c r="A29" s="363">
        <v>44112</v>
      </c>
      <c r="B29" s="1" t="s">
        <v>367</v>
      </c>
      <c r="C29" s="1" t="s">
        <v>348</v>
      </c>
      <c r="D29" s="1"/>
      <c r="E29" s="1">
        <v>1</v>
      </c>
      <c r="F29" s="1">
        <v>96</v>
      </c>
    </row>
    <row r="30" spans="1:7" hidden="1">
      <c r="A30" s="362">
        <v>44113</v>
      </c>
      <c r="B30" s="2" t="s">
        <v>367</v>
      </c>
      <c r="C30" s="2" t="s">
        <v>348</v>
      </c>
      <c r="D30" s="2"/>
      <c r="E30" s="2">
        <v>1</v>
      </c>
      <c r="F30" s="2">
        <v>96</v>
      </c>
    </row>
    <row r="31" spans="1:7">
      <c r="A31" s="363">
        <v>44116</v>
      </c>
      <c r="B31" s="1" t="s">
        <v>367</v>
      </c>
      <c r="C31" s="1" t="s">
        <v>148</v>
      </c>
      <c r="D31" s="1">
        <f>COUNTA(C31)</f>
        <v>1</v>
      </c>
      <c r="E31" s="1">
        <v>1</v>
      </c>
      <c r="F31" s="1">
        <v>12</v>
      </c>
    </row>
    <row r="32" spans="1:7" hidden="1">
      <c r="A32" s="362">
        <v>44117</v>
      </c>
      <c r="B32" s="2" t="s">
        <v>367</v>
      </c>
      <c r="C32" s="2" t="s">
        <v>348</v>
      </c>
      <c r="D32" s="2"/>
      <c r="E32" s="2">
        <v>1</v>
      </c>
      <c r="F32" s="2">
        <v>12</v>
      </c>
    </row>
    <row r="33" spans="1:8" hidden="1">
      <c r="A33" s="363">
        <v>44118</v>
      </c>
      <c r="B33" s="1" t="s">
        <v>367</v>
      </c>
      <c r="C33" s="1" t="s">
        <v>348</v>
      </c>
      <c r="D33" s="1"/>
      <c r="E33" s="1">
        <v>1</v>
      </c>
      <c r="F33" s="1">
        <v>12</v>
      </c>
    </row>
    <row r="34" spans="1:8" hidden="1">
      <c r="A34" s="362">
        <v>44118</v>
      </c>
      <c r="B34" s="2" t="s">
        <v>367</v>
      </c>
      <c r="C34" s="2" t="s">
        <v>147</v>
      </c>
      <c r="D34" s="2"/>
      <c r="E34" s="2">
        <v>1</v>
      </c>
      <c r="F34" s="2">
        <v>12</v>
      </c>
    </row>
    <row r="35" spans="1:8">
      <c r="A35" s="363">
        <v>44119</v>
      </c>
      <c r="B35" s="1" t="s">
        <v>367</v>
      </c>
      <c r="C35" s="1" t="s">
        <v>148</v>
      </c>
      <c r="D35" s="1">
        <f>COUNTA(C35)</f>
        <v>1</v>
      </c>
      <c r="E35" s="1">
        <v>1</v>
      </c>
      <c r="F35" s="1">
        <v>6</v>
      </c>
    </row>
    <row r="36" spans="1:8" hidden="1">
      <c r="A36" s="362">
        <v>44120</v>
      </c>
      <c r="B36" s="2" t="s">
        <v>367</v>
      </c>
      <c r="C36" s="2" t="s">
        <v>338</v>
      </c>
      <c r="D36" s="2"/>
      <c r="E36" s="2">
        <v>1</v>
      </c>
      <c r="F36" s="2">
        <v>6</v>
      </c>
    </row>
    <row r="37" spans="1:8">
      <c r="A37" s="363">
        <v>44121</v>
      </c>
      <c r="B37" s="1" t="s">
        <v>367</v>
      </c>
      <c r="C37" s="1" t="s">
        <v>148</v>
      </c>
      <c r="D37" s="1">
        <f>COUNTA(C37)</f>
        <v>1</v>
      </c>
      <c r="E37" s="1">
        <v>5</v>
      </c>
      <c r="F37" s="1">
        <v>6</v>
      </c>
      <c r="G37" s="429">
        <v>11</v>
      </c>
    </row>
    <row r="38" spans="1:8" hidden="1">
      <c r="A38" s="362">
        <v>44123</v>
      </c>
      <c r="B38" s="2" t="s">
        <v>367</v>
      </c>
      <c r="C38" s="2" t="s">
        <v>348</v>
      </c>
      <c r="D38" s="2"/>
      <c r="E38" s="2">
        <v>5</v>
      </c>
      <c r="F38" s="2">
        <v>6</v>
      </c>
    </row>
    <row r="39" spans="1:8" hidden="1">
      <c r="A39" s="363">
        <v>44124</v>
      </c>
      <c r="B39" s="1" t="s">
        <v>367</v>
      </c>
      <c r="C39" s="1" t="s">
        <v>348</v>
      </c>
      <c r="D39" s="1"/>
      <c r="E39" s="1">
        <v>5</v>
      </c>
      <c r="F39" s="1">
        <v>6</v>
      </c>
    </row>
    <row r="40" spans="1:8">
      <c r="A40" s="362">
        <v>44125</v>
      </c>
      <c r="B40" s="2" t="s">
        <v>367</v>
      </c>
      <c r="C40" s="2" t="s">
        <v>154</v>
      </c>
      <c r="D40" s="2"/>
      <c r="E40" s="2">
        <v>1</v>
      </c>
      <c r="F40" s="2">
        <v>12</v>
      </c>
      <c r="G40" s="429"/>
      <c r="H40" t="s">
        <v>555</v>
      </c>
    </row>
    <row r="41" spans="1:8">
      <c r="A41" s="363">
        <v>44126</v>
      </c>
      <c r="B41" s="1" t="s">
        <v>367</v>
      </c>
      <c r="C41" s="1" t="s">
        <v>152</v>
      </c>
      <c r="D41" s="1"/>
      <c r="E41" s="1">
        <v>4</v>
      </c>
      <c r="F41" s="1">
        <v>6</v>
      </c>
      <c r="G41" s="429">
        <v>12</v>
      </c>
    </row>
    <row r="42" spans="1:8" hidden="1">
      <c r="A42" s="362">
        <v>44126</v>
      </c>
      <c r="B42" s="2" t="s">
        <v>386</v>
      </c>
      <c r="C42" s="2" t="s">
        <v>338</v>
      </c>
      <c r="D42" s="2"/>
      <c r="E42" s="2">
        <v>1</v>
      </c>
      <c r="F42" s="2">
        <v>12</v>
      </c>
    </row>
    <row r="43" spans="1:8" hidden="1">
      <c r="A43" s="363">
        <v>44127</v>
      </c>
      <c r="B43" s="1" t="s">
        <v>386</v>
      </c>
      <c r="C43" s="1" t="s">
        <v>338</v>
      </c>
      <c r="D43" s="1"/>
      <c r="E43" s="1">
        <v>1</v>
      </c>
      <c r="F43" s="1">
        <v>12</v>
      </c>
    </row>
    <row r="44" spans="1:8" hidden="1">
      <c r="A44" s="362">
        <v>44129</v>
      </c>
      <c r="B44" s="2" t="s">
        <v>386</v>
      </c>
      <c r="C44" s="2" t="s">
        <v>338</v>
      </c>
      <c r="D44" s="2"/>
      <c r="E44" s="2">
        <v>1</v>
      </c>
      <c r="F44" s="2">
        <v>12</v>
      </c>
    </row>
    <row r="45" spans="1:8" hidden="1">
      <c r="A45" s="363">
        <v>44131</v>
      </c>
      <c r="B45" s="1" t="s">
        <v>386</v>
      </c>
      <c r="C45" s="1" t="s">
        <v>348</v>
      </c>
      <c r="D45" s="1"/>
      <c r="E45" s="1">
        <v>1</v>
      </c>
      <c r="F45" s="1">
        <v>12</v>
      </c>
    </row>
    <row r="46" spans="1:8" hidden="1">
      <c r="A46" s="362">
        <v>44132</v>
      </c>
      <c r="B46" s="2" t="s">
        <v>386</v>
      </c>
      <c r="C46" s="2" t="s">
        <v>348</v>
      </c>
      <c r="D46" s="2"/>
      <c r="E46" s="2">
        <v>1</v>
      </c>
      <c r="F46" s="2">
        <v>12</v>
      </c>
    </row>
    <row r="47" spans="1:8" hidden="1">
      <c r="A47" s="363">
        <v>44133</v>
      </c>
      <c r="B47" s="1" t="s">
        <v>386</v>
      </c>
      <c r="C47" s="1" t="s">
        <v>348</v>
      </c>
      <c r="D47" s="1"/>
      <c r="E47" s="1">
        <v>1</v>
      </c>
      <c r="F47" s="1">
        <v>12</v>
      </c>
    </row>
    <row r="48" spans="1:8" hidden="1">
      <c r="A48" s="362">
        <v>44134</v>
      </c>
      <c r="B48" s="2" t="s">
        <v>386</v>
      </c>
      <c r="C48" s="2" t="s">
        <v>348</v>
      </c>
      <c r="D48" s="2"/>
      <c r="E48" s="2">
        <v>1</v>
      </c>
      <c r="F48" s="2">
        <v>12</v>
      </c>
    </row>
    <row r="49" spans="1:7">
      <c r="A49" s="363">
        <v>44135</v>
      </c>
      <c r="B49" s="1" t="s">
        <v>386</v>
      </c>
      <c r="C49" s="1" t="s">
        <v>148</v>
      </c>
      <c r="D49" s="1">
        <f>COUNTA(C49)</f>
        <v>1</v>
      </c>
      <c r="E49" s="1">
        <v>1</v>
      </c>
      <c r="F49" s="1">
        <v>6</v>
      </c>
    </row>
    <row r="50" spans="1:7" hidden="1">
      <c r="A50" s="362">
        <v>44137</v>
      </c>
      <c r="B50" s="2" t="s">
        <v>386</v>
      </c>
      <c r="C50" s="2" t="s">
        <v>348</v>
      </c>
      <c r="D50" s="2"/>
      <c r="E50" s="2">
        <v>1</v>
      </c>
      <c r="F50" s="2">
        <v>6</v>
      </c>
    </row>
    <row r="51" spans="1:7" hidden="1">
      <c r="A51" s="363">
        <v>44138</v>
      </c>
      <c r="B51" s="1" t="s">
        <v>386</v>
      </c>
      <c r="C51" s="1"/>
      <c r="D51" s="1"/>
      <c r="E51" s="1">
        <v>1</v>
      </c>
      <c r="F51" s="1">
        <v>6</v>
      </c>
    </row>
    <row r="52" spans="1:7" hidden="1">
      <c r="A52" s="362">
        <v>44139</v>
      </c>
      <c r="B52" s="2" t="s">
        <v>386</v>
      </c>
      <c r="C52" s="2" t="s">
        <v>348</v>
      </c>
      <c r="D52" s="2"/>
      <c r="E52" s="2">
        <v>1</v>
      </c>
      <c r="F52" s="2">
        <v>6</v>
      </c>
    </row>
    <row r="53" spans="1:7">
      <c r="A53" s="363">
        <v>44140</v>
      </c>
      <c r="B53" s="1" t="s">
        <v>386</v>
      </c>
      <c r="C53" s="1" t="s">
        <v>148</v>
      </c>
      <c r="D53" s="1">
        <f>COUNTA(C53)</f>
        <v>1</v>
      </c>
      <c r="E53" s="1">
        <v>1</v>
      </c>
      <c r="F53" s="1">
        <v>6</v>
      </c>
    </row>
    <row r="54" spans="1:7">
      <c r="A54" s="362">
        <v>44140</v>
      </c>
      <c r="B54" s="2" t="s">
        <v>386</v>
      </c>
      <c r="C54" s="2" t="s">
        <v>154</v>
      </c>
      <c r="D54" s="2"/>
      <c r="E54" s="2">
        <v>1</v>
      </c>
      <c r="F54" s="2">
        <v>6</v>
      </c>
    </row>
    <row r="55" spans="1:7" hidden="1">
      <c r="A55" s="363">
        <v>44141</v>
      </c>
      <c r="B55" s="1" t="s">
        <v>386</v>
      </c>
      <c r="C55" s="1" t="s">
        <v>348</v>
      </c>
      <c r="D55" s="1"/>
      <c r="E55" s="1">
        <v>1</v>
      </c>
      <c r="F55" s="1">
        <v>6</v>
      </c>
    </row>
    <row r="56" spans="1:7" hidden="1">
      <c r="A56" s="362">
        <v>44141</v>
      </c>
      <c r="B56" s="2" t="s">
        <v>386</v>
      </c>
      <c r="C56" s="2" t="s">
        <v>348</v>
      </c>
      <c r="D56" s="2"/>
      <c r="E56" s="2">
        <v>1</v>
      </c>
      <c r="F56" s="2">
        <v>6</v>
      </c>
    </row>
    <row r="57" spans="1:7" hidden="1">
      <c r="A57" s="363">
        <v>44142</v>
      </c>
      <c r="B57" s="1" t="s">
        <v>386</v>
      </c>
      <c r="C57" s="1" t="s">
        <v>348</v>
      </c>
      <c r="D57" s="1"/>
      <c r="E57" s="1"/>
      <c r="F57" s="1"/>
    </row>
    <row r="58" spans="1:7" hidden="1">
      <c r="A58" s="362">
        <v>44144</v>
      </c>
      <c r="B58" s="2" t="s">
        <v>386</v>
      </c>
      <c r="C58" s="2"/>
      <c r="D58" s="2"/>
      <c r="E58" s="2"/>
      <c r="F58" s="2"/>
    </row>
    <row r="59" spans="1:7" hidden="1">
      <c r="A59" s="363">
        <v>44142</v>
      </c>
      <c r="B59" s="1" t="s">
        <v>405</v>
      </c>
      <c r="C59" s="1" t="s">
        <v>348</v>
      </c>
      <c r="D59" s="1"/>
      <c r="E59" s="1"/>
      <c r="F59" s="1"/>
    </row>
    <row r="60" spans="1:7" hidden="1">
      <c r="A60" s="362">
        <v>44144</v>
      </c>
      <c r="B60" s="2" t="s">
        <v>405</v>
      </c>
      <c r="C60" s="2" t="s">
        <v>348</v>
      </c>
      <c r="D60" s="2"/>
      <c r="E60" s="2">
        <v>5</v>
      </c>
      <c r="F60" s="2">
        <v>6</v>
      </c>
    </row>
    <row r="61" spans="1:7">
      <c r="A61" s="363">
        <v>44145</v>
      </c>
      <c r="B61" s="1" t="s">
        <v>405</v>
      </c>
      <c r="C61" s="1" t="s">
        <v>148</v>
      </c>
      <c r="D61" s="1">
        <f>COUNTA(C61)</f>
        <v>1</v>
      </c>
      <c r="E61" s="1">
        <v>5</v>
      </c>
      <c r="F61" s="1">
        <v>10</v>
      </c>
    </row>
    <row r="62" spans="1:7">
      <c r="A62" s="362">
        <v>44148</v>
      </c>
      <c r="B62" s="2" t="s">
        <v>405</v>
      </c>
      <c r="C62" s="2" t="s">
        <v>152</v>
      </c>
      <c r="D62" s="2"/>
      <c r="E62" s="2">
        <v>40</v>
      </c>
      <c r="F62" s="2"/>
      <c r="G62">
        <v>15</v>
      </c>
    </row>
    <row r="63" spans="1:7">
      <c r="A63" s="363">
        <v>44154</v>
      </c>
      <c r="B63" s="1" t="s">
        <v>405</v>
      </c>
      <c r="C63" s="1" t="s">
        <v>146</v>
      </c>
      <c r="D63" s="1">
        <f>COUNTA(C63)</f>
        <v>1</v>
      </c>
      <c r="E63" s="1">
        <v>1</v>
      </c>
      <c r="F63" s="1">
        <v>6</v>
      </c>
    </row>
    <row r="64" spans="1:7">
      <c r="A64" s="362">
        <v>44155</v>
      </c>
      <c r="B64" s="2" t="s">
        <v>405</v>
      </c>
      <c r="C64" s="2" t="s">
        <v>148</v>
      </c>
      <c r="D64" s="1">
        <f>COUNTA(C64)</f>
        <v>1</v>
      </c>
      <c r="E64" s="2">
        <v>5</v>
      </c>
      <c r="F64" s="2">
        <v>6</v>
      </c>
    </row>
    <row r="65" spans="1:8" hidden="1">
      <c r="A65" s="363">
        <v>44157</v>
      </c>
      <c r="B65" s="1" t="s">
        <v>405</v>
      </c>
      <c r="C65" s="1" t="s">
        <v>348</v>
      </c>
      <c r="D65" s="1"/>
      <c r="E65" s="1">
        <v>5</v>
      </c>
      <c r="F65" s="1">
        <v>6</v>
      </c>
    </row>
    <row r="66" spans="1:8">
      <c r="A66" s="362">
        <v>44158</v>
      </c>
      <c r="B66" s="2" t="s">
        <v>405</v>
      </c>
      <c r="C66" s="2" t="s">
        <v>148</v>
      </c>
      <c r="D66" s="1">
        <f>COUNTA(C66)</f>
        <v>1</v>
      </c>
      <c r="E66" s="2"/>
      <c r="F66" s="2"/>
    </row>
    <row r="67" spans="1:8">
      <c r="A67" s="363">
        <v>44164</v>
      </c>
      <c r="B67" s="1" t="s">
        <v>405</v>
      </c>
      <c r="C67" s="1" t="s">
        <v>276</v>
      </c>
      <c r="E67" s="1">
        <v>1</v>
      </c>
      <c r="F67" s="1"/>
      <c r="G67" s="366">
        <f>COUNT(D2:D66)</f>
        <v>17</v>
      </c>
      <c r="H67" t="s">
        <v>556</v>
      </c>
    </row>
    <row r="68" spans="1:8">
      <c r="A68" s="362">
        <v>44168</v>
      </c>
      <c r="B68" s="2" t="s">
        <v>405</v>
      </c>
      <c r="C68" s="2" t="s">
        <v>440</v>
      </c>
      <c r="D68" s="2"/>
      <c r="E68" s="2"/>
      <c r="F68" s="2"/>
    </row>
  </sheetData>
  <autoFilter ref="A1:G68" xr:uid="{58BBAD65-32A4-4EC0-8A22-93148CBB0481}">
    <filterColumn colId="2">
      <filters>
        <filter val="Extract DNA"/>
        <filter val="Freeze"/>
        <filter val="Passage"/>
        <filter val="Send out for analysis"/>
        <filter val="Sort"/>
        <filter val="Thaw"/>
      </filters>
    </filterColumn>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645B1-896F-4B17-B941-A0AB1BEF5261}">
  <sheetPr codeName="Sheet12" filterMode="1"/>
  <dimension ref="A1:G74"/>
  <sheetViews>
    <sheetView workbookViewId="0">
      <selection activeCell="B82" sqref="B82"/>
    </sheetView>
  </sheetViews>
  <sheetFormatPr defaultRowHeight="14.25"/>
  <cols>
    <col min="1" max="1" width="17" customWidth="1"/>
    <col min="2" max="2" width="31.53125" customWidth="1"/>
    <col min="4" max="4" width="11.53125" style="8" customWidth="1"/>
    <col min="5" max="5" width="5.46484375" customWidth="1"/>
  </cols>
  <sheetData>
    <row r="1" spans="1:7">
      <c r="A1" s="360" t="s">
        <v>161</v>
      </c>
      <c r="B1" s="361" t="s">
        <v>160</v>
      </c>
      <c r="C1" s="361" t="s">
        <v>151</v>
      </c>
      <c r="D1" s="361" t="s">
        <v>476</v>
      </c>
      <c r="E1" s="361" t="s">
        <v>150</v>
      </c>
      <c r="F1" s="361" t="s">
        <v>158</v>
      </c>
      <c r="G1" s="367" t="s">
        <v>478</v>
      </c>
    </row>
    <row r="2" spans="1:7">
      <c r="A2" s="362">
        <v>43890</v>
      </c>
      <c r="B2" s="2" t="s">
        <v>299</v>
      </c>
      <c r="C2" s="2" t="s">
        <v>148</v>
      </c>
      <c r="D2" s="2">
        <f>COUNTA(C2)</f>
        <v>1</v>
      </c>
      <c r="E2" s="2">
        <v>1</v>
      </c>
      <c r="F2" s="2">
        <v>24</v>
      </c>
    </row>
    <row r="3" spans="1:7" hidden="1">
      <c r="A3" s="363">
        <v>43891</v>
      </c>
      <c r="B3" s="1" t="s">
        <v>299</v>
      </c>
      <c r="C3" s="1" t="s">
        <v>153</v>
      </c>
      <c r="D3" s="1"/>
      <c r="E3" s="1">
        <v>1</v>
      </c>
      <c r="F3" s="1">
        <v>24</v>
      </c>
    </row>
    <row r="4" spans="1:7" hidden="1">
      <c r="A4" s="362">
        <v>43893</v>
      </c>
      <c r="B4" s="2" t="s">
        <v>299</v>
      </c>
      <c r="C4" s="2" t="s">
        <v>147</v>
      </c>
      <c r="D4" s="2"/>
      <c r="E4" s="2">
        <v>1</v>
      </c>
      <c r="F4" s="2">
        <v>24</v>
      </c>
    </row>
    <row r="5" spans="1:7">
      <c r="A5" s="363">
        <v>43893</v>
      </c>
      <c r="B5" s="1" t="s">
        <v>299</v>
      </c>
      <c r="C5" s="1" t="s">
        <v>148</v>
      </c>
      <c r="D5" s="2">
        <f>COUNTA(C5)</f>
        <v>1</v>
      </c>
      <c r="E5" s="1">
        <v>1</v>
      </c>
      <c r="F5" s="1">
        <v>6</v>
      </c>
    </row>
    <row r="6" spans="1:7" hidden="1">
      <c r="A6" s="362">
        <v>43894</v>
      </c>
      <c r="B6" s="2" t="s">
        <v>299</v>
      </c>
      <c r="C6" s="2" t="s">
        <v>153</v>
      </c>
      <c r="D6" s="2"/>
      <c r="E6" s="2">
        <v>1</v>
      </c>
      <c r="F6" s="2">
        <v>6</v>
      </c>
    </row>
    <row r="7" spans="1:7">
      <c r="A7" s="363">
        <v>43897</v>
      </c>
      <c r="B7" s="1" t="s">
        <v>299</v>
      </c>
      <c r="C7" s="1" t="s">
        <v>148</v>
      </c>
      <c r="D7" s="2">
        <f>COUNTA(C7)</f>
        <v>1</v>
      </c>
      <c r="E7" s="1">
        <v>5</v>
      </c>
      <c r="F7" s="1">
        <v>6</v>
      </c>
    </row>
    <row r="8" spans="1:7" hidden="1">
      <c r="A8" s="362">
        <v>43900</v>
      </c>
      <c r="B8" s="2" t="s">
        <v>299</v>
      </c>
      <c r="C8" s="2" t="s">
        <v>154</v>
      </c>
      <c r="D8" s="2"/>
      <c r="E8" s="2">
        <v>1</v>
      </c>
      <c r="F8" s="2">
        <v>96</v>
      </c>
    </row>
    <row r="9" spans="1:7" hidden="1">
      <c r="A9" s="363">
        <v>43900</v>
      </c>
      <c r="B9" s="1" t="s">
        <v>299</v>
      </c>
      <c r="C9" s="1" t="s">
        <v>152</v>
      </c>
      <c r="D9" s="1"/>
      <c r="E9" s="1"/>
      <c r="F9" s="1"/>
    </row>
    <row r="10" spans="1:7" hidden="1">
      <c r="A10" s="362">
        <v>43901</v>
      </c>
      <c r="B10" s="2" t="s">
        <v>299</v>
      </c>
      <c r="C10" s="2" t="s">
        <v>153</v>
      </c>
      <c r="D10" s="2"/>
      <c r="E10" s="2">
        <v>1</v>
      </c>
      <c r="F10" s="2">
        <v>96</v>
      </c>
    </row>
    <row r="11" spans="1:7" hidden="1">
      <c r="A11" s="363">
        <v>43901</v>
      </c>
      <c r="B11" s="1" t="s">
        <v>304</v>
      </c>
      <c r="C11" s="1" t="s">
        <v>147</v>
      </c>
      <c r="D11" s="1"/>
      <c r="E11" s="1"/>
      <c r="F11" s="1"/>
    </row>
    <row r="12" spans="1:7" hidden="1">
      <c r="A12" s="362">
        <v>43903</v>
      </c>
      <c r="B12" s="2" t="s">
        <v>304</v>
      </c>
      <c r="C12" s="2" t="s">
        <v>147</v>
      </c>
      <c r="D12" s="2"/>
      <c r="E12" s="2">
        <v>1</v>
      </c>
      <c r="F12" s="2">
        <v>96</v>
      </c>
    </row>
    <row r="13" spans="1:7" hidden="1">
      <c r="A13" s="363">
        <v>43907</v>
      </c>
      <c r="B13" s="1" t="s">
        <v>304</v>
      </c>
      <c r="C13" s="1" t="s">
        <v>147</v>
      </c>
      <c r="D13" s="1"/>
      <c r="E13" s="1">
        <v>1</v>
      </c>
      <c r="F13" s="1">
        <v>96</v>
      </c>
    </row>
    <row r="14" spans="1:7">
      <c r="A14" s="362">
        <v>43908</v>
      </c>
      <c r="B14" s="2" t="s">
        <v>304</v>
      </c>
      <c r="C14" s="2" t="s">
        <v>148</v>
      </c>
      <c r="D14" s="2">
        <f>COUNTA(C14)</f>
        <v>1</v>
      </c>
      <c r="E14" s="2">
        <v>1</v>
      </c>
      <c r="F14" s="2">
        <v>24</v>
      </c>
    </row>
    <row r="15" spans="1:7" hidden="1">
      <c r="A15" s="363">
        <v>43909</v>
      </c>
      <c r="B15" s="1" t="s">
        <v>304</v>
      </c>
      <c r="C15" s="1" t="s">
        <v>153</v>
      </c>
      <c r="D15" s="1"/>
      <c r="E15" s="1">
        <v>1</v>
      </c>
      <c r="F15" s="1">
        <v>24</v>
      </c>
    </row>
    <row r="16" spans="1:7">
      <c r="A16" s="362">
        <v>43912</v>
      </c>
      <c r="B16" s="2" t="s">
        <v>304</v>
      </c>
      <c r="C16" s="2" t="s">
        <v>148</v>
      </c>
      <c r="D16" s="2">
        <f>COUNTA(C16)</f>
        <v>1</v>
      </c>
      <c r="E16" s="2">
        <v>1</v>
      </c>
      <c r="F16" s="2">
        <v>6</v>
      </c>
    </row>
    <row r="17" spans="1:6" hidden="1">
      <c r="A17" s="363">
        <v>43913</v>
      </c>
      <c r="B17" s="1" t="s">
        <v>304</v>
      </c>
      <c r="C17" s="1" t="s">
        <v>153</v>
      </c>
      <c r="D17" s="1"/>
      <c r="E17" s="1">
        <v>1</v>
      </c>
      <c r="F17" s="1">
        <v>6</v>
      </c>
    </row>
    <row r="18" spans="1:6">
      <c r="A18" s="362">
        <v>43914</v>
      </c>
      <c r="B18" s="2" t="s">
        <v>304</v>
      </c>
      <c r="C18" s="2" t="s">
        <v>148</v>
      </c>
      <c r="D18" s="2">
        <f>COUNTA(C18)</f>
        <v>1</v>
      </c>
      <c r="E18" s="2">
        <v>5</v>
      </c>
      <c r="F18" s="2">
        <v>6</v>
      </c>
    </row>
    <row r="19" spans="1:6" hidden="1">
      <c r="A19" s="363">
        <v>43915</v>
      </c>
      <c r="B19" s="1" t="s">
        <v>304</v>
      </c>
      <c r="C19" s="1" t="s">
        <v>153</v>
      </c>
      <c r="D19" s="1"/>
      <c r="E19" s="1">
        <v>5</v>
      </c>
      <c r="F19" s="1">
        <v>6</v>
      </c>
    </row>
    <row r="20" spans="1:6">
      <c r="A20" s="362">
        <v>44104</v>
      </c>
      <c r="B20" s="2" t="s">
        <v>304</v>
      </c>
      <c r="C20" s="2" t="s">
        <v>146</v>
      </c>
      <c r="D20" s="2">
        <f>COUNTA(C20)</f>
        <v>1</v>
      </c>
      <c r="E20" s="2">
        <v>1</v>
      </c>
      <c r="F20" s="2">
        <v>6</v>
      </c>
    </row>
    <row r="21" spans="1:6" hidden="1">
      <c r="A21" s="363">
        <v>44105</v>
      </c>
      <c r="B21" s="1" t="s">
        <v>304</v>
      </c>
      <c r="C21" s="1" t="s">
        <v>348</v>
      </c>
      <c r="D21" s="1"/>
      <c r="E21" s="1">
        <v>1</v>
      </c>
      <c r="F21" s="1">
        <v>6</v>
      </c>
    </row>
    <row r="22" spans="1:6">
      <c r="A22" s="362">
        <v>44106</v>
      </c>
      <c r="B22" s="2" t="s">
        <v>304</v>
      </c>
      <c r="C22" s="2" t="s">
        <v>148</v>
      </c>
      <c r="D22" s="2">
        <f>COUNTA(C22)</f>
        <v>1</v>
      </c>
      <c r="E22" s="2">
        <v>5</v>
      </c>
      <c r="F22" s="2">
        <v>6</v>
      </c>
    </row>
    <row r="23" spans="1:6" hidden="1">
      <c r="A23" s="363">
        <v>44107</v>
      </c>
      <c r="B23" s="1" t="s">
        <v>304</v>
      </c>
      <c r="C23" s="1" t="s">
        <v>348</v>
      </c>
      <c r="D23" s="1"/>
      <c r="E23" s="1">
        <v>5</v>
      </c>
      <c r="F23" s="1">
        <v>6</v>
      </c>
    </row>
    <row r="24" spans="1:6" hidden="1">
      <c r="A24" s="362">
        <v>44109</v>
      </c>
      <c r="B24" s="2" t="s">
        <v>304</v>
      </c>
      <c r="C24" s="2" t="s">
        <v>348</v>
      </c>
      <c r="D24" s="2"/>
      <c r="E24" s="2">
        <v>5</v>
      </c>
      <c r="F24" s="2">
        <v>6</v>
      </c>
    </row>
    <row r="25" spans="1:6" hidden="1">
      <c r="A25" s="363">
        <v>44110</v>
      </c>
      <c r="B25" s="1" t="s">
        <v>304</v>
      </c>
      <c r="C25" s="1" t="s">
        <v>348</v>
      </c>
      <c r="D25" s="1"/>
      <c r="E25" s="1">
        <v>5</v>
      </c>
      <c r="F25" s="1">
        <v>6</v>
      </c>
    </row>
    <row r="26" spans="1:6" hidden="1">
      <c r="A26" s="362">
        <v>44111</v>
      </c>
      <c r="B26" s="2" t="s">
        <v>304</v>
      </c>
      <c r="C26" s="2" t="s">
        <v>154</v>
      </c>
      <c r="D26" s="2"/>
      <c r="E26" s="2">
        <v>1</v>
      </c>
      <c r="F26" s="2">
        <v>96</v>
      </c>
    </row>
    <row r="27" spans="1:6" hidden="1">
      <c r="A27" s="363">
        <v>44111</v>
      </c>
      <c r="B27" s="1" t="s">
        <v>304</v>
      </c>
      <c r="C27" s="1" t="s">
        <v>152</v>
      </c>
      <c r="D27" s="1"/>
      <c r="E27" s="1"/>
      <c r="F27" s="1"/>
    </row>
    <row r="28" spans="1:6" hidden="1">
      <c r="A28" s="362">
        <v>44112</v>
      </c>
      <c r="B28" s="2" t="s">
        <v>371</v>
      </c>
      <c r="C28" s="2" t="s">
        <v>147</v>
      </c>
      <c r="D28" s="2"/>
      <c r="E28" s="2">
        <v>1</v>
      </c>
      <c r="F28" s="2">
        <v>96</v>
      </c>
    </row>
    <row r="29" spans="1:6" hidden="1">
      <c r="A29" s="363">
        <v>44112</v>
      </c>
      <c r="B29" s="1" t="s">
        <v>371</v>
      </c>
      <c r="C29" s="1" t="s">
        <v>338</v>
      </c>
      <c r="D29" s="1"/>
      <c r="E29" s="1">
        <v>1</v>
      </c>
      <c r="F29" s="1">
        <v>96</v>
      </c>
    </row>
    <row r="30" spans="1:6" hidden="1">
      <c r="A30" s="362">
        <v>44113</v>
      </c>
      <c r="B30" s="2" t="s">
        <v>371</v>
      </c>
      <c r="C30" s="2" t="s">
        <v>338</v>
      </c>
      <c r="D30" s="2"/>
      <c r="E30" s="2">
        <v>1</v>
      </c>
      <c r="F30" s="2">
        <v>96</v>
      </c>
    </row>
    <row r="31" spans="1:6">
      <c r="A31" s="363">
        <v>44116</v>
      </c>
      <c r="B31" s="1" t="s">
        <v>371</v>
      </c>
      <c r="C31" s="1" t="s">
        <v>148</v>
      </c>
      <c r="D31" s="2">
        <f>COUNTA(C31)</f>
        <v>1</v>
      </c>
      <c r="E31" s="1">
        <v>1</v>
      </c>
      <c r="F31" s="1">
        <v>12</v>
      </c>
    </row>
    <row r="32" spans="1:6" hidden="1">
      <c r="A32" s="362">
        <v>44117</v>
      </c>
      <c r="B32" s="2" t="s">
        <v>371</v>
      </c>
      <c r="C32" s="2" t="s">
        <v>348</v>
      </c>
      <c r="D32" s="2"/>
      <c r="E32" s="2">
        <v>1</v>
      </c>
      <c r="F32" s="2">
        <v>12</v>
      </c>
    </row>
    <row r="33" spans="1:6" hidden="1">
      <c r="A33" s="363">
        <v>44118</v>
      </c>
      <c r="B33" s="1" t="s">
        <v>371</v>
      </c>
      <c r="C33" s="1" t="s">
        <v>147</v>
      </c>
      <c r="D33" s="1"/>
      <c r="E33" s="1">
        <v>1</v>
      </c>
      <c r="F33" s="1">
        <v>12</v>
      </c>
    </row>
    <row r="34" spans="1:6" hidden="1">
      <c r="A34" s="362">
        <v>44118</v>
      </c>
      <c r="B34" s="2" t="s">
        <v>371</v>
      </c>
      <c r="C34" s="2" t="s">
        <v>348</v>
      </c>
      <c r="D34" s="2"/>
      <c r="E34" s="2">
        <v>1</v>
      </c>
      <c r="F34" s="2">
        <v>12</v>
      </c>
    </row>
    <row r="35" spans="1:6">
      <c r="A35" s="363">
        <v>44119</v>
      </c>
      <c r="B35" s="1" t="s">
        <v>371</v>
      </c>
      <c r="C35" s="1" t="s">
        <v>148</v>
      </c>
      <c r="D35" s="2">
        <f>COUNTA(C35)</f>
        <v>1</v>
      </c>
      <c r="E35" s="1">
        <v>1</v>
      </c>
      <c r="F35" s="1">
        <v>6</v>
      </c>
    </row>
    <row r="36" spans="1:6" hidden="1">
      <c r="A36" s="362">
        <v>44120</v>
      </c>
      <c r="B36" s="2" t="s">
        <v>371</v>
      </c>
      <c r="C36" s="2" t="s">
        <v>338</v>
      </c>
      <c r="D36" s="2"/>
      <c r="E36" s="2">
        <v>1</v>
      </c>
      <c r="F36" s="2">
        <v>6</v>
      </c>
    </row>
    <row r="37" spans="1:6">
      <c r="A37" s="363">
        <v>44121</v>
      </c>
      <c r="B37" s="1" t="s">
        <v>371</v>
      </c>
      <c r="C37" s="1" t="s">
        <v>148</v>
      </c>
      <c r="D37" s="2">
        <f>COUNTA(C37)</f>
        <v>1</v>
      </c>
      <c r="E37" s="1">
        <v>5</v>
      </c>
      <c r="F37" s="1">
        <v>6</v>
      </c>
    </row>
    <row r="38" spans="1:6" hidden="1">
      <c r="A38" s="362">
        <v>44123</v>
      </c>
      <c r="B38" s="2" t="s">
        <v>371</v>
      </c>
      <c r="C38" s="2" t="s">
        <v>348</v>
      </c>
      <c r="D38" s="2"/>
      <c r="E38" s="2">
        <v>5</v>
      </c>
      <c r="F38" s="2">
        <v>6</v>
      </c>
    </row>
    <row r="39" spans="1:6" hidden="1">
      <c r="A39" s="363">
        <v>44124</v>
      </c>
      <c r="B39" s="1" t="s">
        <v>371</v>
      </c>
      <c r="C39" s="1" t="s">
        <v>348</v>
      </c>
      <c r="D39" s="1"/>
      <c r="E39" s="1">
        <v>5</v>
      </c>
      <c r="F39" s="1">
        <v>6</v>
      </c>
    </row>
    <row r="40" spans="1:6" hidden="1">
      <c r="A40" s="362">
        <v>44125</v>
      </c>
      <c r="B40" s="2" t="s">
        <v>371</v>
      </c>
      <c r="C40" s="2" t="s">
        <v>154</v>
      </c>
      <c r="D40" s="2"/>
      <c r="E40" s="2">
        <v>1</v>
      </c>
      <c r="F40" s="2">
        <v>12</v>
      </c>
    </row>
    <row r="41" spans="1:6" hidden="1">
      <c r="A41" s="363">
        <v>44126</v>
      </c>
      <c r="B41" s="1" t="s">
        <v>371</v>
      </c>
      <c r="C41" s="1" t="s">
        <v>152</v>
      </c>
      <c r="D41" s="1"/>
      <c r="E41" s="1">
        <v>4</v>
      </c>
      <c r="F41" s="1">
        <v>6</v>
      </c>
    </row>
    <row r="42" spans="1:6" hidden="1">
      <c r="A42" s="362">
        <v>44126</v>
      </c>
      <c r="B42" s="2" t="s">
        <v>387</v>
      </c>
      <c r="C42" s="2" t="s">
        <v>338</v>
      </c>
      <c r="D42" s="2"/>
      <c r="E42" s="2">
        <v>1</v>
      </c>
      <c r="F42" s="2">
        <v>12</v>
      </c>
    </row>
    <row r="43" spans="1:6" hidden="1">
      <c r="A43" s="363">
        <v>44127</v>
      </c>
      <c r="B43" s="1" t="s">
        <v>387</v>
      </c>
      <c r="C43" s="1" t="s">
        <v>338</v>
      </c>
      <c r="D43" s="1"/>
      <c r="E43" s="1">
        <v>1</v>
      </c>
      <c r="F43" s="1">
        <v>12</v>
      </c>
    </row>
    <row r="44" spans="1:6" hidden="1">
      <c r="A44" s="362">
        <v>44129</v>
      </c>
      <c r="B44" s="2" t="s">
        <v>387</v>
      </c>
      <c r="C44" s="2" t="s">
        <v>338</v>
      </c>
      <c r="D44" s="2"/>
      <c r="E44" s="2">
        <v>1</v>
      </c>
      <c r="F44" s="2">
        <v>12</v>
      </c>
    </row>
    <row r="45" spans="1:6" hidden="1">
      <c r="A45" s="363">
        <v>44131</v>
      </c>
      <c r="B45" s="1" t="s">
        <v>387</v>
      </c>
      <c r="C45" s="1" t="s">
        <v>348</v>
      </c>
      <c r="D45" s="1"/>
      <c r="E45" s="1">
        <v>1</v>
      </c>
      <c r="F45" s="1">
        <v>12</v>
      </c>
    </row>
    <row r="46" spans="1:6" hidden="1">
      <c r="A46" s="362">
        <v>44132</v>
      </c>
      <c r="B46" s="2" t="s">
        <v>387</v>
      </c>
      <c r="C46" s="2" t="s">
        <v>348</v>
      </c>
      <c r="D46" s="2"/>
      <c r="E46" s="2">
        <v>1</v>
      </c>
      <c r="F46" s="2">
        <v>12</v>
      </c>
    </row>
    <row r="47" spans="1:6" hidden="1">
      <c r="A47" s="363">
        <v>44133</v>
      </c>
      <c r="B47" s="1" t="s">
        <v>387</v>
      </c>
      <c r="C47" s="1" t="s">
        <v>348</v>
      </c>
      <c r="D47" s="1"/>
      <c r="E47" s="1">
        <v>1</v>
      </c>
      <c r="F47" s="1">
        <v>12</v>
      </c>
    </row>
    <row r="48" spans="1:6" hidden="1">
      <c r="A48" s="362">
        <v>44134</v>
      </c>
      <c r="B48" s="2" t="s">
        <v>387</v>
      </c>
      <c r="C48" s="2" t="s">
        <v>348</v>
      </c>
      <c r="D48" s="2"/>
      <c r="E48" s="2">
        <v>1</v>
      </c>
      <c r="F48" s="2">
        <v>12</v>
      </c>
    </row>
    <row r="49" spans="1:6">
      <c r="A49" s="363">
        <v>44135</v>
      </c>
      <c r="B49" s="1" t="s">
        <v>387</v>
      </c>
      <c r="C49" s="1" t="s">
        <v>148</v>
      </c>
      <c r="D49" s="2">
        <f>COUNTA(C49)</f>
        <v>1</v>
      </c>
      <c r="E49" s="1">
        <v>1</v>
      </c>
      <c r="F49" s="1">
        <v>6</v>
      </c>
    </row>
    <row r="50" spans="1:6" hidden="1">
      <c r="A50" s="362">
        <v>44137</v>
      </c>
      <c r="B50" s="2" t="s">
        <v>387</v>
      </c>
      <c r="C50" s="2" t="s">
        <v>348</v>
      </c>
      <c r="D50" s="2"/>
      <c r="E50" s="2">
        <v>1</v>
      </c>
      <c r="F50" s="2">
        <v>6</v>
      </c>
    </row>
    <row r="51" spans="1:6" hidden="1">
      <c r="A51" s="363">
        <v>44138</v>
      </c>
      <c r="B51" s="1" t="s">
        <v>387</v>
      </c>
      <c r="C51" s="1" t="s">
        <v>154</v>
      </c>
      <c r="D51" s="1"/>
      <c r="E51" s="1">
        <v>1</v>
      </c>
      <c r="F51" s="1">
        <v>12</v>
      </c>
    </row>
    <row r="52" spans="1:6" hidden="1">
      <c r="A52" s="362">
        <v>44139</v>
      </c>
      <c r="B52" s="2" t="s">
        <v>387</v>
      </c>
      <c r="C52" s="2" t="s">
        <v>348</v>
      </c>
      <c r="D52" s="2"/>
      <c r="E52" s="2">
        <v>1</v>
      </c>
      <c r="F52" s="2">
        <v>6</v>
      </c>
    </row>
    <row r="53" spans="1:6" hidden="1">
      <c r="A53" s="363">
        <v>44140</v>
      </c>
      <c r="B53" s="1" t="s">
        <v>387</v>
      </c>
      <c r="C53" s="1" t="s">
        <v>338</v>
      </c>
      <c r="D53" s="1"/>
      <c r="E53" s="1">
        <v>1</v>
      </c>
      <c r="F53" s="1">
        <v>6</v>
      </c>
    </row>
    <row r="54" spans="1:6" hidden="1">
      <c r="A54" s="362">
        <v>44141</v>
      </c>
      <c r="B54" s="2" t="s">
        <v>387</v>
      </c>
      <c r="C54" s="2" t="s">
        <v>348</v>
      </c>
      <c r="D54" s="2"/>
      <c r="E54" s="2">
        <v>1</v>
      </c>
      <c r="F54" s="2">
        <v>6</v>
      </c>
    </row>
    <row r="55" spans="1:6" hidden="1">
      <c r="A55" s="363">
        <v>44142</v>
      </c>
      <c r="B55" s="1" t="s">
        <v>387</v>
      </c>
      <c r="C55" s="1" t="s">
        <v>348</v>
      </c>
      <c r="D55" s="1"/>
      <c r="E55" s="1"/>
      <c r="F55" s="1"/>
    </row>
    <row r="56" spans="1:6" hidden="1">
      <c r="A56" s="362">
        <v>44144</v>
      </c>
      <c r="B56" s="2" t="s">
        <v>387</v>
      </c>
      <c r="C56" s="2" t="s">
        <v>153</v>
      </c>
      <c r="D56" s="2"/>
      <c r="E56" s="2">
        <v>1</v>
      </c>
      <c r="F56" s="2">
        <v>6</v>
      </c>
    </row>
    <row r="57" spans="1:6" hidden="1">
      <c r="A57" s="363">
        <v>44145</v>
      </c>
      <c r="B57" s="1" t="s">
        <v>387</v>
      </c>
      <c r="C57" s="1"/>
      <c r="D57" s="1"/>
      <c r="E57" s="1"/>
      <c r="F57" s="1"/>
    </row>
    <row r="58" spans="1:6" hidden="1">
      <c r="A58" s="362">
        <v>44139</v>
      </c>
      <c r="B58" s="2" t="s">
        <v>400</v>
      </c>
      <c r="C58" s="2" t="s">
        <v>338</v>
      </c>
      <c r="D58" s="2"/>
      <c r="E58" s="2">
        <v>1</v>
      </c>
      <c r="F58" s="2">
        <v>12</v>
      </c>
    </row>
    <row r="59" spans="1:6" hidden="1">
      <c r="A59" s="363">
        <v>44140</v>
      </c>
      <c r="B59" s="1" t="s">
        <v>400</v>
      </c>
      <c r="C59" s="1" t="s">
        <v>338</v>
      </c>
      <c r="D59" s="1"/>
      <c r="E59" s="1">
        <v>1</v>
      </c>
      <c r="F59" s="1">
        <v>12</v>
      </c>
    </row>
    <row r="60" spans="1:6" hidden="1">
      <c r="A60" s="362">
        <v>44141</v>
      </c>
      <c r="B60" s="2" t="s">
        <v>400</v>
      </c>
      <c r="C60" s="2" t="s">
        <v>348</v>
      </c>
      <c r="D60" s="2"/>
      <c r="E60" s="2">
        <v>1</v>
      </c>
      <c r="F60" s="2">
        <v>12</v>
      </c>
    </row>
    <row r="61" spans="1:6" hidden="1">
      <c r="A61" s="363">
        <v>44142</v>
      </c>
      <c r="B61" s="1" t="s">
        <v>400</v>
      </c>
      <c r="C61" s="1" t="s">
        <v>348</v>
      </c>
      <c r="D61" s="1"/>
      <c r="E61" s="1"/>
      <c r="F61" s="1"/>
    </row>
    <row r="62" spans="1:6" hidden="1">
      <c r="A62" s="362">
        <v>44144</v>
      </c>
      <c r="B62" s="2" t="s">
        <v>400</v>
      </c>
      <c r="C62" s="2" t="s">
        <v>348</v>
      </c>
      <c r="D62" s="2"/>
      <c r="E62" s="2">
        <v>1</v>
      </c>
      <c r="F62" s="2">
        <v>12</v>
      </c>
    </row>
    <row r="63" spans="1:6" hidden="1">
      <c r="A63" s="363">
        <v>44145</v>
      </c>
      <c r="B63" s="1" t="s">
        <v>400</v>
      </c>
      <c r="C63" s="1" t="s">
        <v>348</v>
      </c>
      <c r="D63" s="1"/>
      <c r="E63" s="1">
        <v>1</v>
      </c>
      <c r="F63" s="1">
        <v>12</v>
      </c>
    </row>
    <row r="64" spans="1:6">
      <c r="A64" s="362">
        <v>44147</v>
      </c>
      <c r="B64" s="2" t="s">
        <v>400</v>
      </c>
      <c r="C64" s="2" t="s">
        <v>148</v>
      </c>
      <c r="D64" s="2">
        <f>COUNTA(C64)</f>
        <v>1</v>
      </c>
      <c r="E64" s="2">
        <v>1</v>
      </c>
      <c r="F64" s="2">
        <v>6</v>
      </c>
    </row>
    <row r="65" spans="1:7" hidden="1">
      <c r="A65" s="363">
        <v>44148</v>
      </c>
      <c r="B65" s="1" t="s">
        <v>400</v>
      </c>
      <c r="C65" s="1" t="s">
        <v>348</v>
      </c>
      <c r="D65" s="1"/>
      <c r="E65" s="1">
        <v>1</v>
      </c>
      <c r="F65" s="1">
        <v>6</v>
      </c>
    </row>
    <row r="66" spans="1:7">
      <c r="A66" s="362">
        <v>44149</v>
      </c>
      <c r="B66" s="2" t="s">
        <v>400</v>
      </c>
      <c r="C66" s="2" t="s">
        <v>148</v>
      </c>
      <c r="D66" s="2">
        <f>COUNTA(C66)</f>
        <v>1</v>
      </c>
      <c r="E66" s="2">
        <v>5</v>
      </c>
      <c r="F66" s="2">
        <v>6</v>
      </c>
    </row>
    <row r="67" spans="1:7" hidden="1">
      <c r="A67" s="363">
        <v>44151</v>
      </c>
      <c r="B67" s="1" t="s">
        <v>400</v>
      </c>
      <c r="C67" s="1" t="s">
        <v>348</v>
      </c>
      <c r="D67" s="1"/>
      <c r="E67" s="1">
        <v>5</v>
      </c>
      <c r="F67" s="1">
        <v>6</v>
      </c>
    </row>
    <row r="68" spans="1:7" hidden="1">
      <c r="A68" s="362">
        <v>44153</v>
      </c>
      <c r="B68" s="2" t="s">
        <v>400</v>
      </c>
      <c r="C68" s="2" t="s">
        <v>348</v>
      </c>
      <c r="D68" s="2"/>
      <c r="E68" s="2">
        <v>5</v>
      </c>
      <c r="F68" s="2">
        <v>6</v>
      </c>
    </row>
    <row r="69" spans="1:7">
      <c r="A69" s="363">
        <v>44154</v>
      </c>
      <c r="B69" s="1" t="s">
        <v>400</v>
      </c>
      <c r="C69" s="1" t="s">
        <v>148</v>
      </c>
      <c r="D69" s="2">
        <f>COUNTA(C69)</f>
        <v>1</v>
      </c>
      <c r="E69" s="1">
        <v>5</v>
      </c>
      <c r="F69" s="1">
        <v>10</v>
      </c>
    </row>
    <row r="70" spans="1:7" hidden="1">
      <c r="A70" s="362">
        <v>44155</v>
      </c>
      <c r="B70" s="2" t="s">
        <v>400</v>
      </c>
      <c r="C70" s="2" t="s">
        <v>348</v>
      </c>
      <c r="D70" s="2"/>
      <c r="E70" s="2">
        <v>5</v>
      </c>
      <c r="F70" s="2">
        <v>10</v>
      </c>
    </row>
    <row r="71" spans="1:7" hidden="1">
      <c r="A71" s="363">
        <v>44157</v>
      </c>
      <c r="B71" s="1" t="s">
        <v>400</v>
      </c>
      <c r="C71" s="1" t="s">
        <v>348</v>
      </c>
      <c r="D71" s="1"/>
      <c r="E71" s="1">
        <v>5</v>
      </c>
      <c r="F71" s="1">
        <v>10</v>
      </c>
    </row>
    <row r="72" spans="1:7" hidden="1">
      <c r="A72" s="362">
        <v>44159</v>
      </c>
      <c r="B72" s="2" t="s">
        <v>400</v>
      </c>
      <c r="C72" s="2" t="s">
        <v>152</v>
      </c>
      <c r="D72" s="2"/>
      <c r="E72" s="2">
        <v>40</v>
      </c>
      <c r="F72" s="2"/>
    </row>
    <row r="73" spans="1:7">
      <c r="A73" s="363">
        <v>44164</v>
      </c>
      <c r="B73" s="1" t="s">
        <v>400</v>
      </c>
      <c r="C73" s="1" t="s">
        <v>276</v>
      </c>
      <c r="E73" s="1">
        <v>1</v>
      </c>
      <c r="F73" s="1"/>
      <c r="G73" s="366">
        <f>SUBTOTAL(9,D2:D72)</f>
        <v>15</v>
      </c>
    </row>
    <row r="74" spans="1:7" hidden="1">
      <c r="A74" s="362">
        <v>44168</v>
      </c>
      <c r="B74" s="2" t="s">
        <v>400</v>
      </c>
      <c r="C74" s="2" t="s">
        <v>440</v>
      </c>
      <c r="D74" s="2"/>
      <c r="E74" s="2"/>
      <c r="F74" s="2"/>
    </row>
  </sheetData>
  <autoFilter ref="A1:G74" xr:uid="{E08B70AB-57DB-4543-B0D7-2211DAA48BA6}">
    <filterColumn colId="2">
      <filters>
        <filter val="Extract DNA"/>
        <filter val="Passage"/>
        <filter val="Thaw"/>
      </filters>
    </filterColumn>
  </autoFilter>
  <pageMargins left="0.7" right="0.7" top="0.75" bottom="0.75" header="0.3" footer="0.3"/>
  <pageSetup orientation="portrait"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D60-C1F1-4EEC-B576-1C547AD6F1BC}">
  <sheetPr codeName="Sheet7"/>
  <dimension ref="A1:A26"/>
  <sheetViews>
    <sheetView workbookViewId="0">
      <selection activeCell="H22" sqref="H22"/>
    </sheetView>
  </sheetViews>
  <sheetFormatPr defaultRowHeight="14.25"/>
  <cols>
    <col min="1" max="1" width="29.46484375" customWidth="1"/>
  </cols>
  <sheetData>
    <row r="1" spans="1:1" s="8" customFormat="1">
      <c r="A1" s="369" t="s">
        <v>159</v>
      </c>
    </row>
    <row r="2" spans="1:1">
      <c r="A2" s="358" t="s">
        <v>252</v>
      </c>
    </row>
    <row r="3" spans="1:1">
      <c r="A3" s="359" t="s">
        <v>255</v>
      </c>
    </row>
    <row r="4" spans="1:1">
      <c r="A4" s="358" t="s">
        <v>266</v>
      </c>
    </row>
    <row r="5" spans="1:1">
      <c r="A5" s="358" t="s">
        <v>275</v>
      </c>
    </row>
    <row r="6" spans="1:1">
      <c r="A6" s="358" t="s">
        <v>256</v>
      </c>
    </row>
    <row r="7" spans="1:1">
      <c r="A7" s="359" t="s">
        <v>267</v>
      </c>
    </row>
    <row r="8" spans="1:1">
      <c r="A8" s="359" t="s">
        <v>273</v>
      </c>
    </row>
    <row r="9" spans="1:1">
      <c r="A9" s="358" t="s">
        <v>269</v>
      </c>
    </row>
    <row r="10" spans="1:1">
      <c r="A10" s="359" t="s">
        <v>270</v>
      </c>
    </row>
    <row r="11" spans="1:1">
      <c r="A11" s="359" t="s">
        <v>257</v>
      </c>
    </row>
    <row r="12" spans="1:1">
      <c r="A12" s="358" t="s">
        <v>268</v>
      </c>
    </row>
    <row r="13" spans="1:1">
      <c r="A13" s="358" t="s">
        <v>274</v>
      </c>
    </row>
    <row r="14" spans="1:1">
      <c r="A14" s="359" t="s">
        <v>259</v>
      </c>
    </row>
    <row r="15" spans="1:1">
      <c r="A15" s="358" t="s">
        <v>261</v>
      </c>
    </row>
    <row r="16" spans="1:1">
      <c r="A16" s="359" t="s">
        <v>264</v>
      </c>
    </row>
    <row r="17" spans="1:1">
      <c r="A17" s="358" t="s">
        <v>258</v>
      </c>
    </row>
    <row r="18" spans="1:1">
      <c r="A18" s="359" t="s">
        <v>232</v>
      </c>
    </row>
    <row r="19" spans="1:1">
      <c r="A19" s="359" t="s">
        <v>280</v>
      </c>
    </row>
    <row r="20" spans="1:1">
      <c r="A20" s="358" t="s">
        <v>281</v>
      </c>
    </row>
    <row r="21" spans="1:1">
      <c r="A21" s="359" t="s">
        <v>285</v>
      </c>
    </row>
    <row r="22" spans="1:1">
      <c r="A22" s="359" t="s">
        <v>282</v>
      </c>
    </row>
    <row r="23" spans="1:1">
      <c r="A23" s="358" t="s">
        <v>286</v>
      </c>
    </row>
    <row r="24" spans="1:1">
      <c r="A24" s="358" t="s">
        <v>283</v>
      </c>
    </row>
    <row r="25" spans="1:1">
      <c r="A25" s="359" t="s">
        <v>287</v>
      </c>
    </row>
    <row r="26" spans="1:1">
      <c r="A26" s="358" t="s">
        <v>237</v>
      </c>
    </row>
  </sheetData>
  <sortState xmlns:xlrd2="http://schemas.microsoft.com/office/spreadsheetml/2017/richdata2" ref="A2:A26">
    <sortCondition ref="A2:A26"/>
  </sortState>
  <conditionalFormatting sqref="A3:A26">
    <cfRule type="expression" dxfId="3" priority="4">
      <formula>#REF!&lt;&gt;""</formula>
    </cfRule>
  </conditionalFormatting>
  <conditionalFormatting sqref="A2">
    <cfRule type="expression" dxfId="2" priority="71">
      <formula>$A1&lt;&gt;""</formula>
    </cfRule>
  </conditionalFormatting>
  <conditionalFormatting sqref="A1">
    <cfRule type="expression" dxfId="1" priority="72">
      <formula>$A1&lt;&gt;""</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2A92B-1A8E-4195-B734-9D2E64CD5565}">
  <sheetPr codeName="Sheet13"/>
  <dimension ref="A1:N22"/>
  <sheetViews>
    <sheetView topLeftCell="A2" zoomScale="70" zoomScaleNormal="70" workbookViewId="0">
      <selection activeCell="G24" sqref="G24"/>
    </sheetView>
  </sheetViews>
  <sheetFormatPr defaultRowHeight="18"/>
  <cols>
    <col min="1" max="1" width="29.3984375" style="451" customWidth="1"/>
    <col min="2" max="2" width="24.86328125" style="451" customWidth="1"/>
    <col min="3" max="3" width="16.06640625" style="451" customWidth="1"/>
    <col min="4" max="4" width="16.59765625" style="451" customWidth="1"/>
    <col min="5" max="5" width="19" style="451" customWidth="1"/>
    <col min="6" max="6" width="8.73046875" style="451" customWidth="1"/>
    <col min="7" max="8" width="9.06640625" style="451"/>
    <col min="9" max="9" width="17.33203125" style="450" customWidth="1"/>
    <col min="10" max="10" width="16" style="453" customWidth="1"/>
    <col min="11" max="11" width="12.73046875" style="451" customWidth="1"/>
    <col min="12" max="12" width="13.6640625" style="451" customWidth="1"/>
    <col min="13" max="13" width="22.6640625" style="452" customWidth="1"/>
    <col min="14" max="14" width="17.73046875" style="451" customWidth="1"/>
    <col min="15" max="16384" width="9.06640625" style="451"/>
  </cols>
  <sheetData>
    <row r="1" spans="1:14" s="472" customFormat="1" ht="67.900000000000006" customHeight="1">
      <c r="A1" s="473" t="s">
        <v>466</v>
      </c>
      <c r="B1" s="473" t="s">
        <v>483</v>
      </c>
      <c r="C1" s="473" t="s">
        <v>632</v>
      </c>
      <c r="D1" s="473" t="s">
        <v>471</v>
      </c>
      <c r="E1" s="473" t="s">
        <v>537</v>
      </c>
      <c r="F1" s="473" t="s">
        <v>472</v>
      </c>
      <c r="G1" s="473" t="s">
        <v>467</v>
      </c>
      <c r="H1" s="473" t="s">
        <v>468</v>
      </c>
      <c r="I1" s="473" t="s">
        <v>629</v>
      </c>
      <c r="J1" s="473" t="s">
        <v>538</v>
      </c>
      <c r="K1" s="473" t="s">
        <v>630</v>
      </c>
      <c r="L1" s="473" t="s">
        <v>631</v>
      </c>
      <c r="M1" s="473" t="s">
        <v>511</v>
      </c>
      <c r="N1" s="473" t="s">
        <v>512</v>
      </c>
    </row>
    <row r="2" spans="1:14">
      <c r="A2" s="474" t="s">
        <v>255</v>
      </c>
      <c r="B2" s="475" t="s">
        <v>485</v>
      </c>
      <c r="C2" s="476" t="s">
        <v>435</v>
      </c>
      <c r="D2" s="477"/>
      <c r="E2" s="477"/>
      <c r="F2" s="477"/>
      <c r="G2" s="477"/>
      <c r="H2" s="477"/>
      <c r="I2" s="478"/>
      <c r="J2" s="479"/>
      <c r="K2" s="477"/>
      <c r="L2" s="477"/>
      <c r="M2" s="480"/>
      <c r="N2" s="478"/>
    </row>
    <row r="3" spans="1:14">
      <c r="A3" s="476" t="s">
        <v>256</v>
      </c>
      <c r="B3" s="481" t="s">
        <v>484</v>
      </c>
      <c r="C3" s="474" t="s">
        <v>435</v>
      </c>
      <c r="D3" s="477"/>
      <c r="E3" s="477"/>
      <c r="F3" s="477"/>
      <c r="G3" s="477"/>
      <c r="H3" s="477"/>
      <c r="I3" s="478"/>
      <c r="J3" s="479"/>
      <c r="K3" s="477"/>
      <c r="L3" s="477"/>
      <c r="M3" s="480"/>
      <c r="N3" s="478"/>
    </row>
    <row r="4" spans="1:14">
      <c r="A4" s="474" t="s">
        <v>269</v>
      </c>
      <c r="B4" s="475" t="s">
        <v>486</v>
      </c>
      <c r="C4" s="476" t="s">
        <v>436</v>
      </c>
      <c r="D4" s="478"/>
      <c r="E4" s="478"/>
      <c r="F4" s="478"/>
      <c r="G4" s="477"/>
      <c r="H4" s="477"/>
      <c r="I4" s="478"/>
      <c r="J4" s="479"/>
      <c r="K4" s="477"/>
      <c r="L4" s="477"/>
      <c r="M4" s="480"/>
      <c r="N4" s="478"/>
    </row>
    <row r="5" spans="1:14" ht="73.5" customHeight="1">
      <c r="A5" s="564" t="s">
        <v>257</v>
      </c>
      <c r="B5" s="566" t="s">
        <v>487</v>
      </c>
      <c r="C5" s="477"/>
      <c r="D5" s="482">
        <v>44164</v>
      </c>
      <c r="E5" s="482">
        <v>44168</v>
      </c>
      <c r="F5" s="478">
        <v>5</v>
      </c>
      <c r="G5" s="477">
        <f>'Passage#s20200113_C6'!G92</f>
        <v>23</v>
      </c>
      <c r="H5" s="477">
        <v>1.02</v>
      </c>
      <c r="I5" s="478" t="s">
        <v>64</v>
      </c>
      <c r="J5" s="479" t="s">
        <v>539</v>
      </c>
      <c r="K5" s="483" t="s">
        <v>513</v>
      </c>
      <c r="L5" s="484" t="s">
        <v>514</v>
      </c>
      <c r="M5" s="480"/>
      <c r="N5" s="478"/>
    </row>
    <row r="6" spans="1:14" ht="22.5" customHeight="1">
      <c r="A6" s="564"/>
      <c r="B6" s="566"/>
      <c r="C6" s="477"/>
      <c r="D6" s="482">
        <v>44544</v>
      </c>
      <c r="E6" s="482">
        <v>44548</v>
      </c>
      <c r="F6" s="478">
        <v>6</v>
      </c>
      <c r="G6" s="477">
        <v>25</v>
      </c>
      <c r="H6" s="477">
        <v>1.06</v>
      </c>
      <c r="I6" s="478" t="s">
        <v>64</v>
      </c>
      <c r="J6" s="479"/>
      <c r="K6" s="477"/>
      <c r="L6" s="479"/>
      <c r="M6" s="480"/>
      <c r="N6" s="480"/>
    </row>
    <row r="7" spans="1:14" ht="31.9" customHeight="1">
      <c r="A7" s="564"/>
      <c r="B7" s="566"/>
      <c r="C7" s="477"/>
      <c r="D7" s="482"/>
      <c r="E7" s="482">
        <v>44209</v>
      </c>
      <c r="F7" s="478">
        <v>6</v>
      </c>
      <c r="G7" s="477">
        <v>27</v>
      </c>
      <c r="H7" s="477"/>
      <c r="I7" s="478"/>
      <c r="J7" s="479"/>
      <c r="K7" s="477"/>
      <c r="L7" s="479"/>
      <c r="M7" s="480" t="s">
        <v>559</v>
      </c>
      <c r="N7" s="480" t="s">
        <v>558</v>
      </c>
    </row>
    <row r="8" spans="1:14" ht="18" customHeight="1">
      <c r="A8" s="474" t="s">
        <v>259</v>
      </c>
      <c r="B8" s="475" t="s">
        <v>488</v>
      </c>
      <c r="C8" s="474" t="s">
        <v>474</v>
      </c>
      <c r="D8" s="478"/>
      <c r="E8" s="478"/>
      <c r="F8" s="478"/>
      <c r="G8" s="477"/>
      <c r="H8" s="477"/>
      <c r="I8" s="478"/>
      <c r="J8" s="479"/>
      <c r="K8" s="477"/>
      <c r="L8" s="479"/>
      <c r="M8" s="480"/>
      <c r="N8" s="478"/>
    </row>
    <row r="9" spans="1:14" ht="56.65" customHeight="1">
      <c r="A9" s="565" t="s">
        <v>291</v>
      </c>
      <c r="B9" s="567" t="s">
        <v>489</v>
      </c>
      <c r="C9" s="477"/>
      <c r="D9" s="482">
        <v>44179</v>
      </c>
      <c r="E9" s="482"/>
      <c r="F9" s="478">
        <v>3</v>
      </c>
      <c r="G9" s="477">
        <v>18</v>
      </c>
      <c r="H9" s="477">
        <v>1.08</v>
      </c>
      <c r="I9" s="478" t="s">
        <v>480</v>
      </c>
      <c r="J9" s="479" t="s">
        <v>540</v>
      </c>
      <c r="K9" s="477" t="s">
        <v>505</v>
      </c>
      <c r="L9" s="479"/>
      <c r="M9" s="480"/>
      <c r="N9" s="478"/>
    </row>
    <row r="10" spans="1:14" ht="33" customHeight="1">
      <c r="A10" s="565"/>
      <c r="B10" s="567"/>
      <c r="C10" s="477"/>
      <c r="D10" s="482"/>
      <c r="E10" s="482">
        <v>44209</v>
      </c>
      <c r="F10" s="478">
        <v>3</v>
      </c>
      <c r="G10" s="477">
        <v>20</v>
      </c>
      <c r="H10" s="477"/>
      <c r="I10" s="478"/>
      <c r="J10" s="479"/>
      <c r="K10" s="477"/>
      <c r="L10" s="479"/>
      <c r="M10" s="480" t="s">
        <v>559</v>
      </c>
      <c r="N10" s="480" t="s">
        <v>558</v>
      </c>
    </row>
    <row r="11" spans="1:14">
      <c r="A11" s="476" t="s">
        <v>281</v>
      </c>
      <c r="B11" s="481" t="s">
        <v>490</v>
      </c>
      <c r="C11" s="474" t="s">
        <v>435</v>
      </c>
      <c r="D11" s="485"/>
      <c r="E11" s="478"/>
      <c r="F11" s="478"/>
      <c r="G11" s="477"/>
      <c r="H11" s="477"/>
      <c r="I11" s="478"/>
      <c r="J11" s="479"/>
      <c r="K11" s="477"/>
      <c r="L11" s="479"/>
      <c r="M11" s="480"/>
      <c r="N11" s="478"/>
    </row>
    <row r="12" spans="1:14">
      <c r="A12" s="474" t="s">
        <v>282</v>
      </c>
      <c r="B12" s="475" t="s">
        <v>491</v>
      </c>
      <c r="C12" s="476" t="s">
        <v>288</v>
      </c>
      <c r="D12" s="485"/>
      <c r="E12" s="478"/>
      <c r="F12" s="478"/>
      <c r="G12" s="477"/>
      <c r="H12" s="477"/>
      <c r="I12" s="478"/>
      <c r="J12" s="479"/>
      <c r="K12" s="477"/>
      <c r="L12" s="479"/>
      <c r="M12" s="480"/>
      <c r="N12" s="478"/>
    </row>
    <row r="13" spans="1:14">
      <c r="A13" s="476" t="s">
        <v>283</v>
      </c>
      <c r="B13" s="481" t="s">
        <v>492</v>
      </c>
      <c r="C13" s="474" t="s">
        <v>288</v>
      </c>
      <c r="D13" s="485"/>
      <c r="E13" s="478"/>
      <c r="F13" s="478"/>
      <c r="G13" s="477"/>
      <c r="H13" s="477"/>
      <c r="I13" s="478"/>
      <c r="J13" s="479"/>
      <c r="K13" s="477"/>
      <c r="L13" s="479"/>
      <c r="M13" s="480"/>
      <c r="N13" s="478"/>
    </row>
    <row r="14" spans="1:14" ht="35.65" customHeight="1">
      <c r="A14" s="564" t="s">
        <v>481</v>
      </c>
      <c r="B14" s="566" t="s">
        <v>497</v>
      </c>
      <c r="C14" s="477"/>
      <c r="D14" s="482">
        <v>44164</v>
      </c>
      <c r="E14" s="477"/>
      <c r="F14" s="478">
        <v>3</v>
      </c>
      <c r="G14" s="477">
        <v>17</v>
      </c>
      <c r="H14" s="477">
        <v>0.96</v>
      </c>
      <c r="I14" s="478" t="s">
        <v>479</v>
      </c>
      <c r="J14" s="479" t="s">
        <v>541</v>
      </c>
      <c r="K14" s="477" t="s">
        <v>505</v>
      </c>
      <c r="L14" s="479"/>
      <c r="M14" s="480"/>
      <c r="N14" s="478"/>
    </row>
    <row r="15" spans="1:14" ht="47.65" customHeight="1">
      <c r="A15" s="564"/>
      <c r="B15" s="566"/>
      <c r="C15" s="477"/>
      <c r="D15" s="482"/>
      <c r="E15" s="482">
        <v>44209</v>
      </c>
      <c r="F15" s="478"/>
      <c r="G15" s="477">
        <v>15</v>
      </c>
      <c r="H15" s="477"/>
      <c r="I15" s="478"/>
      <c r="J15" s="479"/>
      <c r="K15" s="477"/>
      <c r="L15" s="479"/>
      <c r="M15" s="480" t="s">
        <v>560</v>
      </c>
      <c r="N15" s="480" t="s">
        <v>558</v>
      </c>
    </row>
    <row r="16" spans="1:14" ht="41.25" customHeight="1">
      <c r="A16" s="477" t="s">
        <v>299</v>
      </c>
      <c r="B16" s="486" t="s">
        <v>493</v>
      </c>
      <c r="C16" s="477"/>
      <c r="D16" s="482">
        <v>44164</v>
      </c>
      <c r="E16" s="482">
        <v>44209</v>
      </c>
      <c r="F16" s="478">
        <v>4</v>
      </c>
      <c r="G16" s="477">
        <v>15</v>
      </c>
      <c r="H16" s="477">
        <v>1.1399999999999999</v>
      </c>
      <c r="I16" s="478" t="s">
        <v>479</v>
      </c>
      <c r="J16" s="479"/>
      <c r="K16" s="477" t="s">
        <v>504</v>
      </c>
      <c r="L16" s="484" t="s">
        <v>514</v>
      </c>
      <c r="M16" s="480" t="s">
        <v>561</v>
      </c>
      <c r="N16" s="480" t="s">
        <v>558</v>
      </c>
    </row>
    <row r="17" spans="1:14" ht="49.5" customHeight="1">
      <c r="A17" s="487" t="s">
        <v>297</v>
      </c>
      <c r="B17" s="488" t="s">
        <v>494</v>
      </c>
      <c r="C17" s="477"/>
      <c r="D17" s="482">
        <v>44164</v>
      </c>
      <c r="E17" s="482">
        <v>44209</v>
      </c>
      <c r="F17" s="478">
        <v>4</v>
      </c>
      <c r="G17" s="477">
        <v>17</v>
      </c>
      <c r="H17" s="477">
        <v>0.95</v>
      </c>
      <c r="I17" s="478" t="s">
        <v>64</v>
      </c>
      <c r="J17" s="479"/>
      <c r="K17" s="477" t="s">
        <v>505</v>
      </c>
      <c r="L17" s="479"/>
      <c r="M17" s="480" t="s">
        <v>561</v>
      </c>
      <c r="N17" s="480" t="s">
        <v>557</v>
      </c>
    </row>
    <row r="18" spans="1:14">
      <c r="A18" s="474" t="s">
        <v>298</v>
      </c>
      <c r="B18" s="475" t="s">
        <v>495</v>
      </c>
      <c r="C18" s="476" t="s">
        <v>435</v>
      </c>
      <c r="D18" s="485"/>
      <c r="E18" s="478"/>
      <c r="F18" s="478"/>
      <c r="G18" s="477"/>
      <c r="H18" s="477"/>
      <c r="I18" s="478"/>
      <c r="J18" s="479"/>
      <c r="K18" s="477"/>
      <c r="L18" s="479"/>
      <c r="M18" s="480"/>
      <c r="N18" s="478"/>
    </row>
    <row r="19" spans="1:14">
      <c r="A19" s="476" t="s">
        <v>300</v>
      </c>
      <c r="B19" s="481" t="s">
        <v>496</v>
      </c>
      <c r="C19" s="474" t="s">
        <v>437</v>
      </c>
      <c r="D19" s="474"/>
      <c r="E19" s="477"/>
      <c r="F19" s="477"/>
      <c r="G19" s="477"/>
      <c r="H19" s="477"/>
      <c r="I19" s="478"/>
      <c r="J19" s="479"/>
      <c r="K19" s="477"/>
      <c r="L19" s="479"/>
      <c r="M19" s="480"/>
      <c r="N19" s="477"/>
    </row>
    <row r="20" spans="1:14">
      <c r="A20" s="487"/>
      <c r="B20" s="487"/>
      <c r="C20" s="477"/>
      <c r="D20" s="477"/>
      <c r="E20" s="477"/>
      <c r="F20" s="477"/>
      <c r="G20" s="477"/>
      <c r="H20" s="477"/>
      <c r="I20" s="478"/>
      <c r="J20" s="479"/>
      <c r="K20" s="477"/>
      <c r="L20" s="477"/>
      <c r="M20" s="479"/>
      <c r="N20" s="477"/>
    </row>
    <row r="21" spans="1:14">
      <c r="A21" s="477"/>
      <c r="B21" s="477"/>
      <c r="C21" s="477"/>
      <c r="D21" s="477"/>
      <c r="E21" s="477"/>
      <c r="F21" s="477"/>
      <c r="G21" s="477"/>
      <c r="H21" s="477"/>
      <c r="I21" s="478"/>
      <c r="J21" s="479"/>
      <c r="K21" s="477"/>
      <c r="L21" s="477"/>
      <c r="M21" s="479"/>
      <c r="N21" s="477"/>
    </row>
    <row r="22" spans="1:14">
      <c r="A22" s="477"/>
      <c r="B22" s="477"/>
      <c r="C22" s="477"/>
      <c r="D22" s="477"/>
      <c r="E22" s="477"/>
      <c r="F22" s="477"/>
      <c r="G22" s="477"/>
      <c r="H22" s="477"/>
      <c r="I22" s="478"/>
      <c r="J22" s="489"/>
      <c r="K22" s="477"/>
      <c r="L22" s="477"/>
      <c r="M22" s="479"/>
      <c r="N22" s="477"/>
    </row>
  </sheetData>
  <mergeCells count="6">
    <mergeCell ref="A5:A7"/>
    <mergeCell ref="A9:A10"/>
    <mergeCell ref="B5:B7"/>
    <mergeCell ref="B9:B10"/>
    <mergeCell ref="A14:A15"/>
    <mergeCell ref="B14:B15"/>
  </mergeCells>
  <hyperlinks>
    <hyperlink ref="B2" r:id="rId1" xr:uid="{9925E3F3-B262-4F61-BECF-ADDA663FA080}"/>
    <hyperlink ref="B3" r:id="rId2" xr:uid="{E4551D17-E005-4C53-91C4-01EAC6998393}"/>
    <hyperlink ref="B5" r:id="rId3" xr:uid="{A0C23912-C70E-4A9A-91F3-578C7D4AD11A}"/>
    <hyperlink ref="B4" r:id="rId4" xr:uid="{4355DFB4-7B87-4A05-A92E-A9B651584D50}"/>
    <hyperlink ref="B8" r:id="rId5" xr:uid="{79505041-393B-4A0A-9316-A694DD445F9B}"/>
    <hyperlink ref="B9" r:id="rId6" xr:uid="{C9C4A116-0AC0-49DB-8757-9EFFB6D856E1}"/>
    <hyperlink ref="B11" r:id="rId7" xr:uid="{97C50C91-080C-4DD9-9207-B6AB7E9E3F5C}"/>
    <hyperlink ref="B12" r:id="rId8" xr:uid="{867EA1FE-933C-481C-8EAA-498A0627E359}"/>
    <hyperlink ref="B13" r:id="rId9" xr:uid="{CB03C69B-4F28-4D52-BF4A-8D9C9E256769}"/>
    <hyperlink ref="B14" r:id="rId10" xr:uid="{2A10DA1F-D2F5-4984-A5A1-C63190FD0086}"/>
    <hyperlink ref="B16" r:id="rId11" xr:uid="{51782AE2-0A0B-41DB-8654-81A64570B1E8}"/>
    <hyperlink ref="B17" r:id="rId12" xr:uid="{5A9F11B6-7003-4472-AC25-1CD3137A4D81}"/>
    <hyperlink ref="B18" r:id="rId13" xr:uid="{90CF0460-86E8-437D-82E8-B3E755FA7758}"/>
    <hyperlink ref="B19" r:id="rId14" xr:uid="{00F36003-93F8-47A4-AFD0-43F2B482FA8E}"/>
  </hyperlinks>
  <pageMargins left="0.7" right="0.7" top="0.75" bottom="0.75" header="0.3" footer="0.3"/>
  <pageSetup orientation="portrait" verticalDpi="300" r:id="rId1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D50F-302D-42A5-8E44-C17506C310F6}">
  <sheetPr codeName="WSNotes"/>
  <dimension ref="A1:B246"/>
  <sheetViews>
    <sheetView showGridLines="0" workbookViewId="0">
      <pane ySplit="1" topLeftCell="A207" activePane="bottomLeft" state="frozen"/>
      <selection activeCell="I22" sqref="I22"/>
      <selection pane="bottomLeft" activeCell="G233" sqref="G233"/>
    </sheetView>
  </sheetViews>
  <sheetFormatPr defaultColWidth="9.19921875" defaultRowHeight="11.65"/>
  <cols>
    <col min="1" max="1" width="12.796875" style="36" customWidth="1"/>
    <col min="2" max="2" width="60.796875" style="12" customWidth="1"/>
    <col min="3" max="16384" width="9.19921875" style="12"/>
  </cols>
  <sheetData>
    <row r="1" spans="1:2" s="34" customFormat="1">
      <c r="A1" s="35" t="s">
        <v>161</v>
      </c>
      <c r="B1" s="34" t="s">
        <v>156</v>
      </c>
    </row>
    <row r="2" spans="1:2">
      <c r="A2" s="36">
        <v>43844</v>
      </c>
    </row>
    <row r="3" spans="1:2">
      <c r="A3" s="36">
        <v>43851</v>
      </c>
    </row>
    <row r="4" spans="1:2">
      <c r="A4" s="36">
        <v>43855</v>
      </c>
    </row>
    <row r="5" spans="1:2">
      <c r="A5" s="36">
        <v>43846</v>
      </c>
    </row>
    <row r="6" spans="1:2">
      <c r="A6" s="36">
        <v>43849</v>
      </c>
    </row>
    <row r="7" spans="1:2">
      <c r="A7" s="36">
        <v>43919</v>
      </c>
    </row>
    <row r="8" spans="1:2">
      <c r="A8" s="36">
        <v>43911</v>
      </c>
    </row>
    <row r="9" spans="1:2">
      <c r="A9" s="36">
        <v>43853</v>
      </c>
    </row>
    <row r="10" spans="1:2">
      <c r="A10" s="36">
        <v>43857</v>
      </c>
    </row>
    <row r="11" spans="1:2">
      <c r="A11" s="36">
        <v>43858</v>
      </c>
    </row>
    <row r="12" spans="1:2">
      <c r="A12" s="36">
        <v>43859</v>
      </c>
    </row>
    <row r="13" spans="1:2">
      <c r="A13" s="36">
        <v>43843</v>
      </c>
    </row>
    <row r="14" spans="1:2">
      <c r="A14" s="36">
        <v>43888</v>
      </c>
    </row>
    <row r="15" spans="1:2">
      <c r="A15" s="36">
        <v>43852</v>
      </c>
    </row>
    <row r="16" spans="1:2">
      <c r="A16" s="36">
        <v>43860</v>
      </c>
    </row>
    <row r="17" spans="1:1">
      <c r="A17" s="36">
        <v>43866</v>
      </c>
    </row>
    <row r="18" spans="1:1">
      <c r="A18" s="36">
        <v>43870</v>
      </c>
    </row>
    <row r="19" spans="1:1">
      <c r="A19" s="36">
        <v>43868</v>
      </c>
    </row>
    <row r="20" spans="1:1">
      <c r="A20" s="36">
        <v>43872</v>
      </c>
    </row>
    <row r="21" spans="1:1">
      <c r="A21" s="36">
        <v>43887</v>
      </c>
    </row>
    <row r="22" spans="1:1">
      <c r="A22" s="36">
        <v>43889</v>
      </c>
    </row>
    <row r="23" spans="1:1">
      <c r="A23" s="36">
        <v>43850</v>
      </c>
    </row>
    <row r="24" spans="1:1">
      <c r="A24" s="36">
        <v>43856</v>
      </c>
    </row>
    <row r="25" spans="1:1">
      <c r="A25" s="36">
        <v>43861</v>
      </c>
    </row>
    <row r="26" spans="1:1">
      <c r="A26" s="36">
        <v>43862</v>
      </c>
    </row>
    <row r="27" spans="1:1">
      <c r="A27" s="36">
        <v>43865</v>
      </c>
    </row>
    <row r="28" spans="1:1">
      <c r="A28" s="36">
        <v>43864</v>
      </c>
    </row>
    <row r="29" spans="1:1">
      <c r="A29" s="36">
        <v>43867</v>
      </c>
    </row>
    <row r="30" spans="1:1">
      <c r="A30" s="36">
        <v>43869</v>
      </c>
    </row>
    <row r="31" spans="1:1">
      <c r="A31" s="36">
        <v>43871</v>
      </c>
    </row>
    <row r="32" spans="1:1">
      <c r="A32" s="36">
        <v>43873</v>
      </c>
    </row>
    <row r="33" spans="1:1">
      <c r="A33" s="36">
        <v>43875</v>
      </c>
    </row>
    <row r="34" spans="1:1">
      <c r="A34" s="36">
        <v>43876</v>
      </c>
    </row>
    <row r="35" spans="1:1">
      <c r="A35" s="36">
        <v>43877</v>
      </c>
    </row>
    <row r="36" spans="1:1">
      <c r="A36" s="36">
        <v>43878</v>
      </c>
    </row>
    <row r="37" spans="1:1">
      <c r="A37" s="36">
        <v>43879</v>
      </c>
    </row>
    <row r="38" spans="1:1">
      <c r="A38" s="36">
        <v>43880</v>
      </c>
    </row>
    <row r="39" spans="1:1">
      <c r="A39" s="36">
        <v>43881</v>
      </c>
    </row>
    <row r="40" spans="1:1">
      <c r="A40" s="36">
        <v>43893</v>
      </c>
    </row>
    <row r="41" spans="1:1">
      <c r="A41" s="36">
        <v>43894</v>
      </c>
    </row>
    <row r="42" spans="1:1">
      <c r="A42" s="36">
        <v>43895</v>
      </c>
    </row>
    <row r="43" spans="1:1">
      <c r="A43" s="36">
        <v>43896</v>
      </c>
    </row>
    <row r="44" spans="1:1">
      <c r="A44" s="36">
        <v>43898</v>
      </c>
    </row>
    <row r="45" spans="1:1">
      <c r="A45" s="36">
        <v>43899</v>
      </c>
    </row>
    <row r="46" spans="1:1">
      <c r="A46" s="36">
        <v>43900</v>
      </c>
    </row>
    <row r="47" spans="1:1">
      <c r="A47" s="36">
        <v>43901</v>
      </c>
    </row>
    <row r="48" spans="1:1">
      <c r="A48" s="36">
        <v>43902</v>
      </c>
    </row>
    <row r="49" spans="1:2">
      <c r="A49" s="36">
        <v>43903</v>
      </c>
    </row>
    <row r="50" spans="1:2">
      <c r="A50" s="36">
        <v>43904</v>
      </c>
    </row>
    <row r="51" spans="1:2">
      <c r="A51" s="36">
        <v>43905</v>
      </c>
    </row>
    <row r="52" spans="1:2">
      <c r="A52" s="36">
        <v>43906</v>
      </c>
    </row>
    <row r="53" spans="1:2">
      <c r="A53" s="36">
        <v>43907</v>
      </c>
      <c r="B53" s="12" t="s">
        <v>310</v>
      </c>
    </row>
    <row r="54" spans="1:2">
      <c r="A54" s="36">
        <v>43908</v>
      </c>
    </row>
    <row r="55" spans="1:2">
      <c r="A55" s="36">
        <v>43913</v>
      </c>
    </row>
    <row r="56" spans="1:2">
      <c r="A56" s="36">
        <v>43914</v>
      </c>
    </row>
    <row r="57" spans="1:2">
      <c r="A57" s="36">
        <v>43915</v>
      </c>
    </row>
    <row r="58" spans="1:2">
      <c r="A58" s="36">
        <v>43916</v>
      </c>
    </row>
    <row r="59" spans="1:2">
      <c r="A59" s="36">
        <v>44057</v>
      </c>
    </row>
    <row r="60" spans="1:2">
      <c r="A60" s="36">
        <v>43912</v>
      </c>
    </row>
    <row r="61" spans="1:2">
      <c r="A61" s="36">
        <v>43910</v>
      </c>
    </row>
    <row r="62" spans="1:2">
      <c r="A62" s="36">
        <v>43917</v>
      </c>
    </row>
    <row r="63" spans="1:2">
      <c r="A63" s="36">
        <v>43918</v>
      </c>
    </row>
    <row r="64" spans="1:2">
      <c r="A64" s="36">
        <v>43920</v>
      </c>
    </row>
    <row r="65" spans="1:2">
      <c r="A65" s="36">
        <v>43921</v>
      </c>
    </row>
    <row r="66" spans="1:2">
      <c r="A66" s="36">
        <v>43922</v>
      </c>
    </row>
    <row r="67" spans="1:2">
      <c r="A67" s="36">
        <v>43923</v>
      </c>
    </row>
    <row r="68" spans="1:2">
      <c r="A68" s="36">
        <v>43924</v>
      </c>
    </row>
    <row r="69" spans="1:2">
      <c r="A69" s="36">
        <v>43925</v>
      </c>
    </row>
    <row r="70" spans="1:2">
      <c r="A70" s="36">
        <v>43927</v>
      </c>
    </row>
    <row r="71" spans="1:2">
      <c r="A71" s="36">
        <v>43928</v>
      </c>
    </row>
    <row r="72" spans="1:2">
      <c r="A72" s="36">
        <v>44060</v>
      </c>
    </row>
    <row r="73" spans="1:2">
      <c r="A73" s="36">
        <v>44061</v>
      </c>
      <c r="B73" s="12" t="s">
        <v>320</v>
      </c>
    </row>
    <row r="74" spans="1:2">
      <c r="A74" s="36">
        <v>44074</v>
      </c>
    </row>
    <row r="75" spans="1:2">
      <c r="A75" s="36">
        <v>44075</v>
      </c>
    </row>
    <row r="76" spans="1:2">
      <c r="A76" s="36">
        <v>44081</v>
      </c>
    </row>
    <row r="77" spans="1:2">
      <c r="A77" s="36">
        <v>44090</v>
      </c>
    </row>
    <row r="78" spans="1:2">
      <c r="A78" s="36">
        <v>44092</v>
      </c>
    </row>
    <row r="79" spans="1:2">
      <c r="A79" s="36">
        <v>44102</v>
      </c>
    </row>
    <row r="80" spans="1:2">
      <c r="A80" s="36">
        <v>44080</v>
      </c>
    </row>
    <row r="81" spans="1:1">
      <c r="A81" s="36">
        <v>44082</v>
      </c>
    </row>
    <row r="82" spans="1:1">
      <c r="A82" s="36">
        <v>44083</v>
      </c>
    </row>
    <row r="83" spans="1:1">
      <c r="A83" s="36">
        <v>44086</v>
      </c>
    </row>
    <row r="84" spans="1:1">
      <c r="A84" s="36">
        <v>44089</v>
      </c>
    </row>
    <row r="85" spans="1:1">
      <c r="A85" s="36">
        <v>44088</v>
      </c>
    </row>
    <row r="86" spans="1:1">
      <c r="A86" s="36">
        <v>44099</v>
      </c>
    </row>
    <row r="87" spans="1:1">
      <c r="A87" s="36">
        <v>44098</v>
      </c>
    </row>
    <row r="88" spans="1:1">
      <c r="A88" s="36">
        <v>44095</v>
      </c>
    </row>
    <row r="89" spans="1:1">
      <c r="A89" s="36">
        <v>44094</v>
      </c>
    </row>
    <row r="90" spans="1:1">
      <c r="A90" s="36">
        <v>44062</v>
      </c>
    </row>
    <row r="91" spans="1:1">
      <c r="A91" s="36">
        <v>44064</v>
      </c>
    </row>
    <row r="92" spans="1:1">
      <c r="A92" s="36">
        <v>44065</v>
      </c>
    </row>
    <row r="93" spans="1:1">
      <c r="A93" s="36">
        <v>44066</v>
      </c>
    </row>
    <row r="94" spans="1:1">
      <c r="A94" s="36">
        <v>44067</v>
      </c>
    </row>
    <row r="95" spans="1:1">
      <c r="A95" s="36">
        <v>44068</v>
      </c>
    </row>
    <row r="96" spans="1:1">
      <c r="A96" s="36">
        <v>44069</v>
      </c>
    </row>
    <row r="97" spans="1:1">
      <c r="A97" s="36">
        <v>44070</v>
      </c>
    </row>
    <row r="98" spans="1:1">
      <c r="A98" s="36">
        <v>44071</v>
      </c>
    </row>
    <row r="99" spans="1:1">
      <c r="A99" s="36">
        <v>44072</v>
      </c>
    </row>
    <row r="100" spans="1:1">
      <c r="A100" s="36">
        <v>44076</v>
      </c>
    </row>
    <row r="101" spans="1:1">
      <c r="A101" s="36">
        <v>44077</v>
      </c>
    </row>
    <row r="102" spans="1:1">
      <c r="A102" s="36">
        <v>44078</v>
      </c>
    </row>
    <row r="103" spans="1:1">
      <c r="A103" s="36">
        <v>44079</v>
      </c>
    </row>
    <row r="104" spans="1:1">
      <c r="A104" s="36">
        <v>44101</v>
      </c>
    </row>
    <row r="105" spans="1:1">
      <c r="A105" s="36">
        <v>44100</v>
      </c>
    </row>
    <row r="106" spans="1:1">
      <c r="A106" s="36">
        <v>44104</v>
      </c>
    </row>
    <row r="107" spans="1:1">
      <c r="A107" s="36">
        <v>44105</v>
      </c>
    </row>
    <row r="108" spans="1:1">
      <c r="A108" s="36">
        <v>44106</v>
      </c>
    </row>
    <row r="109" spans="1:1">
      <c r="A109" s="36">
        <v>44109</v>
      </c>
    </row>
    <row r="110" spans="1:1">
      <c r="A110" s="36">
        <v>44107</v>
      </c>
    </row>
    <row r="111" spans="1:1">
      <c r="A111" s="36">
        <v>44110</v>
      </c>
    </row>
    <row r="112" spans="1:1">
      <c r="A112" s="36">
        <v>44111</v>
      </c>
    </row>
    <row r="113" spans="1:1">
      <c r="A113" s="36">
        <v>44112</v>
      </c>
    </row>
    <row r="114" spans="1:1">
      <c r="A114" s="36">
        <v>44113</v>
      </c>
    </row>
    <row r="115" spans="1:1">
      <c r="A115" s="36">
        <v>44116</v>
      </c>
    </row>
    <row r="116" spans="1:1">
      <c r="A116" s="36">
        <v>44117</v>
      </c>
    </row>
    <row r="117" spans="1:1">
      <c r="A117" s="36">
        <v>44118</v>
      </c>
    </row>
    <row r="118" spans="1:1">
      <c r="A118" s="36">
        <v>44119</v>
      </c>
    </row>
    <row r="119" spans="1:1">
      <c r="A119" s="36">
        <v>44120</v>
      </c>
    </row>
    <row r="120" spans="1:1">
      <c r="A120" s="36">
        <v>44121</v>
      </c>
    </row>
    <row r="121" spans="1:1">
      <c r="A121" s="36">
        <v>44123</v>
      </c>
    </row>
    <row r="122" spans="1:1">
      <c r="A122" s="36">
        <v>44097</v>
      </c>
    </row>
    <row r="123" spans="1:1">
      <c r="A123" s="36">
        <v>44103</v>
      </c>
    </row>
    <row r="124" spans="1:1">
      <c r="A124" s="36">
        <v>43882</v>
      </c>
    </row>
    <row r="125" spans="1:1">
      <c r="A125" s="36">
        <v>43883</v>
      </c>
    </row>
    <row r="126" spans="1:1">
      <c r="A126" s="36">
        <v>43885</v>
      </c>
    </row>
    <row r="127" spans="1:1">
      <c r="A127" s="36">
        <v>43890</v>
      </c>
    </row>
    <row r="128" spans="1:1">
      <c r="A128" s="36">
        <v>43891</v>
      </c>
    </row>
    <row r="129" spans="1:1">
      <c r="A129" s="36">
        <v>43892</v>
      </c>
    </row>
    <row r="130" spans="1:1">
      <c r="A130" s="36">
        <v>43897</v>
      </c>
    </row>
    <row r="131" spans="1:1">
      <c r="A131" s="36">
        <v>44125</v>
      </c>
    </row>
    <row r="132" spans="1:1">
      <c r="A132" s="36">
        <v>44127</v>
      </c>
    </row>
    <row r="133" spans="1:1">
      <c r="A133" s="36">
        <v>44133</v>
      </c>
    </row>
    <row r="134" spans="1:1">
      <c r="A134" s="36">
        <v>44132</v>
      </c>
    </row>
    <row r="135" spans="1:1">
      <c r="A135" s="36">
        <v>44130</v>
      </c>
    </row>
    <row r="136" spans="1:1">
      <c r="A136" s="36">
        <v>44129</v>
      </c>
    </row>
    <row r="137" spans="1:1">
      <c r="A137" s="36">
        <v>44126</v>
      </c>
    </row>
    <row r="138" spans="1:1">
      <c r="A138" s="36">
        <v>44135</v>
      </c>
    </row>
    <row r="139" spans="1:1">
      <c r="A139" s="36">
        <v>44134</v>
      </c>
    </row>
    <row r="140" spans="1:1">
      <c r="A140" s="36">
        <v>44141</v>
      </c>
    </row>
    <row r="141" spans="1:1">
      <c r="A141" s="36">
        <v>44137</v>
      </c>
    </row>
    <row r="142" spans="1:1">
      <c r="A142" s="36">
        <v>44131</v>
      </c>
    </row>
    <row r="143" spans="1:1">
      <c r="A143" s="36">
        <v>44139</v>
      </c>
    </row>
    <row r="144" spans="1:1">
      <c r="A144" s="36">
        <v>44140</v>
      </c>
    </row>
    <row r="145" spans="1:1">
      <c r="A145" s="36">
        <v>44142</v>
      </c>
    </row>
    <row r="146" spans="1:1">
      <c r="A146" s="36">
        <v>44144</v>
      </c>
    </row>
    <row r="147" spans="1:1">
      <c r="A147" s="36">
        <v>44145</v>
      </c>
    </row>
    <row r="148" spans="1:1">
      <c r="A148" s="36">
        <v>44147</v>
      </c>
    </row>
    <row r="149" spans="1:1">
      <c r="A149" s="36">
        <v>44149</v>
      </c>
    </row>
    <row r="150" spans="1:1">
      <c r="A150" s="36">
        <v>44151</v>
      </c>
    </row>
    <row r="151" spans="1:1">
      <c r="A151" s="36">
        <v>44152</v>
      </c>
    </row>
    <row r="152" spans="1:1">
      <c r="A152" s="36">
        <v>44153</v>
      </c>
    </row>
    <row r="153" spans="1:1">
      <c r="A153" s="36">
        <v>43884</v>
      </c>
    </row>
    <row r="154" spans="1:1">
      <c r="A154" s="36">
        <v>43886</v>
      </c>
    </row>
    <row r="155" spans="1:1">
      <c r="A155" s="36">
        <v>43874</v>
      </c>
    </row>
    <row r="156" spans="1:1">
      <c r="A156" s="36">
        <v>43909</v>
      </c>
    </row>
    <row r="157" spans="1:1">
      <c r="A157" s="36">
        <v>44154</v>
      </c>
    </row>
    <row r="158" spans="1:1">
      <c r="A158" s="36">
        <v>44155</v>
      </c>
    </row>
    <row r="159" spans="1:1">
      <c r="A159" s="36">
        <v>44157</v>
      </c>
    </row>
    <row r="160" spans="1:1">
      <c r="A160" s="36">
        <v>44158</v>
      </c>
    </row>
    <row r="161" spans="1:1">
      <c r="A161" s="36">
        <v>44160</v>
      </c>
    </row>
    <row r="162" spans="1:1">
      <c r="A162" s="36">
        <v>44162</v>
      </c>
    </row>
    <row r="163" spans="1:1">
      <c r="A163" s="36">
        <v>44165</v>
      </c>
    </row>
    <row r="164" spans="1:1">
      <c r="A164" s="36">
        <v>44164</v>
      </c>
    </row>
    <row r="165" spans="1:1">
      <c r="A165" s="36">
        <v>44166</v>
      </c>
    </row>
    <row r="166" spans="1:1">
      <c r="A166" s="36">
        <v>44168</v>
      </c>
    </row>
    <row r="167" spans="1:1">
      <c r="A167" s="36">
        <v>44169</v>
      </c>
    </row>
    <row r="168" spans="1:1">
      <c r="A168" s="36">
        <v>44170</v>
      </c>
    </row>
    <row r="169" spans="1:1">
      <c r="A169" s="36">
        <v>44171</v>
      </c>
    </row>
    <row r="170" spans="1:1">
      <c r="A170" s="36">
        <v>44172</v>
      </c>
    </row>
    <row r="171" spans="1:1">
      <c r="A171" s="36">
        <v>44173</v>
      </c>
    </row>
    <row r="172" spans="1:1">
      <c r="A172" s="36">
        <v>44175</v>
      </c>
    </row>
    <row r="173" spans="1:1">
      <c r="A173" s="36">
        <v>44148</v>
      </c>
    </row>
    <row r="174" spans="1:1">
      <c r="A174" s="36">
        <v>44159</v>
      </c>
    </row>
    <row r="175" spans="1:1">
      <c r="A175" s="36">
        <v>44138</v>
      </c>
    </row>
    <row r="176" spans="1:1">
      <c r="A176" s="36">
        <v>44177</v>
      </c>
    </row>
    <row r="177" spans="1:1">
      <c r="A177" s="36">
        <v>44178</v>
      </c>
    </row>
    <row r="178" spans="1:1">
      <c r="A178" s="36">
        <v>44179</v>
      </c>
    </row>
    <row r="179" spans="1:1">
      <c r="A179" s="36">
        <v>44183</v>
      </c>
    </row>
    <row r="180" spans="1:1">
      <c r="A180" s="36">
        <v>44201</v>
      </c>
    </row>
    <row r="181" spans="1:1">
      <c r="A181" s="36">
        <v>44203</v>
      </c>
    </row>
    <row r="182" spans="1:1">
      <c r="A182" s="36">
        <v>44202</v>
      </c>
    </row>
    <row r="183" spans="1:1">
      <c r="A183" s="36">
        <v>44204</v>
      </c>
    </row>
    <row r="184" spans="1:1">
      <c r="A184" s="36">
        <v>44207</v>
      </c>
    </row>
    <row r="185" spans="1:1">
      <c r="A185" s="36">
        <v>44206</v>
      </c>
    </row>
    <row r="186" spans="1:1">
      <c r="A186" s="36">
        <v>44208</v>
      </c>
    </row>
    <row r="187" spans="1:1">
      <c r="A187" s="36">
        <v>44210</v>
      </c>
    </row>
    <row r="188" spans="1:1">
      <c r="A188" s="36">
        <v>44216</v>
      </c>
    </row>
    <row r="189" spans="1:1">
      <c r="A189" s="36">
        <v>44214</v>
      </c>
    </row>
    <row r="190" spans="1:1">
      <c r="A190" s="36">
        <v>44217</v>
      </c>
    </row>
    <row r="191" spans="1:1">
      <c r="A191" s="36">
        <v>44209</v>
      </c>
    </row>
    <row r="192" spans="1:1">
      <c r="A192" s="36">
        <v>44211</v>
      </c>
    </row>
    <row r="193" spans="1:1">
      <c r="A193" s="36">
        <v>44212</v>
      </c>
    </row>
    <row r="194" spans="1:1">
      <c r="A194" s="36">
        <v>44218</v>
      </c>
    </row>
    <row r="195" spans="1:1">
      <c r="A195" s="36">
        <v>44124</v>
      </c>
    </row>
    <row r="196" spans="1:1">
      <c r="A196" s="36">
        <v>44220</v>
      </c>
    </row>
    <row r="197" spans="1:1">
      <c r="A197" s="36">
        <v>44219</v>
      </c>
    </row>
    <row r="198" spans="1:1">
      <c r="A198" s="36">
        <v>44221</v>
      </c>
    </row>
    <row r="199" spans="1:1">
      <c r="A199" s="36">
        <v>44222</v>
      </c>
    </row>
    <row r="200" spans="1:1">
      <c r="A200" s="36">
        <v>44223</v>
      </c>
    </row>
    <row r="201" spans="1:1">
      <c r="A201" s="36">
        <v>44224</v>
      </c>
    </row>
    <row r="202" spans="1:1">
      <c r="A202" s="36">
        <v>44225</v>
      </c>
    </row>
    <row r="203" spans="1:1">
      <c r="A203" s="36">
        <v>44226</v>
      </c>
    </row>
    <row r="204" spans="1:1">
      <c r="A204" s="36">
        <v>44227</v>
      </c>
    </row>
    <row r="205" spans="1:1">
      <c r="A205" s="36">
        <v>44228</v>
      </c>
    </row>
    <row r="206" spans="1:1">
      <c r="A206" s="36">
        <v>44229</v>
      </c>
    </row>
    <row r="207" spans="1:1">
      <c r="A207" s="36">
        <v>44230</v>
      </c>
    </row>
    <row r="208" spans="1:1">
      <c r="A208" s="36">
        <v>44231</v>
      </c>
    </row>
    <row r="209" spans="1:1">
      <c r="A209" s="36">
        <v>44232</v>
      </c>
    </row>
    <row r="210" spans="1:1">
      <c r="A210" s="36">
        <v>44235</v>
      </c>
    </row>
    <row r="211" spans="1:1">
      <c r="A211" s="36">
        <v>44236</v>
      </c>
    </row>
    <row r="212" spans="1:1">
      <c r="A212" s="36">
        <v>44237</v>
      </c>
    </row>
    <row r="213" spans="1:1">
      <c r="A213" s="36">
        <v>44233</v>
      </c>
    </row>
    <row r="214" spans="1:1">
      <c r="A214" s="36">
        <v>44240</v>
      </c>
    </row>
    <row r="215" spans="1:1">
      <c r="A215" s="36">
        <v>44242</v>
      </c>
    </row>
    <row r="216" spans="1:1">
      <c r="A216" s="36">
        <v>44244</v>
      </c>
    </row>
    <row r="217" spans="1:1">
      <c r="A217" s="36">
        <v>44239</v>
      </c>
    </row>
    <row r="218" spans="1:1">
      <c r="A218" s="36">
        <v>44238</v>
      </c>
    </row>
    <row r="219" spans="1:1">
      <c r="A219" s="36">
        <v>44241</v>
      </c>
    </row>
    <row r="220" spans="1:1">
      <c r="A220" s="36">
        <v>44246</v>
      </c>
    </row>
    <row r="221" spans="1:1">
      <c r="A221" s="36">
        <v>44247</v>
      </c>
    </row>
    <row r="222" spans="1:1">
      <c r="A222" s="36">
        <v>44248</v>
      </c>
    </row>
    <row r="223" spans="1:1">
      <c r="A223" s="36">
        <v>44249</v>
      </c>
    </row>
    <row r="224" spans="1:1">
      <c r="A224" s="36">
        <v>44250</v>
      </c>
    </row>
    <row r="225" spans="1:1">
      <c r="A225" s="36">
        <v>44252</v>
      </c>
    </row>
    <row r="226" spans="1:1">
      <c r="A226" s="36">
        <v>44253</v>
      </c>
    </row>
    <row r="227" spans="1:1">
      <c r="A227" s="36">
        <v>44254</v>
      </c>
    </row>
    <row r="228" spans="1:1">
      <c r="A228" s="36">
        <v>44251</v>
      </c>
    </row>
    <row r="229" spans="1:1">
      <c r="A229" s="36">
        <v>44257</v>
      </c>
    </row>
    <row r="230" spans="1:1">
      <c r="A230" s="36">
        <v>44256</v>
      </c>
    </row>
    <row r="231" spans="1:1">
      <c r="A231" s="36">
        <v>44255</v>
      </c>
    </row>
    <row r="232" spans="1:1">
      <c r="A232" s="36">
        <v>44258</v>
      </c>
    </row>
    <row r="233" spans="1:1">
      <c r="A233" s="36">
        <v>44243</v>
      </c>
    </row>
    <row r="234" spans="1:1">
      <c r="A234" s="36">
        <v>44245</v>
      </c>
    </row>
    <row r="235" spans="1:1">
      <c r="A235" s="36">
        <v>44266</v>
      </c>
    </row>
    <row r="236" spans="1:1">
      <c r="A236" s="36">
        <v>44265</v>
      </c>
    </row>
    <row r="237" spans="1:1">
      <c r="A237" s="36">
        <v>44260</v>
      </c>
    </row>
    <row r="238" spans="1:1">
      <c r="A238" s="36">
        <v>44259</v>
      </c>
    </row>
    <row r="239" spans="1:1">
      <c r="A239" s="36">
        <v>44261</v>
      </c>
    </row>
    <row r="240" spans="1:1">
      <c r="A240" s="36">
        <v>44262</v>
      </c>
    </row>
    <row r="241" spans="1:2">
      <c r="A241" s="36">
        <v>44263</v>
      </c>
    </row>
    <row r="242" spans="1:2">
      <c r="A242" s="36">
        <v>44267</v>
      </c>
    </row>
    <row r="243" spans="1:2">
      <c r="A243" s="36">
        <v>44264</v>
      </c>
      <c r="B243" s="12" t="s">
        <v>576</v>
      </c>
    </row>
    <row r="244" spans="1:2">
      <c r="A244" s="36">
        <v>44299</v>
      </c>
    </row>
    <row r="245" spans="1:2">
      <c r="A245" s="36">
        <v>44558</v>
      </c>
    </row>
    <row r="246" spans="1:2">
      <c r="A246" s="36">
        <v>44550</v>
      </c>
    </row>
  </sheetData>
  <conditionalFormatting sqref="A1:B1048576">
    <cfRule type="expression" dxfId="0" priority="1">
      <formula>$A1&lt;&gt;""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76655F-1B92-42D7-87B7-8B2B3291F3EE}">
  <ds:schemaRefs>
    <ds:schemaRef ds:uri="http://schemas.microsoft.com/DataMashup"/>
  </ds:schemaRefs>
</ds:datastoreItem>
</file>

<file path=customXml/itemProps2.xml><?xml version="1.0" encoding="utf-8"?>
<ds:datastoreItem xmlns:ds="http://schemas.openxmlformats.org/officeDocument/2006/customXml" ds:itemID="{F16CFBC5-C5AC-4E62-A186-B4140D6EC80D}">
  <ds:schemaRefs>
    <ds:schemaRef ds:uri="ce3c6246-506e-4a94-a91d-ff0ff608911f"/>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7fab723-c88c-422b-9bfc-223bee44e578"/>
    <ds:schemaRef ds:uri="http://www.w3.org/XML/1998/namespace"/>
  </ds:schemaRefs>
</ds:datastoreItem>
</file>

<file path=customXml/itemProps3.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8A81211-65BC-46F3-8A52-F8ADDD3E9E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vt:i4>
      </vt:variant>
    </vt:vector>
  </HeadingPairs>
  <TitlesOfParts>
    <vt:vector size="29" baseType="lpstr">
      <vt:lpstr>Documentation</vt:lpstr>
      <vt:lpstr>Calendar</vt:lpstr>
      <vt:lpstr>Metadata Template</vt:lpstr>
      <vt:lpstr>20200113mChOCT4sg2</vt:lpstr>
      <vt:lpstr>20200120mChOCT4sg2</vt:lpstr>
      <vt:lpstr>20200220mChOCT4sg2</vt:lpstr>
      <vt:lpstr>Data</vt:lpstr>
      <vt:lpstr>ActivityList</vt:lpstr>
      <vt:lpstr>Cell Samples</vt:lpstr>
      <vt:lpstr>Data validation criteria</vt:lpstr>
      <vt:lpstr>TransfectionsReport</vt:lpstr>
      <vt:lpstr>FreezeReport</vt:lpstr>
      <vt:lpstr>DiscontinueReport</vt:lpstr>
      <vt:lpstr>ExtractDNAReport</vt:lpstr>
      <vt:lpstr>20200113mChOCT4sg2Report</vt:lpstr>
      <vt:lpstr>20200120mChOCT4sg2Report</vt:lpstr>
      <vt:lpstr>20200220mChOCT4sg2Report</vt:lpstr>
      <vt:lpstr>Passage#s20200113_C6</vt:lpstr>
      <vt:lpstr>Passage#s20200120_B9</vt:lpstr>
      <vt:lpstr>Passage#s20200220_A7</vt:lpstr>
      <vt:lpstr>Passage#s20200220_C6</vt:lpstr>
      <vt:lpstr>Passage#s20200220_C10</vt:lpstr>
      <vt:lpstr>AllClonesIist</vt:lpstr>
      <vt:lpstr>ClonesSummaries</vt:lpstr>
      <vt:lpstr>DailyNotes</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2022-01-04T18:43:24Z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