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backupFile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lant\Documents\ALP Precision5820\Manuscripts Precision\iPSC cloning\Metadata mst\"/>
    </mc:Choice>
  </mc:AlternateContent>
  <xr:revisionPtr revIDLastSave="0" documentId="13_ncr:1_{D22D74BE-8BA5-4930-A519-049FD7FCFFC5}" xr6:coauthVersionLast="45" xr6:coauthVersionMax="45" xr10:uidLastSave="{00000000-0000-0000-0000-000000000000}"/>
  <bookViews>
    <workbookView xWindow="1763" yWindow="-98" windowWidth="18854" windowHeight="13875" tabRatio="928" xr2:uid="{A7056974-51CC-4EE2-805D-5FE90EC745DE}"/>
  </bookViews>
  <sheets>
    <sheet name="Documentation" sheetId="74" r:id="rId1"/>
    <sheet name="Calendar" sheetId="86" r:id="rId2"/>
    <sheet name="Metadata Template" sheetId="34" r:id="rId3"/>
    <sheet name="Data" sheetId="64" r:id="rId4"/>
    <sheet name="ActivityList" sheetId="52" r:id="rId5"/>
    <sheet name="Cell Samples" sheetId="63" r:id="rId6"/>
    <sheet name="Data validation criteria" sheetId="2" r:id="rId7"/>
    <sheet name="TransfectionsReport" sheetId="75" r:id="rId8"/>
    <sheet name="FreezeReport" sheetId="76" r:id="rId9"/>
    <sheet name="DiscontinueReport" sheetId="77" r:id="rId10"/>
    <sheet name="Clone Report" sheetId="79" r:id="rId11"/>
  </sheets>
  <externalReferences>
    <externalReference r:id="rId12"/>
    <externalReference r:id="rId13"/>
  </externalReferences>
  <definedNames>
    <definedName name="_xlnm._FilterDatabase" localSheetId="5" hidden="1">'Cell Samples'!$B$1:$B$66</definedName>
    <definedName name="_xlnm._FilterDatabase" localSheetId="3" hidden="1">Data!$A$2:$H$523</definedName>
    <definedName name="Activities" localSheetId="1">OFFSET([2]ActivityList!$A$1,1,0,COUNTA([2]ActivityList!$A:$A)-1,1)</definedName>
    <definedName name="Activities">OFFSET(ActivityList!$A$1,1,0,COUNTA(ActivityList!$A:$A)-1,1)</definedName>
    <definedName name="cellnames">'Cell Samples'!$A$1:$A$80</definedName>
    <definedName name="CellSampleNames" localSheetId="1">OFFSET('[2]Cell Samples'!$A$1,1,0,COUNTA('[2]Cell Samples'!$A:$A)-1,1)</definedName>
    <definedName name="CellSampleNames">OFFSET('Cell Samples'!$A$1,1,0,COUNTA('Cell Samples'!$A:$A)-1,1)</definedName>
    <definedName name="DataEntry" localSheetId="1">Calendar!$B$5:$S$19,Calendar!$B$21,Calendar!$H$21,Calendar!$N$21,Calendar!$B$25:$S$39,Calendar!$B$41,Calendar!$H$41,Calendar!$N$41,Calendar!$B$45:$S$59,Calendar!$B$61,Calendar!$H$61,Calendar!$N$61,Calendar!$B$65:$S$78,Calendar!$S$79,Calendar!$N$79:$R$79,Calendar!$H$79:$L$79,Calendar!$B$79:$F$79,Calendar!$B$85:$S$99,Calendar!$N$101,Calendar!$H$101,Calendar!$B$101,Calendar!$B$105:$S$119,Calendar!$N$121,Calendar!$H$121,Calendar!$B$121,Calendar!$B$125:$S$139,Calendar!$N$141</definedName>
    <definedName name="DataEntry">#REF!,#REF!,#REF!,#REF!,#REF!,#REF!,#REF!,#REF!,#REF!,#REF!,#REF!,#REF!,#REF!,#REF!,#REF!,#REF!,#REF!,#REF!,#REF!,#REF!,#REF!,#REF!,#REF!,#REF!,#REF!,#REF!,#REF!</definedName>
    <definedName name="Query_from_Excel_Files" localSheetId="10" hidden="1">'Clone Report'!$A$1:$G$307</definedName>
    <definedName name="Query_from_Excel_Files" localSheetId="9" hidden="1">DiscontinueReport!$A$1:$G$14</definedName>
    <definedName name="Query_from_Excel_Files" localSheetId="8" hidden="1">FreezeReport!$A$1:$G$46</definedName>
    <definedName name="Query_from_Excel_Files" localSheetId="7" hidden="1">TransfectionsReport!$A$1:$G$10</definedName>
    <definedName name="Query_from_Excel_Files_1" localSheetId="10" hidden="1">'Clone Report'!$A$313:$G$410</definedName>
    <definedName name="Query_from_Excel_Files_2" localSheetId="10" hidden="1">'Clone Report'!$A$415:$G$715</definedName>
    <definedName name="Query_from_Excel_Files_3" localSheetId="10" hidden="1">'Clone Report'!$A$718:$G$904</definedName>
    <definedName name="ReportGeneratorData">Data!$A$1:$H$1095</definedName>
    <definedName name="StartDate" localSheetId="1">Calendar!$N$3</definedName>
    <definedName name="Start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3" i="86" l="1"/>
  <c r="N43" i="86" s="1"/>
  <c r="N63" i="86" s="1"/>
  <c r="N83" i="86" s="1"/>
  <c r="N103" i="86" s="1"/>
  <c r="N123" i="86" s="1"/>
  <c r="H3" i="86"/>
  <c r="B3" i="86" s="1"/>
  <c r="B23" i="86" s="1"/>
  <c r="B43" i="86" s="1"/>
  <c r="B63" i="86" s="1"/>
  <c r="B83" i="86" s="1"/>
  <c r="B103" i="86" s="1"/>
  <c r="B123" i="86" s="1"/>
  <c r="H23" i="86" l="1"/>
  <c r="H43" i="86" s="1"/>
  <c r="H63" i="86" s="1"/>
  <c r="H83" i="86" s="1"/>
  <c r="H103" i="86" s="1"/>
  <c r="H123" i="86" s="1"/>
  <c r="E33" i="34"/>
  <c r="F40" i="34"/>
  <c r="F39" i="34"/>
  <c r="C39" i="34"/>
  <c r="L30" i="34"/>
  <c r="I30" i="34"/>
  <c r="I29" i="34"/>
  <c r="E29" i="34"/>
  <c r="L29" i="34" s="1"/>
  <c r="L32" i="34" s="1"/>
  <c r="C35" i="34" s="1"/>
  <c r="L28" i="34"/>
  <c r="I28" i="34"/>
  <c r="C27" i="34"/>
  <c r="E21" i="34"/>
  <c r="E20" i="34"/>
  <c r="E19" i="34"/>
  <c r="E23" i="34" s="1"/>
  <c r="L12" i="34"/>
  <c r="L11" i="34"/>
  <c r="C34" i="34" l="1"/>
  <c r="C36" i="34" s="1"/>
  <c r="I36" i="34" s="1"/>
  <c r="E36" i="34" l="1"/>
  <c r="M32" i="34"/>
  <c r="H7" i="34" l="1"/>
  <c r="C55" i="34"/>
  <c r="H11" i="34"/>
  <c r="D44" i="34"/>
  <c r="E51" i="34"/>
  <c r="N52" i="34"/>
  <c r="E50" i="34"/>
  <c r="G51" i="34"/>
  <c r="I51" i="34"/>
  <c r="M52" i="34"/>
  <c r="G50" i="34"/>
  <c r="I50" i="34"/>
  <c r="M51" i="34"/>
  <c r="N51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F12DDC-0432-4319-A3A4-6C849BA41636}" name="Query from Excel Files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Activity='Transfect')_x000d__x000a_ORDER BY ReportGeneratorData.Date"/>
  </connection>
  <connection id="2" xr16:uid="{9A64DA8E-1D65-4C09-A846-5CC00BE78622}" name="Query from Excel Files1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Activity='Freeze')_x000d__x000a_ORDER BY ReportGeneratorData.Date"/>
  </connection>
  <connection id="3" xr16:uid="{8C6DF130-A5A2-41DB-A45E-B876B5FD4F06}" name="Query from Excel Files2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Activity='Discontinue')_x000d__x000a_ORDER BY ReportGeneratorData.Date"/>
  </connection>
  <connection id="4" xr16:uid="{B0F8A2D8-0887-4F03-B5BB-E48F94C2B104}" name="Query from Excel Files4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`Cell Sample Name` Like '%20200113mChOCT4sg2%')_x000d__x000a_ORDER BY ReportGeneratorData.Date"/>
  </connection>
  <connection id="5" xr16:uid="{24A7CDD0-B485-4C92-ADA2-F8D299577A20}" name="Query from Excel Files5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`Cell Sample Name` Like '%20200120mChOCT4sg2%')_x000d__x000a_ORDER BY ReportGeneratorData.Date"/>
  </connection>
  <connection id="6" xr16:uid="{344D16E6-4EC4-4858-83DC-30B031CF3B9A}" name="Query from Excel Files6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`Cell Sample Name` Like '%20200220mChOCT4sg2%')_x000d__x000a_ORDER BY ReportGeneratorData.Date"/>
  </connection>
  <connection id="7" xr16:uid="{898C30D6-A223-4EAE-AC6D-B3179C8EFEC7}" name="Query from Excel Files7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`Cell Sample Name`, ReportGeneratorData.Activity, ReportGeneratorData.Plate, ReportGeneratorData.Row, ReportGeneratorData.Notes, ReportGeneratorData.`#`_x000d__x000a_FROM ReportGeneratorData ReportGeneratorData_x000d__x000a_WHERE (ReportGeneratorData.`Cell Sample Name` Like '%20200318GFPSOX2sg3%')_x000d__x000a_ORDER BY ReportGeneratorData.`Cell Sample Name`"/>
  </connection>
</connections>
</file>

<file path=xl/sharedStrings.xml><?xml version="1.0" encoding="utf-8"?>
<sst xmlns="http://schemas.openxmlformats.org/spreadsheetml/2006/main" count="561" uniqueCount="335">
  <si>
    <t>TRANSFECTION METADATA</t>
  </si>
  <si>
    <t>JEFF</t>
  </si>
  <si>
    <t>Date of transfection</t>
  </si>
  <si>
    <t>Cell type</t>
  </si>
  <si>
    <t>LaminB-WTC11</t>
  </si>
  <si>
    <t>Cell source</t>
  </si>
  <si>
    <t>Coriell</t>
  </si>
  <si>
    <t>Freeze date</t>
  </si>
  <si>
    <t>Thaw date</t>
  </si>
  <si>
    <t>Passages since thaw</t>
  </si>
  <si>
    <t>Passage number</t>
  </si>
  <si>
    <t>passage#at freeze</t>
  </si>
  <si>
    <t>Karyotype analysis</t>
  </si>
  <si>
    <t>Original plasmid backbone</t>
  </si>
  <si>
    <t>pUC19-OCT4-T2A-NLS-EmGFP-P2A-Puro</t>
  </si>
  <si>
    <t>Source</t>
  </si>
  <si>
    <t>Addgene</t>
  </si>
  <si>
    <t>Other plamid components</t>
  </si>
  <si>
    <t>eGFP</t>
  </si>
  <si>
    <t>pSAD-F3-NPEST-iCRE-2A-mCherryPEST</t>
  </si>
  <si>
    <t>WCT11 genomic DNA</t>
  </si>
  <si>
    <t>WTC11cells</t>
  </si>
  <si>
    <t>Gene targeted</t>
  </si>
  <si>
    <t>OCT4</t>
  </si>
  <si>
    <t>FluorescentProtein</t>
  </si>
  <si>
    <t>m-Cherry</t>
  </si>
  <si>
    <t>Guide RNA Designation</t>
  </si>
  <si>
    <t>OCT4sg2</t>
  </si>
  <si>
    <t>Synthego</t>
  </si>
  <si>
    <t>Sequence</t>
  </si>
  <si>
    <t>OCT4sg2:GGCACCUCAGUUUGAAUGCA</t>
  </si>
  <si>
    <t>Yes</t>
  </si>
  <si>
    <t>Amaxa</t>
  </si>
  <si>
    <t xml:space="preserve">Electroporation program </t>
  </si>
  <si>
    <t>CB-150</t>
  </si>
  <si>
    <t>Electroporation buffer</t>
  </si>
  <si>
    <t>P3</t>
  </si>
  <si>
    <t>MTeSR+pen/strep</t>
  </si>
  <si>
    <t>TC 96 well</t>
  </si>
  <si>
    <t>Matrigel</t>
  </si>
  <si>
    <t>Control transfections</t>
  </si>
  <si>
    <t xml:space="preserve"> </t>
  </si>
  <si>
    <t>WTC11</t>
  </si>
  <si>
    <t>20190516</t>
  </si>
  <si>
    <t>20190705</t>
  </si>
  <si>
    <t> pcDNA3.3_d2eGFP</t>
  </si>
  <si>
    <t>TC 6 well</t>
  </si>
  <si>
    <t>Operator</t>
  </si>
  <si>
    <t>Instrument</t>
  </si>
  <si>
    <t>CO2</t>
  </si>
  <si>
    <t>Incubator chamber</t>
  </si>
  <si>
    <t>Cell Source</t>
  </si>
  <si>
    <t>in-house genetic modification</t>
  </si>
  <si>
    <t>Culture medium</t>
  </si>
  <si>
    <t>Culture matrix</t>
  </si>
  <si>
    <t>plate type</t>
  </si>
  <si>
    <t>Passage method</t>
  </si>
  <si>
    <t>Imaging mode</t>
  </si>
  <si>
    <t>Zeiss631951</t>
  </si>
  <si>
    <t>ND2</t>
  </si>
  <si>
    <t>Cytation Spa</t>
  </si>
  <si>
    <t>WiCell</t>
  </si>
  <si>
    <t>GFP OCT4</t>
  </si>
  <si>
    <t>RPMI+serum</t>
  </si>
  <si>
    <t>none</t>
  </si>
  <si>
    <t>accutase</t>
  </si>
  <si>
    <t>Zernike Phase</t>
  </si>
  <si>
    <t>Mhalter</t>
  </si>
  <si>
    <t>Cytation 1810011F</t>
  </si>
  <si>
    <t>Checked</t>
  </si>
  <si>
    <t>Kerbos</t>
  </si>
  <si>
    <t>mCherry OCT4</t>
  </si>
  <si>
    <t>mTeSR</t>
  </si>
  <si>
    <t>TC 24 well</t>
  </si>
  <si>
    <t>trypsin/EDTA</t>
  </si>
  <si>
    <t>Quantitative Phase</t>
  </si>
  <si>
    <t>Ed</t>
  </si>
  <si>
    <t>Zeiss ..</t>
  </si>
  <si>
    <t>Plexiglass</t>
  </si>
  <si>
    <t>Coriell/Allen Institute</t>
  </si>
  <si>
    <t>GFP SOX2</t>
  </si>
  <si>
    <t>laminin</t>
  </si>
  <si>
    <t>TC 12 well</t>
  </si>
  <si>
    <t>collagenase</t>
  </si>
  <si>
    <t>Fluorescence</t>
  </si>
  <si>
    <t>Aplant</t>
  </si>
  <si>
    <t>Zeiss…</t>
  </si>
  <si>
    <t>H09</t>
  </si>
  <si>
    <t>ATCC</t>
  </si>
  <si>
    <t>GFP Nanog</t>
  </si>
  <si>
    <t>Stemflex</t>
  </si>
  <si>
    <t>vitronectin</t>
  </si>
  <si>
    <t>Bright field</t>
  </si>
  <si>
    <t>Peterson</t>
  </si>
  <si>
    <t>H09eGFP-OCT4</t>
  </si>
  <si>
    <t>mCherry Nanog</t>
  </si>
  <si>
    <t>gelatin</t>
  </si>
  <si>
    <t>TC 10cm</t>
  </si>
  <si>
    <t>AlexT</t>
  </si>
  <si>
    <t>mCherry SOX2</t>
  </si>
  <si>
    <t>glass</t>
  </si>
  <si>
    <t>Other</t>
  </si>
  <si>
    <t>EGFP TN-C</t>
  </si>
  <si>
    <t>Falcon 353219</t>
  </si>
  <si>
    <t>Plasmid components</t>
  </si>
  <si>
    <t>Column1</t>
  </si>
  <si>
    <t>Genetarget</t>
  </si>
  <si>
    <t>Fluoresc Protein</t>
  </si>
  <si>
    <t>cell source</t>
  </si>
  <si>
    <t>transfectn method</t>
  </si>
  <si>
    <t>suspension media</t>
  </si>
  <si>
    <t>other plasmid components</t>
  </si>
  <si>
    <t>Source of gRNA</t>
  </si>
  <si>
    <t>Electro Buffer</t>
  </si>
  <si>
    <t>Guide RNA</t>
  </si>
  <si>
    <t>sgRNASeq</t>
  </si>
  <si>
    <t>WCT11</t>
  </si>
  <si>
    <t>Amaxa X-kit</t>
  </si>
  <si>
    <t>no guide RNA</t>
  </si>
  <si>
    <t>OCT4sg1</t>
  </si>
  <si>
    <t>pUC19-SOX2-T2A-2xNLS-tdTomato-F2A-Puro</t>
  </si>
  <si>
    <t>SOX2</t>
  </si>
  <si>
    <t>Lipofectamin</t>
  </si>
  <si>
    <t>no donor plasmid</t>
  </si>
  <si>
    <t>StemCellTechnologies</t>
  </si>
  <si>
    <t>P4</t>
  </si>
  <si>
    <t>Nanog</t>
  </si>
  <si>
    <t>GFPplasmid added</t>
  </si>
  <si>
    <t>IDT</t>
  </si>
  <si>
    <t>OCT4sg3</t>
  </si>
  <si>
    <t>OCT4sg3:UCUCCCAUGCAUUCAAACUG</t>
  </si>
  <si>
    <t>GFPprotein added</t>
  </si>
  <si>
    <t>SOX2sg1</t>
  </si>
  <si>
    <t>SOX2sg1:CGGCCCUCACAUGUGUGAGA</t>
  </si>
  <si>
    <t>SOX2sg2</t>
  </si>
  <si>
    <t>SOX2sg2:GUGAGGGCCGGACAGCGAAC</t>
  </si>
  <si>
    <t>SOX2sg3</t>
  </si>
  <si>
    <t>SOX2sg3:UGCCCCUCUCACACAUGUGA</t>
  </si>
  <si>
    <t>Electroporation Program</t>
  </si>
  <si>
    <t>CA-137</t>
  </si>
  <si>
    <t>No</t>
  </si>
  <si>
    <t>CD-118</t>
  </si>
  <si>
    <t>CM-113</t>
  </si>
  <si>
    <t>DC-100</t>
  </si>
  <si>
    <t>COULTER Counter Results:</t>
  </si>
  <si>
    <t>Column2</t>
  </si>
  <si>
    <t>Thaw</t>
  </si>
  <si>
    <t>Image</t>
  </si>
  <si>
    <t>Passage</t>
  </si>
  <si>
    <t>Transfect</t>
  </si>
  <si>
    <t>#</t>
  </si>
  <si>
    <t>Activity</t>
  </si>
  <si>
    <t>Freeze</t>
  </si>
  <si>
    <t>Feed w Ri</t>
  </si>
  <si>
    <t>Sort</t>
  </si>
  <si>
    <t>Activities</t>
  </si>
  <si>
    <t>Notes</t>
  </si>
  <si>
    <t>Daily Notes</t>
  </si>
  <si>
    <t>Plate</t>
  </si>
  <si>
    <t>Cell Sample Name</t>
  </si>
  <si>
    <t>Date</t>
  </si>
  <si>
    <t>Row</t>
  </si>
  <si>
    <t>Activity ID</t>
  </si>
  <si>
    <t>Transfector</t>
  </si>
  <si>
    <t xml:space="preserve">PURPOSE: </t>
  </si>
  <si>
    <t xml:space="preserve">Date cells received </t>
  </si>
  <si>
    <t>live shipment</t>
  </si>
  <si>
    <t>STR anal</t>
  </si>
  <si>
    <t>mycoplasma</t>
  </si>
  <si>
    <t>Transfection method</t>
  </si>
  <si>
    <t>Matrigel coating date</t>
  </si>
  <si>
    <t>input data</t>
  </si>
  <si>
    <t>6well plate harvest</t>
  </si>
  <si>
    <t>resusp to count</t>
  </si>
  <si>
    <t>incl .08mLposttrnsfctnincuba</t>
  </si>
  <si>
    <t>PREPARE REAGENTS FOR TRANSFECTION</t>
  </si>
  <si>
    <t>dilute w TE</t>
  </si>
  <si>
    <t>Stock Conc</t>
  </si>
  <si>
    <t>Dilu factor</t>
  </si>
  <si>
    <t>Working conc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</si>
  <si>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L of reactants</t>
    </r>
  </si>
  <si>
    <t xml:space="preserve"> Cas9:gRNA</t>
  </si>
  <si>
    <t>1:3</t>
  </si>
  <si>
    <t>pmol Cas9</t>
  </si>
  <si>
    <t>Cas9</t>
  </si>
  <si>
    <r>
      <t xml:space="preserve"> </t>
    </r>
    <r>
      <rPr>
        <b/>
        <sz val="11"/>
        <color theme="1"/>
        <rFont val="Symbol"/>
        <family val="1"/>
        <charset val="2"/>
      </rPr>
      <t>m</t>
    </r>
    <r>
      <rPr>
        <b/>
        <sz val="11"/>
        <color theme="1"/>
        <rFont val="Calibri"/>
        <family val="2"/>
        <scheme val="minor"/>
      </rPr>
      <t>M</t>
    </r>
  </si>
  <si>
    <t>pmol gRNA</t>
  </si>
  <si>
    <t xml:space="preserve">gRNA </t>
  </si>
  <si>
    <r>
      <rPr>
        <sz val="10"/>
        <color theme="1"/>
        <rFont val="Symbol"/>
        <family val="1"/>
        <charset val="2"/>
      </rPr>
      <t>m</t>
    </r>
    <r>
      <rPr>
        <sz val="10"/>
        <color theme="1"/>
        <rFont val="Calibri"/>
        <family val="2"/>
        <scheme val="minor"/>
      </rPr>
      <t>g plsmdDNA</t>
    </r>
  </si>
  <si>
    <t xml:space="preserve">plsmdDNA </t>
  </si>
  <si>
    <r>
      <t xml:space="preserve"> </t>
    </r>
    <r>
      <rPr>
        <b/>
        <sz val="11"/>
        <color theme="1"/>
        <rFont val="Symbol"/>
        <family val="1"/>
        <charset val="2"/>
      </rPr>
      <t>m</t>
    </r>
    <r>
      <rPr>
        <b/>
        <sz val="11"/>
        <color theme="1"/>
        <rFont val="Calibri"/>
        <family val="2"/>
        <scheme val="minor"/>
      </rPr>
      <t>g/</t>
    </r>
    <r>
      <rPr>
        <b/>
        <sz val="11"/>
        <color theme="1"/>
        <rFont val="Symbol"/>
        <family val="1"/>
        <charset val="2"/>
      </rPr>
      <t>m</t>
    </r>
    <r>
      <rPr>
        <b/>
        <sz val="11"/>
        <color theme="1"/>
        <rFont val="Calibri"/>
        <family val="2"/>
        <scheme val="minor"/>
      </rPr>
      <t>L</t>
    </r>
  </si>
  <si>
    <t>Total Volume of reactants</t>
  </si>
  <si>
    <t>Volume of cells</t>
  </si>
  <si>
    <t>Vol reactants</t>
  </si>
  <si>
    <t>Total vol rxn</t>
  </si>
  <si>
    <t>pmol RNA-prot cmplx</t>
  </si>
  <si>
    <t>PREPARE CELLS FOR TRANSFECTION</t>
  </si>
  <si>
    <t>Post transfection plate: 96-well</t>
  </si>
  <si>
    <t>Tot well vol</t>
  </si>
  <si>
    <t>0.1mL</t>
  </si>
  <si>
    <t>mL/well</t>
  </si>
  <si>
    <t>#cellstotal</t>
  </si>
  <si>
    <t>HELPER CELLS</t>
  </si>
  <si>
    <t xml:space="preserve">#cell/mL </t>
  </si>
  <si>
    <t>TRANSFECTANTS</t>
  </si>
  <si>
    <t>helpr cells</t>
  </si>
  <si>
    <t>transfctnts</t>
  </si>
  <si>
    <t>Time of plating post transfection</t>
  </si>
  <si>
    <t>Transfection designator</t>
  </si>
  <si>
    <t>Transfection protocol</t>
  </si>
  <si>
    <t>20190430</t>
  </si>
  <si>
    <t>how shipped</t>
  </si>
  <si>
    <t>cell shipping method</t>
  </si>
  <si>
    <t>live</t>
  </si>
  <si>
    <t>dry ice</t>
  </si>
  <si>
    <t>Dewer flask</t>
  </si>
  <si>
    <t>total mL</t>
  </si>
  <si>
    <t xml:space="preserve">mL </t>
  </si>
  <si>
    <t>vol to fill 96well posttransfctn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</si>
  <si>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g plasmidDNA</t>
    </r>
  </si>
  <si>
    <t>NOTES</t>
  </si>
  <si>
    <t>Coulter Counter data image</t>
  </si>
  <si>
    <t># cells to be transfected</t>
  </si>
  <si>
    <t>Resource</t>
  </si>
  <si>
    <t>5' homology arm</t>
  </si>
  <si>
    <t>3' homology arm</t>
  </si>
  <si>
    <t>Note: homology arms are 3' and 5' of the stop codon</t>
  </si>
  <si>
    <t>#wells in plate</t>
  </si>
  <si>
    <t>desired # cells/well</t>
  </si>
  <si>
    <t>final vol cell susp (mL)</t>
  </si>
  <si>
    <t xml:space="preserve"> Helper cells:Take volume for posttransfection plating. Transfectants: Centrifuge volume, resuspend in .02mL for transfection and add .08mL for postT incubation.</t>
  </si>
  <si>
    <t>mL/96well</t>
  </si>
  <si>
    <t>Vol of mTESR+Ri (mL)</t>
  </si>
  <si>
    <t>Vol of cells needed(mL)</t>
  </si>
  <si>
    <t>Enable macros, Update connections</t>
  </si>
  <si>
    <t>Extract DNA</t>
  </si>
  <si>
    <t>Feed w mTeSR++Ri</t>
  </si>
  <si>
    <t>Feed w mTeSr+</t>
  </si>
  <si>
    <t>Discontinue</t>
  </si>
  <si>
    <t>Send out for analysis</t>
  </si>
  <si>
    <t>Username</t>
  </si>
  <si>
    <t>Computer Name</t>
  </si>
  <si>
    <t>PREP media for transf/posttransf</t>
  </si>
  <si>
    <t>Harvest cells from 6well plate and count</t>
  </si>
  <si>
    <t>#wells to harvest</t>
  </si>
  <si>
    <t xml:space="preserve">Total volume </t>
  </si>
  <si>
    <t>Transfection vessel</t>
  </si>
  <si>
    <t>strip well</t>
  </si>
  <si>
    <t xml:space="preserve">Vol cells /vessel </t>
  </si>
  <si>
    <t># vessels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</si>
  <si>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L</t>
    </r>
  </si>
  <si>
    <t>mTeSR+Ri</t>
  </si>
  <si>
    <t>mTeSR+</t>
  </si>
  <si>
    <t>mTeSR+ +Ri</t>
  </si>
  <si>
    <t>transf vessel</t>
  </si>
  <si>
    <t>cuvette</t>
  </si>
  <si>
    <t>Source of plasmid material</t>
  </si>
  <si>
    <t>Donor Plasmid Name</t>
  </si>
  <si>
    <t>pSOX2_GFP_Long3HA</t>
  </si>
  <si>
    <t>in-house</t>
  </si>
  <si>
    <t>WTC11 genomic DNA</t>
  </si>
  <si>
    <t>pOCT4_mCh long5'HA</t>
  </si>
  <si>
    <t xml:space="preserve">For more detail see </t>
  </si>
  <si>
    <t>pSOX2_GFP</t>
  </si>
  <si>
    <t>line 85</t>
  </si>
  <si>
    <t>Shell ("cmd /c md " &amp; Chr(34) &amp; Sheets("Documentation").Range("A6") &amp; "\" &amp; Split(Data(0), "_")(0) &amp; "\" &amp; Split(Data(0), "_")(1) &amp; "\Sort" &amp; SortID &amp; "\" &amp; Chr(34))</t>
  </si>
  <si>
    <t>Shell ("cmd /c md " &amp; Chr(34) &amp; Sheets("Documentation").Range("A6") &amp; "\" &amp; Cells(i, StartCol).Value &amp; Chr(34))</t>
  </si>
  <si>
    <t>line 148</t>
  </si>
  <si>
    <t>new sort directory</t>
  </si>
  <si>
    <t>new transfection directory</t>
  </si>
  <si>
    <t>Shell ("cmd /c md " &amp; Chr(34) &amp; Sheets("Documentation").Range("A6") &amp; "\" &amp; Response &amp; "\" &amp; CloneID &amp; Chr(34))</t>
  </si>
  <si>
    <t>line 304</t>
  </si>
  <si>
    <t>new clone dir</t>
  </si>
  <si>
    <t>line 5</t>
  </si>
  <si>
    <t>Dim savePath, WBname, WBname_backup, WBname_no_extension As String</t>
  </si>
  <si>
    <t>archive excel files</t>
  </si>
  <si>
    <t>Workbook BeforeSave</t>
  </si>
  <si>
    <t>ModDat(Code) Save Data</t>
  </si>
  <si>
    <r>
      <t xml:space="preserve">Existing cell samples are listed in </t>
    </r>
    <r>
      <rPr>
        <b/>
        <sz val="11"/>
        <color theme="1"/>
        <rFont val="Calibri"/>
        <family val="2"/>
        <scheme val="minor"/>
      </rPr>
      <t>Worksheet:Cell Samples</t>
    </r>
  </si>
  <si>
    <r>
      <t xml:space="preserve">Activities applied to each cell sample on each date are listed in </t>
    </r>
    <r>
      <rPr>
        <b/>
        <sz val="11"/>
        <color theme="1"/>
        <rFont val="Calibri"/>
        <family val="2"/>
        <scheme val="minor"/>
      </rPr>
      <t>Worksheet: Data</t>
    </r>
  </si>
  <si>
    <t xml:space="preserve">PLACE THE URL OF THE HIGHEST LEVEL FOLDERS IN CELL A6 </t>
  </si>
  <si>
    <t>TO USE THE PROGRAM:</t>
  </si>
  <si>
    <t>Documentation</t>
  </si>
  <si>
    <t>Metadata Template</t>
  </si>
  <si>
    <t>Data</t>
  </si>
  <si>
    <t>ORGANIZATION OF WORKSHEETS IN THIS WORKBOOK:</t>
  </si>
  <si>
    <t xml:space="preserve">Calendar </t>
  </si>
  <si>
    <t>ActivityList</t>
  </si>
  <si>
    <t>Cell Samples</t>
  </si>
  <si>
    <t>Data validation criteria</t>
  </si>
  <si>
    <t>TransfectionsReport</t>
  </si>
  <si>
    <t>FreezeReport</t>
  </si>
  <si>
    <t>Discontinue Report</t>
  </si>
  <si>
    <t>Clone Report</t>
  </si>
  <si>
    <t>TO AUTOMATICALLY CREATE HUMAN-READABLE FOLDERS WITHIN A LOGICAL FOLDER-FILE STRUCTURE:</t>
  </si>
  <si>
    <t>Worksheet name</t>
  </si>
  <si>
    <t>Description</t>
  </si>
  <si>
    <t>Data Entry</t>
  </si>
  <si>
    <t>Template</t>
  </si>
  <si>
    <t>Report</t>
  </si>
  <si>
    <t>Term list</t>
  </si>
  <si>
    <t>Worksheet Type</t>
  </si>
  <si>
    <t>For entering daily activities</t>
  </si>
  <si>
    <t>Blank template for entering transfection details</t>
  </si>
  <si>
    <t>Simple query of all records in Data associated with activity "Transfect"</t>
  </si>
  <si>
    <t>Simple query of all records in Data associated with activity "Freeze"</t>
  </si>
  <si>
    <t>Simple query of all records in Data associated with activity "Discontinue"</t>
  </si>
  <si>
    <t>A series of queries that select records from Data associated with selected Cell Sample Name</t>
  </si>
  <si>
    <t>List key commands and workflows</t>
  </si>
  <si>
    <r>
      <t xml:space="preserve">Tabular form of all entries on </t>
    </r>
    <r>
      <rPr>
        <b/>
        <sz val="11"/>
        <color theme="1"/>
        <rFont val="Calibri"/>
        <family val="2"/>
        <scheme val="minor"/>
      </rPr>
      <t>Calendar</t>
    </r>
  </si>
  <si>
    <r>
      <t xml:space="preserve">Activities that can be selected on the </t>
    </r>
    <r>
      <rPr>
        <b/>
        <sz val="11"/>
        <color theme="1"/>
        <rFont val="Calibri"/>
        <family val="2"/>
        <scheme val="minor"/>
      </rPr>
      <t>Calendar</t>
    </r>
  </si>
  <si>
    <r>
      <t xml:space="preserve">Source of all drop-down lists on the </t>
    </r>
    <r>
      <rPr>
        <b/>
        <sz val="11"/>
        <color theme="1"/>
        <rFont val="Calibri"/>
        <family val="2"/>
        <scheme val="minor"/>
      </rPr>
      <t>Metadata Template</t>
    </r>
  </si>
  <si>
    <t>TO AUTOMATICALLY SAVE USERID AND COMPUTER NAME TO DATA WORKSHEET:</t>
  </si>
  <si>
    <t>If this feature is not desired, make the following lines of VBA code into comments</t>
  </si>
  <si>
    <t>write username</t>
  </si>
  <si>
    <t>write computer name</t>
  </si>
  <si>
    <t>line 188</t>
  </si>
  <si>
    <t>line 189</t>
  </si>
  <si>
    <t>ModData(Code) SaveData</t>
  </si>
  <si>
    <t>ModData(Code) SelectClone</t>
  </si>
  <si>
    <t>.Range("I" &amp; Row).Value = Environ("UserName")</t>
  </si>
  <si>
    <t>.Range("J" &amp; Row).Value = Environ("ComputerName")</t>
  </si>
  <si>
    <t>Microsoft Excel for Microsoft 365 MSO (16.0.13127.21490) 32-bit</t>
  </si>
  <si>
    <t>Excel Version:</t>
  </si>
  <si>
    <t>https://github.com/cell-line-engineering/cell-line-engineering#readme</t>
  </si>
  <si>
    <t>Column3</t>
  </si>
  <si>
    <t>Column4</t>
  </si>
  <si>
    <t>Column5</t>
  </si>
  <si>
    <t>Column6</t>
  </si>
  <si>
    <t>Column7</t>
  </si>
  <si>
    <r>
      <rPr>
        <b/>
        <sz val="11"/>
        <color theme="1"/>
        <rFont val="Calibri"/>
        <family val="2"/>
        <scheme val="minor"/>
      </rPr>
      <t>VERSION</t>
    </r>
    <r>
      <rPr>
        <sz val="11"/>
        <color theme="1"/>
        <rFont val="Calibri"/>
        <family val="2"/>
        <scheme val="minor"/>
      </rPr>
      <t xml:space="preserve"> Transfection Tracker_v2.0520_cleaned.xlsm</t>
    </r>
  </si>
  <si>
    <r>
      <rPr>
        <b/>
        <sz val="11"/>
        <color theme="1"/>
        <rFont val="Calibri"/>
        <family val="2"/>
        <scheme val="minor"/>
      </rPr>
      <t>Calendar Worksheet</t>
    </r>
    <r>
      <rPr>
        <sz val="11"/>
        <color theme="1"/>
        <rFont val="Calibri"/>
        <family val="2"/>
        <scheme val="minor"/>
      </rPr>
      <t xml:space="preserve">: Choose Activity </t>
    </r>
    <r>
      <rPr>
        <i/>
        <sz val="11"/>
        <color theme="1"/>
        <rFont val="Calibri"/>
        <family val="2"/>
        <scheme val="minor"/>
      </rPr>
      <t>Transfect</t>
    </r>
    <r>
      <rPr>
        <sz val="11"/>
        <color theme="1"/>
        <rFont val="Calibri"/>
        <family val="2"/>
        <scheme val="minor"/>
      </rPr>
      <t xml:space="preserve"> on any day to start a record. The Cell Sample name generated can be chosen for other activities to be performed on any date</t>
    </r>
  </si>
  <si>
    <r>
      <t xml:space="preserve">All activities are listed in </t>
    </r>
    <r>
      <rPr>
        <b/>
        <sz val="11"/>
        <color theme="1"/>
        <rFont val="Calibri"/>
        <family val="2"/>
        <scheme val="minor"/>
      </rPr>
      <t>Worksheet: ActivityList</t>
    </r>
    <r>
      <rPr>
        <sz val="11"/>
        <color theme="1"/>
        <rFont val="Calibri"/>
        <family val="2"/>
        <scheme val="minor"/>
      </rPr>
      <t xml:space="preserve">.  This list can be modified to provide different activities in the drop-down list in </t>
    </r>
    <r>
      <rPr>
        <b/>
        <sz val="11"/>
        <color theme="1"/>
        <rFont val="Calibri"/>
        <family val="2"/>
        <scheme val="minor"/>
      </rPr>
      <t>Calendar</t>
    </r>
    <r>
      <rPr>
        <sz val="11"/>
        <color theme="1"/>
        <rFont val="Calibri"/>
        <family val="2"/>
        <scheme val="minor"/>
      </rPr>
      <t>.</t>
    </r>
  </si>
  <si>
    <r>
      <t xml:space="preserve">All samples created that can be selected on the </t>
    </r>
    <r>
      <rPr>
        <b/>
        <sz val="11"/>
        <color theme="1"/>
        <rFont val="Calibri"/>
        <family val="2"/>
        <scheme val="minor"/>
      </rPr>
      <t>Calendar</t>
    </r>
  </si>
  <si>
    <t>This version is stripped of all experimental data. New entries in the Calendar will provide data to other worksheets.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</si>
</sst>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 mm/dd/yyyy"/>
    <numFmt numFmtId="165" formatCode=";;;"/>
    <numFmt numFmtId="166" formatCode="0.0"/>
  </numFmts>
  <fonts count="32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b/>
      <sz val="11"/>
      <color theme="1"/>
      <name val="Symbol"/>
      <family val="1"/>
      <charset val="2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DCE4"/>
        <bgColor indexed="64"/>
      </patternFill>
    </fill>
  </fills>
  <borders count="8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ck">
        <color indexed="64"/>
      </left>
      <right style="thin">
        <color auto="1"/>
      </right>
      <top/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5" fillId="7" borderId="22" applyNumberFormat="0" applyAlignment="0" applyProtection="0"/>
    <xf numFmtId="0" fontId="16" fillId="0" borderId="0" applyNumberFormat="0" applyFill="0" applyBorder="0" applyAlignment="0" applyProtection="0"/>
  </cellStyleXfs>
  <cellXfs count="367">
    <xf numFmtId="0" fontId="0" fillId="0" borderId="0" xfId="0"/>
    <xf numFmtId="0" fontId="0" fillId="2" borderId="4" xfId="0" applyFont="1" applyFill="1" applyBorder="1"/>
    <xf numFmtId="0" fontId="0" fillId="0" borderId="4" xfId="0" applyFont="1" applyBorder="1"/>
    <xf numFmtId="0" fontId="3" fillId="0" borderId="0" xfId="1"/>
    <xf numFmtId="16" fontId="0" fillId="0" borderId="0" xfId="0" quotePrefix="1" applyNumberFormat="1"/>
    <xf numFmtId="0" fontId="0" fillId="0" borderId="7" xfId="0" applyFont="1" applyBorder="1"/>
    <xf numFmtId="49" fontId="6" fillId="0" borderId="0" xfId="0" applyNumberFormat="1" applyFont="1" applyProtection="1">
      <protection locked="0"/>
    </xf>
    <xf numFmtId="0" fontId="2" fillId="0" borderId="0" xfId="0" applyFont="1" applyBorder="1"/>
    <xf numFmtId="0" fontId="0" fillId="0" borderId="0" xfId="0"/>
    <xf numFmtId="0" fontId="0" fillId="0" borderId="0" xfId="0" applyFont="1"/>
    <xf numFmtId="0" fontId="0" fillId="0" borderId="0" xfId="0" applyBorder="1"/>
    <xf numFmtId="0" fontId="2" fillId="0" borderId="0" xfId="0" applyFont="1"/>
    <xf numFmtId="0" fontId="4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right"/>
    </xf>
    <xf numFmtId="0" fontId="10" fillId="0" borderId="0" xfId="0" applyFont="1"/>
    <xf numFmtId="17" fontId="0" fillId="0" borderId="0" xfId="0" quotePrefix="1" applyNumberFormat="1"/>
    <xf numFmtId="0" fontId="2" fillId="0" borderId="0" xfId="0" applyFont="1" applyAlignment="1">
      <alignment horizontal="center"/>
    </xf>
    <xf numFmtId="0" fontId="4" fillId="3" borderId="10" xfId="0" applyFont="1" applyFill="1" applyBorder="1" applyAlignment="1" applyProtection="1">
      <alignment horizontal="left" vertical="top"/>
      <protection locked="0"/>
    </xf>
    <xf numFmtId="0" fontId="4" fillId="3" borderId="1" xfId="0" applyFont="1" applyFill="1" applyBorder="1" applyAlignment="1" applyProtection="1">
      <alignment horizontal="left" vertical="top"/>
      <protection locked="0"/>
    </xf>
    <xf numFmtId="0" fontId="4" fillId="3" borderId="1" xfId="0" applyFont="1" applyFill="1" applyBorder="1" applyAlignment="1" applyProtection="1">
      <alignment horizontal="left" vertical="top" wrapText="1"/>
      <protection locked="0"/>
    </xf>
    <xf numFmtId="0" fontId="4" fillId="3" borderId="9" xfId="0" applyFont="1" applyFill="1" applyBorder="1" applyAlignment="1" applyProtection="1">
      <alignment horizontal="left" vertical="top" wrapText="1"/>
      <protection locked="0"/>
    </xf>
    <xf numFmtId="14" fontId="0" fillId="0" borderId="0" xfId="0" applyNumberFormat="1"/>
    <xf numFmtId="14" fontId="2" fillId="0" borderId="0" xfId="0" applyNumberFormat="1" applyFont="1" applyAlignment="1">
      <alignment horizontal="center"/>
    </xf>
    <xf numFmtId="0" fontId="14" fillId="0" borderId="0" xfId="0" applyFont="1"/>
    <xf numFmtId="0" fontId="4" fillId="0" borderId="0" xfId="0" applyFont="1" applyFill="1"/>
    <xf numFmtId="0" fontId="2" fillId="0" borderId="23" xfId="0" applyFont="1" applyBorder="1"/>
    <xf numFmtId="0" fontId="0" fillId="0" borderId="24" xfId="0" applyBorder="1"/>
    <xf numFmtId="0" fontId="2" fillId="0" borderId="25" xfId="0" applyFont="1" applyBorder="1" applyAlignment="1">
      <alignment horizontal="left" indent="1"/>
    </xf>
    <xf numFmtId="0" fontId="0" fillId="0" borderId="26" xfId="0" applyBorder="1"/>
    <xf numFmtId="0" fontId="0" fillId="0" borderId="27" xfId="0" applyBorder="1"/>
    <xf numFmtId="0" fontId="2" fillId="0" borderId="28" xfId="0" applyFont="1" applyBorder="1" applyAlignment="1">
      <alignment horizontal="left" indent="3"/>
    </xf>
    <xf numFmtId="0" fontId="17" fillId="0" borderId="0" xfId="0" applyFont="1"/>
    <xf numFmtId="0" fontId="0" fillId="0" borderId="29" xfId="0" applyBorder="1"/>
    <xf numFmtId="0" fontId="2" fillId="0" borderId="30" xfId="0" applyFont="1" applyBorder="1"/>
    <xf numFmtId="0" fontId="17" fillId="0" borderId="32" xfId="0" applyFont="1" applyBorder="1" applyAlignment="1">
      <alignment horizontal="right"/>
    </xf>
    <xf numFmtId="0" fontId="2" fillId="0" borderId="32" xfId="0" applyFont="1" applyBorder="1" applyAlignment="1">
      <alignment horizontal="left" indent="1"/>
    </xf>
    <xf numFmtId="0" fontId="0" fillId="0" borderId="32" xfId="0" applyBorder="1"/>
    <xf numFmtId="0" fontId="2" fillId="0" borderId="25" xfId="0" applyFont="1" applyBorder="1"/>
    <xf numFmtId="0" fontId="2" fillId="0" borderId="26" xfId="0" applyFont="1" applyBorder="1"/>
    <xf numFmtId="0" fontId="2" fillId="0" borderId="26" xfId="0" applyFont="1" applyBorder="1" applyAlignment="1">
      <alignment horizontal="right"/>
    </xf>
    <xf numFmtId="0" fontId="2" fillId="0" borderId="28" xfId="0" applyFont="1" applyBorder="1"/>
    <xf numFmtId="0" fontId="2" fillId="0" borderId="1" xfId="0" applyFont="1" applyBorder="1" applyAlignment="1">
      <alignment horizontal="right"/>
    </xf>
    <xf numFmtId="0" fontId="0" fillId="0" borderId="30" xfId="0" applyBorder="1"/>
    <xf numFmtId="0" fontId="2" fillId="0" borderId="32" xfId="0" applyFont="1" applyBorder="1"/>
    <xf numFmtId="0" fontId="2" fillId="0" borderId="32" xfId="0" applyFont="1" applyBorder="1" applyAlignment="1">
      <alignment horizontal="right"/>
    </xf>
    <xf numFmtId="0" fontId="0" fillId="0" borderId="35" xfId="0" applyBorder="1"/>
    <xf numFmtId="0" fontId="0" fillId="8" borderId="1" xfId="0" applyFont="1" applyFill="1" applyBorder="1"/>
    <xf numFmtId="0" fontId="0" fillId="0" borderId="0" xfId="0" applyFont="1" applyFill="1" applyBorder="1"/>
    <xf numFmtId="49" fontId="0" fillId="0" borderId="0" xfId="0" applyNumberFormat="1" applyFont="1" applyFill="1" applyBorder="1"/>
    <xf numFmtId="0" fontId="15" fillId="7" borderId="25" xfId="2" applyBorder="1"/>
    <xf numFmtId="0" fontId="2" fillId="10" borderId="23" xfId="0" applyFont="1" applyFill="1" applyBorder="1"/>
    <xf numFmtId="0" fontId="0" fillId="10" borderId="36" xfId="0" applyFill="1" applyBorder="1"/>
    <xf numFmtId="0" fontId="0" fillId="10" borderId="26" xfId="0" applyFill="1" applyBorder="1"/>
    <xf numFmtId="0" fontId="0" fillId="10" borderId="23" xfId="0" applyFill="1" applyBorder="1" applyAlignment="1">
      <alignment horizontal="left"/>
    </xf>
    <xf numFmtId="0" fontId="0" fillId="10" borderId="24" xfId="0" applyFill="1" applyBorder="1"/>
    <xf numFmtId="0" fontId="0" fillId="10" borderId="27" xfId="0" applyFill="1" applyBorder="1"/>
    <xf numFmtId="0" fontId="0" fillId="10" borderId="28" xfId="0" applyFill="1" applyBorder="1"/>
    <xf numFmtId="0" fontId="0" fillId="10" borderId="0" xfId="0" applyFill="1"/>
    <xf numFmtId="0" fontId="0" fillId="10" borderId="29" xfId="0" applyFill="1" applyBorder="1"/>
    <xf numFmtId="0" fontId="0" fillId="10" borderId="0" xfId="0" applyFill="1" applyAlignment="1">
      <alignment horizontal="right"/>
    </xf>
    <xf numFmtId="2" fontId="0" fillId="10" borderId="0" xfId="0" applyNumberFormat="1" applyFill="1"/>
    <xf numFmtId="0" fontId="18" fillId="10" borderId="23" xfId="0" applyFont="1" applyFill="1" applyBorder="1"/>
    <xf numFmtId="0" fontId="0" fillId="10" borderId="24" xfId="0" applyFill="1" applyBorder="1" applyAlignment="1">
      <alignment horizontal="left"/>
    </xf>
    <xf numFmtId="0" fontId="0" fillId="10" borderId="30" xfId="0" applyFill="1" applyBorder="1"/>
    <xf numFmtId="0" fontId="0" fillId="10" borderId="32" xfId="0" applyFill="1" applyBorder="1"/>
    <xf numFmtId="0" fontId="18" fillId="10" borderId="32" xfId="0" applyFont="1" applyFill="1" applyBorder="1"/>
    <xf numFmtId="0" fontId="0" fillId="10" borderId="32" xfId="0" applyFill="1" applyBorder="1" applyAlignment="1">
      <alignment horizontal="left"/>
    </xf>
    <xf numFmtId="0" fontId="0" fillId="10" borderId="35" xfId="0" applyFill="1" applyBorder="1"/>
    <xf numFmtId="0" fontId="0" fillId="11" borderId="0" xfId="0" applyFill="1"/>
    <xf numFmtId="0" fontId="0" fillId="11" borderId="25" xfId="0" applyFill="1" applyBorder="1"/>
    <xf numFmtId="0" fontId="0" fillId="12" borderId="23" xfId="0" applyFill="1" applyBorder="1"/>
    <xf numFmtId="0" fontId="16" fillId="12" borderId="24" xfId="3" applyFill="1" applyBorder="1" applyAlignment="1">
      <alignment horizontal="center"/>
    </xf>
    <xf numFmtId="0" fontId="0" fillId="12" borderId="36" xfId="0" applyFill="1" applyBorder="1"/>
    <xf numFmtId="0" fontId="0" fillId="11" borderId="26" xfId="0" applyFill="1" applyBorder="1"/>
    <xf numFmtId="0" fontId="0" fillId="11" borderId="27" xfId="0" applyFill="1" applyBorder="1"/>
    <xf numFmtId="0" fontId="0" fillId="11" borderId="28" xfId="0" applyFill="1" applyBorder="1" applyAlignment="1">
      <alignment horizontal="left"/>
    </xf>
    <xf numFmtId="0" fontId="0" fillId="11" borderId="0" xfId="0" applyFill="1" applyAlignment="1">
      <alignment horizontal="center"/>
    </xf>
    <xf numFmtId="0" fontId="2" fillId="11" borderId="28" xfId="0" applyFont="1" applyFill="1" applyBorder="1" applyAlignment="1">
      <alignment horizontal="center"/>
    </xf>
    <xf numFmtId="0" fontId="0" fillId="11" borderId="29" xfId="0" applyFill="1" applyBorder="1"/>
    <xf numFmtId="0" fontId="0" fillId="11" borderId="28" xfId="0" applyFill="1" applyBorder="1"/>
    <xf numFmtId="0" fontId="21" fillId="11" borderId="0" xfId="0" applyFont="1" applyFill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3" fillId="11" borderId="0" xfId="0" applyFont="1" applyFill="1" applyAlignment="1">
      <alignment horizontal="right"/>
    </xf>
    <xf numFmtId="166" fontId="0" fillId="11" borderId="0" xfId="0" applyNumberFormat="1" applyFill="1" applyAlignment="1">
      <alignment horizontal="center"/>
    </xf>
    <xf numFmtId="0" fontId="0" fillId="11" borderId="30" xfId="0" applyFill="1" applyBorder="1"/>
    <xf numFmtId="0" fontId="0" fillId="11" borderId="32" xfId="0" applyFill="1" applyBorder="1"/>
    <xf numFmtId="166" fontId="0" fillId="11" borderId="0" xfId="0" applyNumberFormat="1" applyFill="1"/>
    <xf numFmtId="0" fontId="16" fillId="11" borderId="0" xfId="0" applyFont="1" applyFill="1"/>
    <xf numFmtId="0" fontId="0" fillId="11" borderId="0" xfId="0" applyFill="1" applyAlignment="1">
      <alignment horizontal="right"/>
    </xf>
    <xf numFmtId="0" fontId="0" fillId="10" borderId="23" xfId="0" applyFill="1" applyBorder="1" applyAlignment="1">
      <alignment horizontal="right"/>
    </xf>
    <xf numFmtId="0" fontId="15" fillId="10" borderId="43" xfId="2" applyFill="1" applyBorder="1"/>
    <xf numFmtId="0" fontId="2" fillId="10" borderId="0" xfId="0" applyFont="1" applyFill="1"/>
    <xf numFmtId="0" fontId="15" fillId="10" borderId="0" xfId="2" applyFill="1" applyBorder="1" applyAlignment="1">
      <alignment horizontal="center"/>
    </xf>
    <xf numFmtId="0" fontId="0" fillId="10" borderId="25" xfId="0" applyFill="1" applyBorder="1"/>
    <xf numFmtId="0" fontId="0" fillId="10" borderId="44" xfId="0" applyFill="1" applyBorder="1" applyAlignment="1">
      <alignment horizontal="center"/>
    </xf>
    <xf numFmtId="0" fontId="4" fillId="10" borderId="0" xfId="0" applyFont="1" applyFill="1"/>
    <xf numFmtId="0" fontId="2" fillId="10" borderId="28" xfId="0" applyFont="1" applyFill="1" applyBorder="1"/>
    <xf numFmtId="0" fontId="18" fillId="10" borderId="39" xfId="0" applyFont="1" applyFill="1" applyBorder="1"/>
    <xf numFmtId="0" fontId="18" fillId="10" borderId="41" xfId="0" applyFont="1" applyFill="1" applyBorder="1" applyAlignment="1">
      <alignment horizontal="center"/>
    </xf>
    <xf numFmtId="0" fontId="18" fillId="10" borderId="41" xfId="0" applyFont="1" applyFill="1" applyBorder="1"/>
    <xf numFmtId="0" fontId="5" fillId="10" borderId="0" xfId="0" applyFont="1" applyFill="1"/>
    <xf numFmtId="0" fontId="0" fillId="10" borderId="23" xfId="0" applyFill="1" applyBorder="1"/>
    <xf numFmtId="0" fontId="2" fillId="0" borderId="24" xfId="0" applyFont="1" applyBorder="1" applyAlignment="1">
      <alignment horizontal="right"/>
    </xf>
    <xf numFmtId="0" fontId="0" fillId="8" borderId="3" xfId="0" applyFont="1" applyFill="1" applyBorder="1"/>
    <xf numFmtId="0" fontId="0" fillId="8" borderId="2" xfId="0" applyFont="1" applyFill="1" applyBorder="1"/>
    <xf numFmtId="0" fontId="0" fillId="0" borderId="32" xfId="0" applyBorder="1" applyAlignment="1">
      <alignment horizontal="left" vertical="center"/>
    </xf>
    <xf numFmtId="0" fontId="2" fillId="0" borderId="23" xfId="0" applyFont="1" applyBorder="1" applyAlignment="1">
      <alignment horizontal="left"/>
    </xf>
    <xf numFmtId="0" fontId="23" fillId="0" borderId="24" xfId="0" applyFont="1" applyBorder="1"/>
    <xf numFmtId="0" fontId="23" fillId="0" borderId="24" xfId="0" applyFont="1" applyBorder="1" applyAlignment="1">
      <alignment horizontal="left" indent="1"/>
    </xf>
    <xf numFmtId="0" fontId="17" fillId="0" borderId="0" xfId="0" applyFont="1" applyAlignment="1">
      <alignment horizontal="right"/>
    </xf>
    <xf numFmtId="0" fontId="24" fillId="10" borderId="0" xfId="0" applyFont="1" applyFill="1" applyAlignment="1">
      <alignment horizontal="right"/>
    </xf>
    <xf numFmtId="0" fontId="1" fillId="10" borderId="0" xfId="0" applyFont="1" applyFill="1" applyAlignment="1">
      <alignment horizontal="right"/>
    </xf>
    <xf numFmtId="0" fontId="9" fillId="10" borderId="23" xfId="0" applyFont="1" applyFill="1" applyBorder="1" applyAlignment="1">
      <alignment horizontal="left"/>
    </xf>
    <xf numFmtId="1" fontId="18" fillId="11" borderId="1" xfId="0" applyNumberFormat="1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2" fillId="11" borderId="32" xfId="0" applyFont="1" applyFill="1" applyBorder="1" applyAlignment="1">
      <alignment horizontal="left"/>
    </xf>
    <xf numFmtId="0" fontId="8" fillId="11" borderId="23" xfId="0" applyFont="1" applyFill="1" applyBorder="1"/>
    <xf numFmtId="0" fontId="0" fillId="11" borderId="8" xfId="0" applyFill="1" applyBorder="1" applyAlignment="1">
      <alignment horizontal="center"/>
    </xf>
    <xf numFmtId="0" fontId="18" fillId="11" borderId="10" xfId="0" applyFont="1" applyFill="1" applyBorder="1" applyAlignment="1">
      <alignment horizontal="center"/>
    </xf>
    <xf numFmtId="0" fontId="18" fillId="11" borderId="48" xfId="0" applyFont="1" applyFill="1" applyBorder="1" applyAlignment="1">
      <alignment horizontal="center"/>
    </xf>
    <xf numFmtId="0" fontId="16" fillId="11" borderId="15" xfId="0" applyFont="1" applyFill="1" applyBorder="1" applyAlignment="1">
      <alignment horizontal="center"/>
    </xf>
    <xf numFmtId="0" fontId="19" fillId="11" borderId="44" xfId="0" applyFont="1" applyFill="1" applyBorder="1" applyAlignment="1">
      <alignment horizontal="center"/>
    </xf>
    <xf numFmtId="166" fontId="18" fillId="11" borderId="49" xfId="0" applyNumberFormat="1" applyFont="1" applyFill="1" applyBorder="1" applyAlignment="1">
      <alignment horizontal="center"/>
    </xf>
    <xf numFmtId="166" fontId="18" fillId="11" borderId="9" xfId="0" applyNumberFormat="1" applyFont="1" applyFill="1" applyBorder="1" applyAlignment="1">
      <alignment horizontal="center"/>
    </xf>
    <xf numFmtId="0" fontId="18" fillId="11" borderId="33" xfId="0" applyFont="1" applyFill="1" applyBorder="1" applyAlignment="1">
      <alignment horizontal="center"/>
    </xf>
    <xf numFmtId="0" fontId="0" fillId="11" borderId="34" xfId="0" applyFill="1" applyBorder="1"/>
    <xf numFmtId="0" fontId="0" fillId="11" borderId="50" xfId="0" applyFill="1" applyBorder="1"/>
    <xf numFmtId="0" fontId="19" fillId="11" borderId="0" xfId="0" applyFont="1" applyFill="1" applyAlignment="1">
      <alignment horizontal="right"/>
    </xf>
    <xf numFmtId="0" fontId="0" fillId="10" borderId="0" xfId="0" applyFill="1" applyBorder="1"/>
    <xf numFmtId="0" fontId="15" fillId="0" borderId="0" xfId="2" applyFill="1" applyBorder="1"/>
    <xf numFmtId="0" fontId="15" fillId="7" borderId="22" xfId="2" applyProtection="1">
      <protection locked="0"/>
    </xf>
    <xf numFmtId="49" fontId="15" fillId="7" borderId="22" xfId="2" applyNumberFormat="1" applyProtection="1">
      <protection locked="0"/>
    </xf>
    <xf numFmtId="0" fontId="6" fillId="7" borderId="40" xfId="2" applyFont="1" applyBorder="1" applyAlignment="1" applyProtection="1">
      <alignment horizontal="center"/>
      <protection locked="0"/>
    </xf>
    <xf numFmtId="0" fontId="6" fillId="7" borderId="31" xfId="2" applyFont="1" applyBorder="1" applyAlignment="1" applyProtection="1">
      <alignment horizontal="center"/>
      <protection locked="0"/>
    </xf>
    <xf numFmtId="11" fontId="6" fillId="7" borderId="22" xfId="2" applyNumberFormat="1" applyFont="1" applyProtection="1">
      <protection locked="0"/>
    </xf>
    <xf numFmtId="0" fontId="15" fillId="7" borderId="25" xfId="2" applyBorder="1" applyProtection="1">
      <protection locked="0"/>
    </xf>
    <xf numFmtId="0" fontId="15" fillId="7" borderId="26" xfId="2" applyBorder="1" applyProtection="1">
      <protection locked="0"/>
    </xf>
    <xf numFmtId="0" fontId="15" fillId="7" borderId="27" xfId="2" applyBorder="1" applyProtection="1">
      <protection locked="0"/>
    </xf>
    <xf numFmtId="0" fontId="15" fillId="7" borderId="28" xfId="2" applyBorder="1" applyProtection="1">
      <protection locked="0"/>
    </xf>
    <xf numFmtId="0" fontId="15" fillId="7" borderId="0" xfId="2" applyBorder="1" applyProtection="1">
      <protection locked="0"/>
    </xf>
    <xf numFmtId="0" fontId="15" fillId="7" borderId="29" xfId="2" applyBorder="1" applyProtection="1">
      <protection locked="0"/>
    </xf>
    <xf numFmtId="0" fontId="15" fillId="7" borderId="30" xfId="2" applyBorder="1" applyProtection="1">
      <protection locked="0"/>
    </xf>
    <xf numFmtId="0" fontId="15" fillId="7" borderId="32" xfId="2" applyBorder="1" applyProtection="1">
      <protection locked="0"/>
    </xf>
    <xf numFmtId="0" fontId="15" fillId="7" borderId="35" xfId="2" applyBorder="1" applyProtection="1">
      <protection locked="0"/>
    </xf>
    <xf numFmtId="49" fontId="0" fillId="8" borderId="1" xfId="0" applyNumberFormat="1" applyFont="1" applyFill="1" applyBorder="1" applyProtection="1">
      <protection locked="0"/>
    </xf>
    <xf numFmtId="0" fontId="0" fillId="0" borderId="1" xfId="0" applyBorder="1"/>
    <xf numFmtId="0" fontId="4" fillId="0" borderId="32" xfId="0" applyFont="1" applyBorder="1"/>
    <xf numFmtId="0" fontId="4" fillId="0" borderId="0" xfId="0" applyFont="1" applyBorder="1"/>
    <xf numFmtId="0" fontId="15" fillId="7" borderId="60" xfId="2" applyBorder="1" applyProtection="1">
      <protection locked="0"/>
    </xf>
    <xf numFmtId="0" fontId="4" fillId="0" borderId="26" xfId="0" applyFont="1" applyBorder="1"/>
    <xf numFmtId="0" fontId="4" fillId="0" borderId="27" xfId="0" applyFont="1" applyBorder="1"/>
    <xf numFmtId="0" fontId="2" fillId="0" borderId="0" xfId="0" applyFont="1" applyBorder="1" applyAlignment="1">
      <alignment horizontal="right"/>
    </xf>
    <xf numFmtId="0" fontId="4" fillId="0" borderId="29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61" xfId="0" applyFont="1" applyBorder="1"/>
    <xf numFmtId="0" fontId="0" fillId="0" borderId="62" xfId="0" applyBorder="1"/>
    <xf numFmtId="0" fontId="0" fillId="0" borderId="5" xfId="0" applyBorder="1"/>
    <xf numFmtId="0" fontId="4" fillId="0" borderId="28" xfId="0" applyFont="1" applyBorder="1"/>
    <xf numFmtId="0" fontId="6" fillId="7" borderId="22" xfId="2" applyFont="1" applyProtection="1">
      <protection locked="0"/>
    </xf>
    <xf numFmtId="49" fontId="6" fillId="7" borderId="22" xfId="2" applyNumberFormat="1" applyFont="1" applyProtection="1">
      <protection locked="0"/>
    </xf>
    <xf numFmtId="0" fontId="6" fillId="7" borderId="60" xfId="2" applyFont="1" applyBorder="1" applyProtection="1">
      <protection locked="0"/>
    </xf>
    <xf numFmtId="0" fontId="6" fillId="7" borderId="1" xfId="2" applyFont="1" applyBorder="1" applyProtection="1">
      <protection locked="0"/>
    </xf>
    <xf numFmtId="49" fontId="6" fillId="7" borderId="37" xfId="2" quotePrefix="1" applyNumberFormat="1" applyFont="1" applyBorder="1" applyProtection="1">
      <protection locked="0"/>
    </xf>
    <xf numFmtId="0" fontId="6" fillId="7" borderId="38" xfId="2" applyFont="1" applyBorder="1" applyAlignment="1" applyProtection="1">
      <alignment horizontal="center"/>
      <protection locked="0"/>
    </xf>
    <xf numFmtId="0" fontId="6" fillId="7" borderId="46" xfId="2" applyFont="1" applyBorder="1" applyAlignment="1" applyProtection="1">
      <alignment horizontal="center"/>
      <protection locked="0"/>
    </xf>
    <xf numFmtId="0" fontId="6" fillId="7" borderId="6" xfId="2" applyFont="1" applyBorder="1" applyAlignment="1" applyProtection="1">
      <alignment horizontal="center"/>
      <protection locked="0"/>
    </xf>
    <xf numFmtId="0" fontId="6" fillId="7" borderId="47" xfId="2" applyFont="1" applyBorder="1" applyAlignment="1" applyProtection="1">
      <alignment horizontal="center"/>
      <protection locked="0"/>
    </xf>
    <xf numFmtId="18" fontId="6" fillId="7" borderId="45" xfId="2" applyNumberFormat="1" applyFont="1" applyBorder="1" applyProtection="1">
      <protection locked="0"/>
    </xf>
    <xf numFmtId="2" fontId="18" fillId="10" borderId="0" xfId="0" applyNumberFormat="1" applyFont="1" applyFill="1" applyAlignment="1">
      <alignment horizontal="center"/>
    </xf>
    <xf numFmtId="0" fontId="4" fillId="10" borderId="32" xfId="0" applyFont="1" applyFill="1" applyBorder="1"/>
    <xf numFmtId="0" fontId="4" fillId="0" borderId="63" xfId="0" applyFont="1" applyBorder="1"/>
    <xf numFmtId="11" fontId="6" fillId="7" borderId="66" xfId="2" applyNumberFormat="1" applyFont="1" applyBorder="1" applyProtection="1">
      <protection locked="0"/>
    </xf>
    <xf numFmtId="2" fontId="18" fillId="10" borderId="65" xfId="0" applyNumberFormat="1" applyFont="1" applyFill="1" applyBorder="1" applyAlignment="1">
      <alignment horizontal="center"/>
    </xf>
    <xf numFmtId="0" fontId="0" fillId="10" borderId="64" xfId="0" applyFill="1" applyBorder="1"/>
    <xf numFmtId="2" fontId="18" fillId="10" borderId="67" xfId="0" applyNumberFormat="1" applyFont="1" applyFill="1" applyBorder="1" applyAlignment="1">
      <alignment horizontal="center"/>
    </xf>
    <xf numFmtId="0" fontId="0" fillId="10" borderId="64" xfId="0" applyFill="1" applyBorder="1" applyAlignment="1">
      <alignment horizontal="center" wrapText="1"/>
    </xf>
    <xf numFmtId="2" fontId="18" fillId="10" borderId="68" xfId="0" applyNumberFormat="1" applyFont="1" applyFill="1" applyBorder="1" applyAlignment="1">
      <alignment horizontal="center"/>
    </xf>
    <xf numFmtId="0" fontId="8" fillId="10" borderId="69" xfId="0" applyFont="1" applyFill="1" applyBorder="1" applyAlignment="1">
      <alignment horizontal="center" wrapText="1"/>
    </xf>
    <xf numFmtId="0" fontId="18" fillId="10" borderId="44" xfId="0" applyFont="1" applyFill="1" applyBorder="1" applyAlignment="1">
      <alignment horizontal="center"/>
    </xf>
    <xf numFmtId="0" fontId="0" fillId="10" borderId="44" xfId="0" applyFill="1" applyBorder="1" applyAlignment="1">
      <alignment horizontal="center" vertical="center"/>
    </xf>
    <xf numFmtId="0" fontId="6" fillId="7" borderId="42" xfId="2" applyFont="1" applyBorder="1"/>
    <xf numFmtId="0" fontId="2" fillId="11" borderId="26" xfId="0" applyFont="1" applyFill="1" applyBorder="1"/>
    <xf numFmtId="0" fontId="0" fillId="11" borderId="0" xfId="0" applyFill="1" applyBorder="1"/>
    <xf numFmtId="0" fontId="0" fillId="11" borderId="35" xfId="0" applyFill="1" applyBorder="1"/>
    <xf numFmtId="0" fontId="0" fillId="8" borderId="26" xfId="0" applyFont="1" applyFill="1" applyBorder="1"/>
    <xf numFmtId="0" fontId="0" fillId="8" borderId="28" xfId="0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right"/>
    </xf>
    <xf numFmtId="49" fontId="15" fillId="7" borderId="22" xfId="2" applyNumberFormat="1" applyBorder="1" applyProtection="1">
      <protection locked="0"/>
    </xf>
    <xf numFmtId="0" fontId="15" fillId="7" borderId="22" xfId="2" applyBorder="1" applyProtection="1">
      <protection locked="0"/>
    </xf>
    <xf numFmtId="0" fontId="0" fillId="0" borderId="28" xfId="0" applyFont="1" applyFill="1" applyBorder="1"/>
    <xf numFmtId="0" fontId="0" fillId="0" borderId="28" xfId="0" applyFont="1" applyBorder="1"/>
    <xf numFmtId="0" fontId="0" fillId="9" borderId="28" xfId="0" applyFont="1" applyFill="1" applyBorder="1"/>
    <xf numFmtId="0" fontId="2" fillId="9" borderId="0" xfId="0" applyFont="1" applyFill="1" applyBorder="1" applyAlignment="1">
      <alignment horizontal="left"/>
    </xf>
    <xf numFmtId="0" fontId="2" fillId="9" borderId="0" xfId="0" applyFont="1" applyFill="1" applyBorder="1"/>
    <xf numFmtId="0" fontId="2" fillId="9" borderId="0" xfId="0" applyFont="1" applyFill="1" applyBorder="1" applyAlignment="1">
      <alignment horizontal="right"/>
    </xf>
    <xf numFmtId="0" fontId="0" fillId="9" borderId="0" xfId="0" applyFont="1" applyFill="1" applyBorder="1"/>
    <xf numFmtId="0" fontId="0" fillId="9" borderId="30" xfId="0" applyFont="1" applyFill="1" applyBorder="1"/>
    <xf numFmtId="0" fontId="2" fillId="9" borderId="32" xfId="0" applyFont="1" applyFill="1" applyBorder="1"/>
    <xf numFmtId="0" fontId="0" fillId="9" borderId="32" xfId="0" applyFont="1" applyFill="1" applyBorder="1"/>
    <xf numFmtId="0" fontId="9" fillId="9" borderId="0" xfId="0" applyFont="1" applyFill="1" applyBorder="1" applyAlignment="1">
      <alignment horizontal="right"/>
    </xf>
    <xf numFmtId="0" fontId="6" fillId="7" borderId="0" xfId="2" applyFont="1" applyBorder="1" applyAlignment="1" applyProtection="1">
      <alignment horizontal="left"/>
      <protection locked="0"/>
    </xf>
    <xf numFmtId="22" fontId="0" fillId="0" borderId="0" xfId="0" applyNumberFormat="1"/>
    <xf numFmtId="0" fontId="0" fillId="0" borderId="0" xfId="0" applyAlignment="1">
      <alignment wrapText="1"/>
    </xf>
    <xf numFmtId="14" fontId="11" fillId="0" borderId="0" xfId="0" applyNumberFormat="1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14" fontId="4" fillId="0" borderId="0" xfId="0" applyNumberFormat="1" applyFont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13" fillId="0" borderId="0" xfId="0" applyFont="1" applyAlignment="1" applyProtection="1">
      <alignment vertical="top"/>
      <protection hidden="1"/>
    </xf>
    <xf numFmtId="0" fontId="4" fillId="0" borderId="0" xfId="0" applyFont="1" applyAlignment="1" applyProtection="1">
      <alignment vertical="top"/>
      <protection hidden="1"/>
    </xf>
    <xf numFmtId="165" fontId="13" fillId="0" borderId="0" xfId="0" applyNumberFormat="1" applyFont="1" applyAlignment="1" applyProtection="1">
      <alignment vertical="top"/>
      <protection hidden="1"/>
    </xf>
    <xf numFmtId="0" fontId="4" fillId="0" borderId="32" xfId="0" applyFont="1" applyBorder="1" applyAlignment="1" applyProtection="1">
      <alignment vertical="top" wrapText="1"/>
      <protection hidden="1"/>
    </xf>
    <xf numFmtId="0" fontId="11" fillId="4" borderId="19" xfId="0" applyFont="1" applyFill="1" applyBorder="1" applyAlignment="1" applyProtection="1">
      <alignment horizontal="center" vertical="top"/>
      <protection hidden="1"/>
    </xf>
    <xf numFmtId="0" fontId="11" fillId="4" borderId="20" xfId="0" applyFont="1" applyFill="1" applyBorder="1" applyAlignment="1" applyProtection="1">
      <alignment horizontal="center" vertical="top"/>
      <protection hidden="1"/>
    </xf>
    <xf numFmtId="0" fontId="11" fillId="4" borderId="20" xfId="0" applyFont="1" applyFill="1" applyBorder="1" applyAlignment="1" applyProtection="1">
      <alignment horizontal="center" vertical="top" wrapText="1"/>
      <protection hidden="1"/>
    </xf>
    <xf numFmtId="0" fontId="11" fillId="4" borderId="21" xfId="0" applyFont="1" applyFill="1" applyBorder="1" applyAlignment="1" applyProtection="1">
      <alignment horizontal="center" vertical="top" wrapText="1"/>
      <protection hidden="1"/>
    </xf>
    <xf numFmtId="0" fontId="11" fillId="5" borderId="19" xfId="0" applyFont="1" applyFill="1" applyBorder="1" applyAlignment="1" applyProtection="1">
      <alignment horizontal="center" vertical="top"/>
      <protection hidden="1"/>
    </xf>
    <xf numFmtId="0" fontId="11" fillId="5" borderId="20" xfId="0" applyFont="1" applyFill="1" applyBorder="1" applyAlignment="1" applyProtection="1">
      <alignment horizontal="center" vertical="top"/>
      <protection hidden="1"/>
    </xf>
    <xf numFmtId="0" fontId="11" fillId="5" borderId="20" xfId="0" applyFont="1" applyFill="1" applyBorder="1" applyAlignment="1" applyProtection="1">
      <alignment horizontal="center" vertical="top" wrapText="1"/>
      <protection hidden="1"/>
    </xf>
    <xf numFmtId="0" fontId="11" fillId="5" borderId="21" xfId="0" applyFont="1" applyFill="1" applyBorder="1" applyAlignment="1" applyProtection="1">
      <alignment horizontal="center" vertical="top" wrapText="1"/>
      <protection hidden="1"/>
    </xf>
    <xf numFmtId="0" fontId="11" fillId="6" borderId="19" xfId="0" applyFont="1" applyFill="1" applyBorder="1" applyAlignment="1" applyProtection="1">
      <alignment horizontal="center" vertical="top"/>
      <protection hidden="1"/>
    </xf>
    <xf numFmtId="0" fontId="11" fillId="6" borderId="20" xfId="0" applyFont="1" applyFill="1" applyBorder="1" applyAlignment="1" applyProtection="1">
      <alignment horizontal="center" vertical="top"/>
      <protection hidden="1"/>
    </xf>
    <xf numFmtId="0" fontId="11" fillId="6" borderId="20" xfId="0" applyFont="1" applyFill="1" applyBorder="1" applyAlignment="1" applyProtection="1">
      <alignment horizontal="center" vertical="top" wrapText="1"/>
      <protection hidden="1"/>
    </xf>
    <xf numFmtId="0" fontId="11" fillId="6" borderId="21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Alignment="1" applyProtection="1">
      <alignment vertical="top" wrapText="1"/>
      <protection hidden="1"/>
    </xf>
    <xf numFmtId="0" fontId="0" fillId="0" borderId="71" xfId="0" applyFont="1" applyBorder="1"/>
    <xf numFmtId="0" fontId="0" fillId="0" borderId="0" xfId="0" applyFont="1" applyBorder="1"/>
    <xf numFmtId="0" fontId="0" fillId="2" borderId="0" xfId="0" applyFont="1" applyFill="1" applyBorder="1"/>
    <xf numFmtId="0" fontId="0" fillId="8" borderId="26" xfId="0" applyFill="1" applyBorder="1"/>
    <xf numFmtId="0" fontId="0" fillId="8" borderId="0" xfId="0" applyFill="1"/>
    <xf numFmtId="0" fontId="0" fillId="0" borderId="0" xfId="0" applyAlignment="1">
      <alignment horizontal="right"/>
    </xf>
    <xf numFmtId="0" fontId="0" fillId="9" borderId="0" xfId="0" applyFill="1"/>
    <xf numFmtId="0" fontId="0" fillId="9" borderId="32" xfId="0" applyFill="1" applyBorder="1"/>
    <xf numFmtId="0" fontId="0" fillId="10" borderId="0" xfId="0" applyFill="1" applyAlignment="1">
      <alignment horizontal="left"/>
    </xf>
    <xf numFmtId="0" fontId="2" fillId="11" borderId="0" xfId="0" applyFont="1" applyFill="1" applyAlignment="1">
      <alignment horizontal="left"/>
    </xf>
    <xf numFmtId="0" fontId="2" fillId="11" borderId="0" xfId="0" applyFont="1" applyFill="1" applyAlignment="1">
      <alignment horizontal="center"/>
    </xf>
    <xf numFmtId="166" fontId="16" fillId="12" borderId="44" xfId="3" quotePrefix="1" applyNumberFormat="1" applyFill="1" applyBorder="1" applyAlignment="1">
      <alignment horizontal="left"/>
    </xf>
    <xf numFmtId="0" fontId="0" fillId="11" borderId="72" xfId="0" applyFill="1" applyBorder="1"/>
    <xf numFmtId="0" fontId="0" fillId="11" borderId="72" xfId="0" applyFill="1" applyBorder="1" applyAlignment="1">
      <alignment horizontal="right"/>
    </xf>
    <xf numFmtId="0" fontId="2" fillId="11" borderId="72" xfId="0" applyFont="1" applyFill="1" applyBorder="1" applyAlignment="1">
      <alignment horizontal="left"/>
    </xf>
    <xf numFmtId="0" fontId="4" fillId="11" borderId="72" xfId="0" applyFont="1" applyFill="1" applyBorder="1"/>
    <xf numFmtId="0" fontId="4" fillId="11" borderId="73" xfId="0" applyFont="1" applyFill="1" applyBorder="1"/>
    <xf numFmtId="0" fontId="19" fillId="11" borderId="0" xfId="0" applyFont="1" applyFill="1"/>
    <xf numFmtId="0" fontId="4" fillId="11" borderId="0" xfId="0" applyFont="1" applyFill="1"/>
    <xf numFmtId="20" fontId="0" fillId="11" borderId="0" xfId="0" applyNumberFormat="1" applyFill="1"/>
    <xf numFmtId="0" fontId="16" fillId="12" borderId="0" xfId="3" applyFill="1" applyBorder="1"/>
    <xf numFmtId="0" fontId="4" fillId="12" borderId="0" xfId="0" applyFont="1" applyFill="1"/>
    <xf numFmtId="0" fontId="16" fillId="12" borderId="0" xfId="0" applyFont="1" applyFill="1"/>
    <xf numFmtId="0" fontId="0" fillId="12" borderId="0" xfId="0" applyFill="1"/>
    <xf numFmtId="0" fontId="6" fillId="11" borderId="1" xfId="0" applyFont="1" applyFill="1" applyBorder="1"/>
    <xf numFmtId="0" fontId="6" fillId="11" borderId="1" xfId="0" applyFont="1" applyFill="1" applyBorder="1" applyAlignment="1">
      <alignment horizontal="left"/>
    </xf>
    <xf numFmtId="0" fontId="0" fillId="2" borderId="4" xfId="0" applyFill="1" applyBorder="1"/>
    <xf numFmtId="0" fontId="0" fillId="0" borderId="4" xfId="0" applyBorder="1"/>
    <xf numFmtId="0" fontId="11" fillId="9" borderId="0" xfId="0" applyFont="1" applyFill="1"/>
    <xf numFmtId="0" fontId="0" fillId="8" borderId="0" xfId="0" applyFill="1" applyBorder="1"/>
    <xf numFmtId="0" fontId="0" fillId="14" borderId="0" xfId="0" applyFill="1" applyBorder="1"/>
    <xf numFmtId="0" fontId="0" fillId="9" borderId="0" xfId="0" applyFill="1" applyBorder="1"/>
    <xf numFmtId="0" fontId="4" fillId="8" borderId="27" xfId="0" applyFont="1" applyFill="1" applyBorder="1"/>
    <xf numFmtId="0" fontId="4" fillId="8" borderId="29" xfId="0" applyFont="1" applyFill="1" applyBorder="1"/>
    <xf numFmtId="0" fontId="4" fillId="14" borderId="29" xfId="0" applyFont="1" applyFill="1" applyBorder="1"/>
    <xf numFmtId="0" fontId="4" fillId="9" borderId="29" xfId="0" applyFont="1" applyFill="1" applyBorder="1"/>
    <xf numFmtId="0" fontId="15" fillId="7" borderId="74" xfId="2" applyBorder="1"/>
    <xf numFmtId="0" fontId="4" fillId="9" borderId="35" xfId="0" applyFont="1" applyFill="1" applyBorder="1"/>
    <xf numFmtId="0" fontId="25" fillId="0" borderId="6" xfId="0" applyFont="1" applyBorder="1"/>
    <xf numFmtId="0" fontId="26" fillId="0" borderId="6" xfId="0" applyFont="1" applyBorder="1"/>
    <xf numFmtId="0" fontId="6" fillId="0" borderId="0" xfId="1" applyFont="1"/>
    <xf numFmtId="0" fontId="6" fillId="7" borderId="22" xfId="2" applyFont="1" applyProtection="1">
      <protection locked="0"/>
    </xf>
    <xf numFmtId="0" fontId="27" fillId="13" borderId="70" xfId="0" applyFont="1" applyFill="1" applyBorder="1"/>
    <xf numFmtId="0" fontId="0" fillId="0" borderId="0" xfId="0" applyFill="1" applyBorder="1"/>
    <xf numFmtId="0" fontId="0" fillId="0" borderId="72" xfId="0" applyFill="1" applyBorder="1"/>
    <xf numFmtId="11" fontId="6" fillId="0" borderId="72" xfId="2" applyNumberFormat="1" applyFont="1" applyFill="1" applyBorder="1" applyProtection="1">
      <protection locked="0"/>
    </xf>
    <xf numFmtId="0" fontId="19" fillId="0" borderId="72" xfId="0" applyFont="1" applyFill="1" applyBorder="1" applyAlignment="1">
      <alignment horizontal="right"/>
    </xf>
    <xf numFmtId="0" fontId="16" fillId="0" borderId="72" xfId="0" applyFont="1" applyFill="1" applyBorder="1" applyAlignment="1">
      <alignment horizontal="left"/>
    </xf>
    <xf numFmtId="0" fontId="6" fillId="7" borderId="75" xfId="2" applyFont="1" applyBorder="1" applyProtection="1">
      <protection locked="0"/>
    </xf>
    <xf numFmtId="0" fontId="3" fillId="0" borderId="70" xfId="1" applyBorder="1"/>
    <xf numFmtId="0" fontId="28" fillId="2" borderId="70" xfId="0" applyFont="1" applyFill="1" applyBorder="1"/>
    <xf numFmtId="0" fontId="27" fillId="13" borderId="76" xfId="0" applyFont="1" applyFill="1" applyBorder="1" applyAlignment="1">
      <alignment horizontal="center"/>
    </xf>
    <xf numFmtId="0" fontId="0" fillId="2" borderId="76" xfId="0" applyFont="1" applyFill="1" applyBorder="1"/>
    <xf numFmtId="0" fontId="0" fillId="0" borderId="76" xfId="0" applyFont="1" applyBorder="1"/>
    <xf numFmtId="0" fontId="0" fillId="0" borderId="76" xfId="0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7" borderId="0" xfId="1" applyFill="1"/>
    <xf numFmtId="0" fontId="0" fillId="18" borderId="0" xfId="0" applyFill="1"/>
    <xf numFmtId="0" fontId="0" fillId="19" borderId="0" xfId="0" applyFill="1"/>
    <xf numFmtId="0" fontId="2" fillId="18" borderId="0" xfId="0" applyFont="1" applyFill="1"/>
    <xf numFmtId="0" fontId="0" fillId="18" borderId="77" xfId="0" applyFill="1" applyBorder="1"/>
    <xf numFmtId="0" fontId="0" fillId="18" borderId="72" xfId="0" applyFill="1" applyBorder="1"/>
    <xf numFmtId="0" fontId="0" fillId="18" borderId="78" xfId="0" applyFill="1" applyBorder="1"/>
    <xf numFmtId="0" fontId="0" fillId="18" borderId="2" xfId="0" applyFill="1" applyBorder="1"/>
    <xf numFmtId="0" fontId="0" fillId="18" borderId="5" xfId="0" applyFill="1" applyBorder="1"/>
    <xf numFmtId="0" fontId="12" fillId="20" borderId="5" xfId="0" applyFont="1" applyFill="1" applyBorder="1" applyAlignment="1">
      <alignment vertical="center"/>
    </xf>
    <xf numFmtId="0" fontId="0" fillId="18" borderId="0" xfId="0" applyFill="1" applyBorder="1"/>
    <xf numFmtId="0" fontId="0" fillId="18" borderId="3" xfId="0" applyFill="1" applyBorder="1"/>
    <xf numFmtId="0" fontId="0" fillId="18" borderId="79" xfId="0" applyFill="1" applyBorder="1"/>
    <xf numFmtId="0" fontId="2" fillId="18" borderId="2" xfId="0" applyFont="1" applyFill="1" applyBorder="1"/>
    <xf numFmtId="0" fontId="2" fillId="18" borderId="72" xfId="0" applyFont="1" applyFill="1" applyBorder="1"/>
    <xf numFmtId="0" fontId="2" fillId="18" borderId="0" xfId="0" applyFont="1" applyFill="1" applyBorder="1"/>
    <xf numFmtId="0" fontId="2" fillId="18" borderId="3" xfId="0" applyFont="1" applyFill="1" applyBorder="1"/>
    <xf numFmtId="0" fontId="0" fillId="18" borderId="0" xfId="0" applyFont="1" applyFill="1"/>
    <xf numFmtId="0" fontId="29" fillId="16" borderId="0" xfId="0" applyFont="1" applyFill="1"/>
    <xf numFmtId="0" fontId="12" fillId="21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4" fillId="3" borderId="19" xfId="0" applyFont="1" applyFill="1" applyBorder="1" applyAlignment="1" applyProtection="1">
      <alignment horizontal="left" vertical="top" wrapText="1"/>
      <protection locked="0"/>
    </xf>
    <xf numFmtId="0" fontId="4" fillId="3" borderId="20" xfId="0" applyFont="1" applyFill="1" applyBorder="1" applyAlignment="1" applyProtection="1">
      <alignment horizontal="left" vertical="top" wrapText="1"/>
      <protection locked="0"/>
    </xf>
    <xf numFmtId="0" fontId="4" fillId="3" borderId="21" xfId="0" applyFont="1" applyFill="1" applyBorder="1" applyAlignment="1" applyProtection="1">
      <alignment horizontal="left" vertical="top" wrapText="1"/>
      <protection locked="0"/>
    </xf>
    <xf numFmtId="164" fontId="11" fillId="6" borderId="14" xfId="0" applyNumberFormat="1" applyFont="1" applyFill="1" applyBorder="1" applyAlignment="1" applyProtection="1">
      <alignment horizontal="center" vertical="top"/>
      <protection hidden="1"/>
    </xf>
    <xf numFmtId="164" fontId="11" fillId="6" borderId="13" xfId="0" applyNumberFormat="1" applyFont="1" applyFill="1" applyBorder="1" applyAlignment="1" applyProtection="1">
      <alignment horizontal="center" vertical="top"/>
      <protection hidden="1"/>
    </xf>
    <xf numFmtId="164" fontId="11" fillId="6" borderId="12" xfId="0" applyNumberFormat="1" applyFont="1" applyFill="1" applyBorder="1" applyAlignment="1" applyProtection="1">
      <alignment horizontal="center" vertical="top"/>
      <protection hidden="1"/>
    </xf>
    <xf numFmtId="0" fontId="11" fillId="6" borderId="14" xfId="0" applyFont="1" applyFill="1" applyBorder="1" applyAlignment="1" applyProtection="1">
      <alignment horizontal="center" vertical="top"/>
      <protection hidden="1"/>
    </xf>
    <xf numFmtId="0" fontId="11" fillId="6" borderId="13" xfId="0" applyFont="1" applyFill="1" applyBorder="1" applyAlignment="1" applyProtection="1">
      <alignment horizontal="center" vertical="top"/>
      <protection hidden="1"/>
    </xf>
    <xf numFmtId="0" fontId="11" fillId="6" borderId="12" xfId="0" applyFont="1" applyFill="1" applyBorder="1" applyAlignment="1" applyProtection="1">
      <alignment horizontal="center" vertical="top"/>
      <protection hidden="1"/>
    </xf>
    <xf numFmtId="0" fontId="11" fillId="5" borderId="14" xfId="0" applyFont="1" applyFill="1" applyBorder="1" applyAlignment="1" applyProtection="1">
      <alignment horizontal="center" vertical="top"/>
      <protection hidden="1"/>
    </xf>
    <xf numFmtId="0" fontId="11" fillId="5" borderId="13" xfId="0" applyFont="1" applyFill="1" applyBorder="1" applyAlignment="1" applyProtection="1">
      <alignment horizontal="center" vertical="top"/>
      <protection hidden="1"/>
    </xf>
    <xf numFmtId="0" fontId="11" fillId="5" borderId="12" xfId="0" applyFont="1" applyFill="1" applyBorder="1" applyAlignment="1" applyProtection="1">
      <alignment horizontal="center" vertical="top"/>
      <protection hidden="1"/>
    </xf>
    <xf numFmtId="164" fontId="11" fillId="5" borderId="14" xfId="0" applyNumberFormat="1" applyFont="1" applyFill="1" applyBorder="1" applyAlignment="1" applyProtection="1">
      <alignment horizontal="center" vertical="top"/>
      <protection hidden="1"/>
    </xf>
    <xf numFmtId="164" fontId="11" fillId="5" borderId="13" xfId="0" applyNumberFormat="1" applyFont="1" applyFill="1" applyBorder="1" applyAlignment="1" applyProtection="1">
      <alignment horizontal="center" vertical="top"/>
      <protection hidden="1"/>
    </xf>
    <xf numFmtId="164" fontId="11" fillId="5" borderId="12" xfId="0" applyNumberFormat="1" applyFont="1" applyFill="1" applyBorder="1" applyAlignment="1" applyProtection="1">
      <alignment horizontal="center" vertical="top"/>
      <protection hidden="1"/>
    </xf>
    <xf numFmtId="0" fontId="11" fillId="4" borderId="14" xfId="0" applyFont="1" applyFill="1" applyBorder="1" applyAlignment="1" applyProtection="1">
      <alignment horizontal="center" vertical="top"/>
      <protection hidden="1"/>
    </xf>
    <xf numFmtId="0" fontId="11" fillId="4" borderId="13" xfId="0" applyFont="1" applyFill="1" applyBorder="1" applyAlignment="1" applyProtection="1">
      <alignment horizontal="center" vertical="top"/>
      <protection hidden="1"/>
    </xf>
    <xf numFmtId="0" fontId="11" fillId="4" borderId="12" xfId="0" applyFont="1" applyFill="1" applyBorder="1" applyAlignment="1" applyProtection="1">
      <alignment horizontal="center" vertical="top"/>
      <protection hidden="1"/>
    </xf>
    <xf numFmtId="164" fontId="11" fillId="4" borderId="14" xfId="0" applyNumberFormat="1" applyFont="1" applyFill="1" applyBorder="1" applyAlignment="1" applyProtection="1">
      <alignment horizontal="center" vertical="top"/>
      <protection hidden="1"/>
    </xf>
    <xf numFmtId="164" fontId="11" fillId="4" borderId="13" xfId="0" applyNumberFormat="1" applyFont="1" applyFill="1" applyBorder="1" applyAlignment="1" applyProtection="1">
      <alignment horizontal="center" vertical="top"/>
      <protection hidden="1"/>
    </xf>
    <xf numFmtId="164" fontId="11" fillId="4" borderId="12" xfId="0" applyNumberFormat="1" applyFont="1" applyFill="1" applyBorder="1" applyAlignment="1" applyProtection="1">
      <alignment horizontal="center" vertical="top"/>
      <protection hidden="1"/>
    </xf>
    <xf numFmtId="0" fontId="4" fillId="0" borderId="32" xfId="0" applyFont="1" applyBorder="1" applyAlignment="1" applyProtection="1">
      <alignment horizontal="left" vertical="top" wrapText="1"/>
      <protection hidden="1"/>
    </xf>
    <xf numFmtId="0" fontId="6" fillId="7" borderId="22" xfId="2" applyFont="1" applyProtection="1">
      <protection locked="0"/>
    </xf>
    <xf numFmtId="0" fontId="6" fillId="7" borderId="1" xfId="2" applyFont="1" applyBorder="1" applyProtection="1">
      <protection locked="0"/>
    </xf>
    <xf numFmtId="0" fontId="0" fillId="11" borderId="23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29" xfId="0" applyFont="1" applyBorder="1" applyAlignment="1">
      <alignment horizontal="center" wrapText="1"/>
    </xf>
    <xf numFmtId="0" fontId="4" fillId="0" borderId="32" xfId="0" applyFont="1" applyBorder="1" applyAlignment="1">
      <alignment horizontal="center" wrapText="1"/>
    </xf>
    <xf numFmtId="0" fontId="4" fillId="0" borderId="35" xfId="0" applyFont="1" applyBorder="1" applyAlignment="1">
      <alignment horizontal="center" wrapText="1"/>
    </xf>
    <xf numFmtId="0" fontId="15" fillId="7" borderId="1" xfId="2" applyBorder="1" applyProtection="1">
      <protection locked="0"/>
    </xf>
    <xf numFmtId="0" fontId="15" fillId="7" borderId="5" xfId="2" applyBorder="1" applyProtection="1">
      <protection locked="0"/>
    </xf>
    <xf numFmtId="0" fontId="6" fillId="7" borderId="60" xfId="2" applyFont="1" applyBorder="1" applyProtection="1">
      <protection locked="0"/>
    </xf>
    <xf numFmtId="0" fontId="15" fillId="7" borderId="54" xfId="2" applyBorder="1" applyProtection="1">
      <protection locked="0"/>
    </xf>
    <xf numFmtId="0" fontId="15" fillId="7" borderId="55" xfId="2" applyBorder="1" applyProtection="1">
      <protection locked="0"/>
    </xf>
    <xf numFmtId="0" fontId="15" fillId="7" borderId="56" xfId="2" applyBorder="1" applyProtection="1">
      <protection locked="0"/>
    </xf>
    <xf numFmtId="0" fontId="15" fillId="7" borderId="57" xfId="2" applyBorder="1" applyProtection="1">
      <protection locked="0"/>
    </xf>
    <xf numFmtId="0" fontId="15" fillId="7" borderId="58" xfId="2" applyBorder="1" applyProtection="1">
      <protection locked="0"/>
    </xf>
    <xf numFmtId="0" fontId="15" fillId="7" borderId="59" xfId="2" applyBorder="1" applyProtection="1">
      <protection locked="0"/>
    </xf>
    <xf numFmtId="0" fontId="15" fillId="7" borderId="51" xfId="2" applyBorder="1" applyProtection="1">
      <protection locked="0"/>
    </xf>
    <xf numFmtId="0" fontId="15" fillId="7" borderId="52" xfId="2" applyBorder="1" applyProtection="1">
      <protection locked="0"/>
    </xf>
    <xf numFmtId="0" fontId="15" fillId="7" borderId="53" xfId="2" applyBorder="1" applyProtection="1">
      <protection locked="0"/>
    </xf>
    <xf numFmtId="0" fontId="13" fillId="0" borderId="0" xfId="0" applyFont="1" applyAlignment="1" applyProtection="1">
      <alignment horizontal="left" vertical="top"/>
      <protection hidden="1"/>
    </xf>
    <xf numFmtId="0" fontId="4" fillId="0" borderId="11" xfId="0" applyFont="1" applyBorder="1" applyAlignment="1" applyProtection="1">
      <alignment horizontal="left" vertical="top"/>
      <protection locked="0"/>
    </xf>
    <xf numFmtId="0" fontId="4" fillId="0" borderId="8" xfId="0" applyFont="1" applyBorder="1" applyAlignment="1" applyProtection="1">
      <alignment horizontal="left" vertical="top"/>
      <protection locked="0"/>
    </xf>
    <xf numFmtId="0" fontId="4" fillId="0" borderId="17" xfId="0" applyFont="1" applyBorder="1" applyAlignment="1" applyProtection="1">
      <alignment horizontal="left" vertical="top" wrapText="1"/>
      <protection locked="0"/>
    </xf>
    <xf numFmtId="165" fontId="13" fillId="0" borderId="0" xfId="0" applyNumberFormat="1" applyFont="1" applyAlignment="1" applyProtection="1">
      <alignment horizontal="left" vertical="top"/>
      <protection hidden="1"/>
    </xf>
    <xf numFmtId="0" fontId="4" fillId="0" borderId="0" xfId="0" applyFont="1" applyAlignment="1" applyProtection="1">
      <alignment horizontal="left" vertical="top"/>
      <protection hidden="1"/>
    </xf>
    <xf numFmtId="0" fontId="4" fillId="0" borderId="10" xfId="0" applyFont="1" applyBorder="1" applyAlignment="1" applyProtection="1">
      <alignment horizontal="left" vertical="top"/>
      <protection locked="0"/>
    </xf>
    <xf numFmtId="0" fontId="4" fillId="0" borderId="1" xfId="0" applyFont="1" applyBorder="1" applyAlignment="1" applyProtection="1">
      <alignment horizontal="left" vertical="top"/>
      <protection locked="0"/>
    </xf>
    <xf numFmtId="0" fontId="4" fillId="0" borderId="9" xfId="0" applyFont="1" applyBorder="1" applyAlignment="1" applyProtection="1">
      <alignment horizontal="left" vertical="top" wrapText="1"/>
      <protection locked="0"/>
    </xf>
    <xf numFmtId="0" fontId="4" fillId="0" borderId="15" xfId="0" applyFont="1" applyBorder="1" applyAlignment="1" applyProtection="1">
      <alignment horizontal="left" vertical="top"/>
      <protection locked="0"/>
    </xf>
    <xf numFmtId="0" fontId="4" fillId="0" borderId="16" xfId="0" applyFont="1" applyBorder="1" applyAlignment="1" applyProtection="1">
      <alignment horizontal="left" vertical="top" wrapText="1"/>
      <protection locked="0"/>
    </xf>
    <xf numFmtId="0" fontId="4" fillId="0" borderId="18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/>
      <protection locked="0" hidden="1"/>
    </xf>
    <xf numFmtId="0" fontId="0" fillId="17" borderId="0" xfId="0" applyFont="1" applyFill="1"/>
  </cellXfs>
  <cellStyles count="4">
    <cellStyle name="Hyperlink" xfId="1" builtinId="8"/>
    <cellStyle name="Input" xfId="2" builtinId="20"/>
    <cellStyle name="Normal" xfId="0" builtinId="0"/>
    <cellStyle name="Warning Text" xfId="3" builtinId="11"/>
  </cellStyles>
  <dxfs count="4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numFmt numFmtId="27" formatCode="m/d/yyyy\ h:mm"/>
    </dxf>
    <dxf>
      <numFmt numFmtId="27" formatCode="m/d/yyyy\ h:mm"/>
    </dxf>
    <dxf>
      <alignment horizontal="general" vertical="bottom" textRotation="0" wrapText="1" indent="0" justifyLastLine="0" shrinkToFit="0" readingOrder="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m/d/yyyy"/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19050</xdr:rowOff>
        </xdr:from>
        <xdr:to>
          <xdr:col>2</xdr:col>
          <xdr:colOff>0</xdr:colOff>
          <xdr:row>2</xdr:row>
          <xdr:rowOff>152400</xdr:rowOff>
        </xdr:to>
        <xdr:sp macro="" textlink="">
          <xdr:nvSpPr>
            <xdr:cNvPr id="25601" name="ButtonSave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2A1E3A46-79E0-4822-BAED-0738BA6FE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22</xdr:row>
          <xdr:rowOff>19050</xdr:rowOff>
        </xdr:from>
        <xdr:to>
          <xdr:col>2</xdr:col>
          <xdr:colOff>0</xdr:colOff>
          <xdr:row>22</xdr:row>
          <xdr:rowOff>152400</xdr:rowOff>
        </xdr:to>
        <xdr:sp macro="" textlink="">
          <xdr:nvSpPr>
            <xdr:cNvPr id="25602" name="ButtonSave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8BE3AEC7-45BA-4936-ADF7-3141B774B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42</xdr:row>
          <xdr:rowOff>19050</xdr:rowOff>
        </xdr:from>
        <xdr:to>
          <xdr:col>2</xdr:col>
          <xdr:colOff>0</xdr:colOff>
          <xdr:row>42</xdr:row>
          <xdr:rowOff>152400</xdr:rowOff>
        </xdr:to>
        <xdr:sp macro="" textlink="">
          <xdr:nvSpPr>
            <xdr:cNvPr id="25603" name="ButtonSave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5D73C380-2CEC-452B-9F36-CFD562EBF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62</xdr:row>
          <xdr:rowOff>19050</xdr:rowOff>
        </xdr:from>
        <xdr:to>
          <xdr:col>2</xdr:col>
          <xdr:colOff>0</xdr:colOff>
          <xdr:row>62</xdr:row>
          <xdr:rowOff>152400</xdr:rowOff>
        </xdr:to>
        <xdr:sp macro="" textlink="">
          <xdr:nvSpPr>
            <xdr:cNvPr id="25604" name="ButtonSave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8FEB4CA2-0A21-4099-BA0C-340F8B0B4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82</xdr:row>
          <xdr:rowOff>19050</xdr:rowOff>
        </xdr:from>
        <xdr:to>
          <xdr:col>2</xdr:col>
          <xdr:colOff>0</xdr:colOff>
          <xdr:row>82</xdr:row>
          <xdr:rowOff>152400</xdr:rowOff>
        </xdr:to>
        <xdr:sp macro="" textlink="">
          <xdr:nvSpPr>
            <xdr:cNvPr id="25605" name="ButtonSave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C71BC43C-514D-496A-A9F2-0A891F3B6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102</xdr:row>
          <xdr:rowOff>19050</xdr:rowOff>
        </xdr:from>
        <xdr:to>
          <xdr:col>2</xdr:col>
          <xdr:colOff>0</xdr:colOff>
          <xdr:row>102</xdr:row>
          <xdr:rowOff>152400</xdr:rowOff>
        </xdr:to>
        <xdr:sp macro="" textlink="">
          <xdr:nvSpPr>
            <xdr:cNvPr id="25606" name="ButtonSave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DE0AC38B-3EA4-4114-A104-E59878F68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122</xdr:row>
          <xdr:rowOff>19050</xdr:rowOff>
        </xdr:from>
        <xdr:to>
          <xdr:col>2</xdr:col>
          <xdr:colOff>0</xdr:colOff>
          <xdr:row>122</xdr:row>
          <xdr:rowOff>152400</xdr:rowOff>
        </xdr:to>
        <xdr:sp macro="" textlink="">
          <xdr:nvSpPr>
            <xdr:cNvPr id="25607" name="ButtonSave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F8EF95CE-77EA-44E4-AF7C-2980C6C2F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122</xdr:row>
          <xdr:rowOff>19050</xdr:rowOff>
        </xdr:from>
        <xdr:to>
          <xdr:col>8</xdr:col>
          <xdr:colOff>0</xdr:colOff>
          <xdr:row>122</xdr:row>
          <xdr:rowOff>152400</xdr:rowOff>
        </xdr:to>
        <xdr:sp macro="" textlink="">
          <xdr:nvSpPr>
            <xdr:cNvPr id="25608" name="ButtonSave14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E2385D4D-2178-4DF0-B14A-2BF9C9701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122</xdr:row>
          <xdr:rowOff>19050</xdr:rowOff>
        </xdr:from>
        <xdr:to>
          <xdr:col>14</xdr:col>
          <xdr:colOff>0</xdr:colOff>
          <xdr:row>122</xdr:row>
          <xdr:rowOff>152400</xdr:rowOff>
        </xdr:to>
        <xdr:sp macro="" textlink="">
          <xdr:nvSpPr>
            <xdr:cNvPr id="25609" name="ButtonSave21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701DB166-06C0-49F7-8EC6-E07E31642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102</xdr:row>
          <xdr:rowOff>19050</xdr:rowOff>
        </xdr:from>
        <xdr:to>
          <xdr:col>8</xdr:col>
          <xdr:colOff>0</xdr:colOff>
          <xdr:row>102</xdr:row>
          <xdr:rowOff>152400</xdr:rowOff>
        </xdr:to>
        <xdr:sp macro="" textlink="">
          <xdr:nvSpPr>
            <xdr:cNvPr id="25610" name="ButtonSave13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30945FDA-15CE-42B8-A78D-829FA462B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102</xdr:row>
          <xdr:rowOff>19050</xdr:rowOff>
        </xdr:from>
        <xdr:to>
          <xdr:col>14</xdr:col>
          <xdr:colOff>0</xdr:colOff>
          <xdr:row>102</xdr:row>
          <xdr:rowOff>152400</xdr:rowOff>
        </xdr:to>
        <xdr:sp macro="" textlink="">
          <xdr:nvSpPr>
            <xdr:cNvPr id="25611" name="ButtonSave20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5E0B1476-98F5-48A4-85A2-6CA2B4401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82</xdr:row>
          <xdr:rowOff>19050</xdr:rowOff>
        </xdr:from>
        <xdr:to>
          <xdr:col>8</xdr:col>
          <xdr:colOff>0</xdr:colOff>
          <xdr:row>82</xdr:row>
          <xdr:rowOff>152400</xdr:rowOff>
        </xdr:to>
        <xdr:sp macro="" textlink="">
          <xdr:nvSpPr>
            <xdr:cNvPr id="25612" name="ButtonSave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6BDADA7C-FDAC-4727-8CFE-82F4BF952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82</xdr:row>
          <xdr:rowOff>19050</xdr:rowOff>
        </xdr:from>
        <xdr:to>
          <xdr:col>14</xdr:col>
          <xdr:colOff>0</xdr:colOff>
          <xdr:row>82</xdr:row>
          <xdr:rowOff>152400</xdr:rowOff>
        </xdr:to>
        <xdr:sp macro="" textlink="">
          <xdr:nvSpPr>
            <xdr:cNvPr id="25613" name="ButtonSave19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2FA3799D-1F78-41C6-8EA5-6F18C4906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62</xdr:row>
          <xdr:rowOff>19050</xdr:rowOff>
        </xdr:from>
        <xdr:to>
          <xdr:col>8</xdr:col>
          <xdr:colOff>0</xdr:colOff>
          <xdr:row>62</xdr:row>
          <xdr:rowOff>152400</xdr:rowOff>
        </xdr:to>
        <xdr:sp macro="" textlink="">
          <xdr:nvSpPr>
            <xdr:cNvPr id="25614" name="ButtonSave11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CF528E62-2B08-40DE-A0F7-8D75DFF09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62</xdr:row>
          <xdr:rowOff>19050</xdr:rowOff>
        </xdr:from>
        <xdr:to>
          <xdr:col>14</xdr:col>
          <xdr:colOff>0</xdr:colOff>
          <xdr:row>62</xdr:row>
          <xdr:rowOff>152400</xdr:rowOff>
        </xdr:to>
        <xdr:sp macro="" textlink="">
          <xdr:nvSpPr>
            <xdr:cNvPr id="25615" name="ButtonSave18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A71C7340-9C0C-43ED-B7DD-043BB9535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42</xdr:row>
          <xdr:rowOff>19050</xdr:rowOff>
        </xdr:from>
        <xdr:to>
          <xdr:col>14</xdr:col>
          <xdr:colOff>0</xdr:colOff>
          <xdr:row>42</xdr:row>
          <xdr:rowOff>152400</xdr:rowOff>
        </xdr:to>
        <xdr:sp macro="" textlink="">
          <xdr:nvSpPr>
            <xdr:cNvPr id="25616" name="ButtonSave17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77C26443-2071-4061-9495-088BC1CAF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19050</xdr:rowOff>
        </xdr:from>
        <xdr:to>
          <xdr:col>8</xdr:col>
          <xdr:colOff>0</xdr:colOff>
          <xdr:row>42</xdr:row>
          <xdr:rowOff>152400</xdr:rowOff>
        </xdr:to>
        <xdr:sp macro="" textlink="">
          <xdr:nvSpPr>
            <xdr:cNvPr id="25617" name="ButtonSave10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D94BFC7B-025E-4E0B-AFBA-425D2702B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22</xdr:row>
          <xdr:rowOff>19050</xdr:rowOff>
        </xdr:from>
        <xdr:to>
          <xdr:col>8</xdr:col>
          <xdr:colOff>0</xdr:colOff>
          <xdr:row>22</xdr:row>
          <xdr:rowOff>152400</xdr:rowOff>
        </xdr:to>
        <xdr:sp macro="" textlink="">
          <xdr:nvSpPr>
            <xdr:cNvPr id="25618" name="ButtonSave9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89D36610-4BD2-4925-939E-1B061499E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22</xdr:row>
          <xdr:rowOff>19050</xdr:rowOff>
        </xdr:from>
        <xdr:to>
          <xdr:col>14</xdr:col>
          <xdr:colOff>0</xdr:colOff>
          <xdr:row>22</xdr:row>
          <xdr:rowOff>152400</xdr:rowOff>
        </xdr:to>
        <xdr:sp macro="" textlink="">
          <xdr:nvSpPr>
            <xdr:cNvPr id="25619" name="ButtonSave16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1599B1F1-D747-458A-BFA9-12D6BCB5A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</xdr:row>
          <xdr:rowOff>19050</xdr:rowOff>
        </xdr:from>
        <xdr:to>
          <xdr:col>14</xdr:col>
          <xdr:colOff>0</xdr:colOff>
          <xdr:row>2</xdr:row>
          <xdr:rowOff>152400</xdr:rowOff>
        </xdr:to>
        <xdr:sp macro="" textlink="">
          <xdr:nvSpPr>
            <xdr:cNvPr id="25620" name="ButtonSave15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196897DA-D6C4-4B8E-B420-8F9C41261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19050</xdr:rowOff>
        </xdr:from>
        <xdr:to>
          <xdr:col>8</xdr:col>
          <xdr:colOff>0</xdr:colOff>
          <xdr:row>2</xdr:row>
          <xdr:rowOff>152400</xdr:rowOff>
        </xdr:to>
        <xdr:sp macro="" textlink="">
          <xdr:nvSpPr>
            <xdr:cNvPr id="25621" name="ButtonSave8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38C4A47B-F778-44B1-A6C3-177A96720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571499</xdr:colOff>
      <xdr:row>0</xdr:row>
      <xdr:rowOff>47625</xdr:rowOff>
    </xdr:from>
    <xdr:to>
      <xdr:col>1</xdr:col>
      <xdr:colOff>1079499</xdr:colOff>
      <xdr:row>1</xdr:row>
      <xdr:rowOff>171450</xdr:rowOff>
    </xdr:to>
    <xdr:sp macro="[2]!NextWeek" textlink="">
      <xdr:nvSpPr>
        <xdr:cNvPr id="23" name="ButtonNext">
          <a:extLst>
            <a:ext uri="{FF2B5EF4-FFF2-40B4-BE49-F238E27FC236}">
              <a16:creationId xmlns:a16="http://schemas.microsoft.com/office/drawing/2014/main" id="{BFFF5642-9280-4C15-A5CF-2BE47A8D97A6}"/>
            </a:ext>
          </a:extLst>
        </xdr:cNvPr>
        <xdr:cNvSpPr/>
      </xdr:nvSpPr>
      <xdr:spPr>
        <a:xfrm>
          <a:off x="771524" y="47625"/>
          <a:ext cx="508000" cy="3905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34925</xdr:colOff>
      <xdr:row>0</xdr:row>
      <xdr:rowOff>47623</xdr:rowOff>
    </xdr:from>
    <xdr:to>
      <xdr:col>1</xdr:col>
      <xdr:colOff>542925</xdr:colOff>
      <xdr:row>1</xdr:row>
      <xdr:rowOff>171448</xdr:rowOff>
    </xdr:to>
    <xdr:sp macro="[2]!PreviousWeek" textlink="">
      <xdr:nvSpPr>
        <xdr:cNvPr id="24" name="ButtonPrevious">
          <a:extLst>
            <a:ext uri="{FF2B5EF4-FFF2-40B4-BE49-F238E27FC236}">
              <a16:creationId xmlns:a16="http://schemas.microsoft.com/office/drawing/2014/main" id="{77EE5075-1969-44B4-AC2B-B24D9B9E55A0}"/>
            </a:ext>
          </a:extLst>
        </xdr:cNvPr>
        <xdr:cNvSpPr/>
      </xdr:nvSpPr>
      <xdr:spPr>
        <a:xfrm rot="10800000">
          <a:off x="234950" y="47623"/>
          <a:ext cx="508000" cy="3905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</xdr:row>
          <xdr:rowOff>19050</xdr:rowOff>
        </xdr:from>
        <xdr:to>
          <xdr:col>5</xdr:col>
          <xdr:colOff>1504950</xdr:colOff>
          <xdr:row>2</xdr:row>
          <xdr:rowOff>152400</xdr:rowOff>
        </xdr:to>
        <xdr:sp macro="" textlink="">
          <xdr:nvSpPr>
            <xdr:cNvPr id="25622" name="ButtonSelectClone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93B8AF87-EDA6-4471-85AB-8CAAF3FCA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1190625</xdr:colOff>
      <xdr:row>0</xdr:row>
      <xdr:rowOff>9921</xdr:rowOff>
    </xdr:from>
    <xdr:to>
      <xdr:col>1</xdr:col>
      <xdr:colOff>1676797</xdr:colOff>
      <xdr:row>2</xdr:row>
      <xdr:rowOff>21868</xdr:rowOff>
    </xdr:to>
    <xdr:pic macro="[2]!SelectWeek">
      <xdr:nvPicPr>
        <xdr:cNvPr id="26" name="Picture 25" descr="Calendar icon - Free download on Iconfinder">
          <a:extLst>
            <a:ext uri="{FF2B5EF4-FFF2-40B4-BE49-F238E27FC236}">
              <a16:creationId xmlns:a16="http://schemas.microsoft.com/office/drawing/2014/main" id="{7D30758E-6691-49C3-A504-9756E64AD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650" y="9921"/>
          <a:ext cx="486172" cy="4786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414338</xdr:colOff>
          <xdr:row>22</xdr:row>
          <xdr:rowOff>14288</xdr:rowOff>
        </xdr:from>
        <xdr:to>
          <xdr:col>5</xdr:col>
          <xdr:colOff>1547813</xdr:colOff>
          <xdr:row>22</xdr:row>
          <xdr:rowOff>147638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6C2B81B5-CAEE-44D2-8DC5-78851C881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52388</xdr:colOff>
          <xdr:row>2</xdr:row>
          <xdr:rowOff>14288</xdr:rowOff>
        </xdr:from>
        <xdr:to>
          <xdr:col>11</xdr:col>
          <xdr:colOff>1600200</xdr:colOff>
          <xdr:row>2</xdr:row>
          <xdr:rowOff>147638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CBAFA312-0D21-4FE6-AFCD-A810C9745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52388</xdr:colOff>
          <xdr:row>22</xdr:row>
          <xdr:rowOff>14288</xdr:rowOff>
        </xdr:from>
        <xdr:to>
          <xdr:col>11</xdr:col>
          <xdr:colOff>1600200</xdr:colOff>
          <xdr:row>22</xdr:row>
          <xdr:rowOff>147638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81D4A4F8-F06F-408A-8696-80E895CC3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42</xdr:row>
          <xdr:rowOff>14288</xdr:rowOff>
        </xdr:from>
        <xdr:to>
          <xdr:col>5</xdr:col>
          <xdr:colOff>1581150</xdr:colOff>
          <xdr:row>42</xdr:row>
          <xdr:rowOff>147638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AA69DF13-C9B4-4686-AD80-E73C38E3C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23813</xdr:colOff>
          <xdr:row>42</xdr:row>
          <xdr:rowOff>19050</xdr:rowOff>
        </xdr:from>
        <xdr:to>
          <xdr:col>11</xdr:col>
          <xdr:colOff>1576388</xdr:colOff>
          <xdr:row>43</xdr:row>
          <xdr:rowOff>0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6F99A4DF-4343-4CFA-9B39-C80AB809A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52388</xdr:colOff>
          <xdr:row>62</xdr:row>
          <xdr:rowOff>14288</xdr:rowOff>
        </xdr:from>
        <xdr:to>
          <xdr:col>5</xdr:col>
          <xdr:colOff>1595438</xdr:colOff>
          <xdr:row>62</xdr:row>
          <xdr:rowOff>147638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21AF41B3-2F90-4AFA-BA96-FF65FB397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23813</xdr:colOff>
          <xdr:row>62</xdr:row>
          <xdr:rowOff>14288</xdr:rowOff>
        </xdr:from>
        <xdr:to>
          <xdr:col>11</xdr:col>
          <xdr:colOff>1576388</xdr:colOff>
          <xdr:row>62</xdr:row>
          <xdr:rowOff>147638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314B16D8-7D82-4788-AC6B-A33B79C54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52388</xdr:colOff>
          <xdr:row>122</xdr:row>
          <xdr:rowOff>14288</xdr:rowOff>
        </xdr:from>
        <xdr:to>
          <xdr:col>5</xdr:col>
          <xdr:colOff>1595438</xdr:colOff>
          <xdr:row>122</xdr:row>
          <xdr:rowOff>147638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D0A80CBD-04D5-4CA5-8A3F-4DA185C2A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23813</xdr:colOff>
          <xdr:row>122</xdr:row>
          <xdr:rowOff>14288</xdr:rowOff>
        </xdr:from>
        <xdr:to>
          <xdr:col>11</xdr:col>
          <xdr:colOff>1576388</xdr:colOff>
          <xdr:row>122</xdr:row>
          <xdr:rowOff>147638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5335FD6B-2852-435D-90E1-AB8CD507C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52388</xdr:colOff>
          <xdr:row>122</xdr:row>
          <xdr:rowOff>14288</xdr:rowOff>
        </xdr:from>
        <xdr:to>
          <xdr:col>17</xdr:col>
          <xdr:colOff>1595438</xdr:colOff>
          <xdr:row>122</xdr:row>
          <xdr:rowOff>147638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69CB6141-32D0-4324-8571-25DEE338A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33338</xdr:colOff>
          <xdr:row>102</xdr:row>
          <xdr:rowOff>14288</xdr:rowOff>
        </xdr:from>
        <xdr:to>
          <xdr:col>17</xdr:col>
          <xdr:colOff>1581150</xdr:colOff>
          <xdr:row>102</xdr:row>
          <xdr:rowOff>147638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D57B5E17-BE27-4FA5-8317-3CF257FA8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52388</xdr:colOff>
          <xdr:row>81</xdr:row>
          <xdr:rowOff>152400</xdr:rowOff>
        </xdr:from>
        <xdr:to>
          <xdr:col>17</xdr:col>
          <xdr:colOff>1600200</xdr:colOff>
          <xdr:row>82</xdr:row>
          <xdr:rowOff>133350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BC03BCAA-B0BC-4E8D-A82B-D426D2FFA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52388</xdr:colOff>
          <xdr:row>62</xdr:row>
          <xdr:rowOff>14288</xdr:rowOff>
        </xdr:from>
        <xdr:to>
          <xdr:col>17</xdr:col>
          <xdr:colOff>1595438</xdr:colOff>
          <xdr:row>62</xdr:row>
          <xdr:rowOff>147638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42E27B75-17F1-4E45-A6BD-5C08A1167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14288</xdr:colOff>
          <xdr:row>42</xdr:row>
          <xdr:rowOff>4763</xdr:rowOff>
        </xdr:from>
        <xdr:to>
          <xdr:col>17</xdr:col>
          <xdr:colOff>1557338</xdr:colOff>
          <xdr:row>42</xdr:row>
          <xdr:rowOff>138113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4AE4BEBA-A3CC-4A46-A916-EA62249EC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14288</xdr:colOff>
          <xdr:row>21</xdr:row>
          <xdr:rowOff>152400</xdr:rowOff>
        </xdr:from>
        <xdr:to>
          <xdr:col>17</xdr:col>
          <xdr:colOff>1557338</xdr:colOff>
          <xdr:row>22</xdr:row>
          <xdr:rowOff>133350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8589343F-4FF0-4DF5-9229-8BBA27DC1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2</xdr:row>
          <xdr:rowOff>14288</xdr:rowOff>
        </xdr:from>
        <xdr:to>
          <xdr:col>17</xdr:col>
          <xdr:colOff>1604963</xdr:colOff>
          <xdr:row>2</xdr:row>
          <xdr:rowOff>147638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32226701-A6E7-4EB3-9C74-1DA762636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plant/AppData/Local/Microsoft/Windows/INetCache/Content.Outlook/ZYZ9ILGB/0701Copy%20of%200615question.alp.TransfectionMetadata%20w%20Calend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plant/Documents/ALP%20Precision5820/Experiments_Data_Protocols/TransfectionTracker%20Work/Transfection%20Tracker_v2.clean02032021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validation criteria"/>
      <sheetName val="20190723LamB1_OCT4sg2_CA-137"/>
      <sheetName val="20190723LamB1_OCT4sg2_CB-150"/>
      <sheetName val="20190723LamB1_OCT4sg2_CD-118"/>
      <sheetName val="20190723LamB1_OCT4sg2_CM-113"/>
      <sheetName val="20190723LamB1_OCT4sg2_DC-100"/>
      <sheetName val="20190723LamB1_OCT4sg3_CA-137"/>
      <sheetName val="20190723LamB1_OCT4sg3_CB-150"/>
      <sheetName val="20190723LamB1_OCT4sg3_CD118"/>
      <sheetName val="20190723LamB1_OCT4sg3_CM-113"/>
      <sheetName val="20190723LamB1_OCT4sg3_DC-100"/>
      <sheetName val="20190808WTC11_gfpOCT4sg2_CB-150"/>
      <sheetName val="20190809WTC11_gfpOCT4sg2_CB-150"/>
      <sheetName val="20190816LamB1_OCT4sg2_CB-150-A"/>
      <sheetName val="20190816LamB1_OCT4sg2_CB-150-B"/>
      <sheetName val="20190816LamB1_OCT4sg2_CB-150-C"/>
      <sheetName val="20190816LamB1_OCT4sg2_CB-150-D"/>
      <sheetName val="20190917WTC11_gfpOCT4sg2_CB-150"/>
      <sheetName val="20190917WTC11_mChOCT4sg2_CB-150"/>
      <sheetName val="20190930_mCherry_OCT4sg2_LamB1 "/>
      <sheetName val="20191113LamB1_mChOCT4sg2_CB-150"/>
      <sheetName val="20191127LamB1_mChOCT4sg2_CB-150"/>
      <sheetName val="20191211WTC11_mChOCT4sg2_CB-150"/>
      <sheetName val="20200108WTC11_mChOCT4sg2_CB-150"/>
      <sheetName val="BAD20200120_m-Cherry_OCT4sg2"/>
      <sheetName val="20200120_m-Cherry_OCT4sg2_WTC11"/>
      <sheetName val="20200220_m-Cherry_OCT4sg2_WTC11"/>
      <sheetName val="20200318_eGFP_SOX2sg3x2_WTC11"/>
      <sheetName val="Calendar"/>
      <sheetName val="DataValidationforCalendar"/>
      <sheetName val="NameUpdate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Metadata Template"/>
      <sheetName val="Data"/>
      <sheetName val="TransfectionsReport"/>
      <sheetName val="AllClonesIist"/>
      <sheetName val="DiscontinueReport"/>
      <sheetName val="FreezeReport"/>
      <sheetName val="ExtractDNAReport"/>
      <sheetName val="Clone Report"/>
      <sheetName val="Notes"/>
      <sheetName val="Cell Samples"/>
      <sheetName val="ActivityList"/>
      <sheetName val="Data validation criteria"/>
      <sheetName val="Documentation"/>
      <sheetName val="20210206mChOCT4sg2"/>
    </sheetNames>
    <definedNames>
      <definedName name="NextWeek"/>
      <definedName name="PreviousWeek"/>
      <definedName name="SaveData"/>
      <definedName name="SelectClone"/>
      <definedName name="SelectWee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Cell Sample Names</v>
          </cell>
        </row>
        <row r="2">
          <cell r="A2" t="str">
            <v>20200120mChOCT4sg2_B9U_Sort3</v>
          </cell>
        </row>
        <row r="3">
          <cell r="A3" t="str">
            <v>20200220mChOCT4sg2_C6_Sort4</v>
          </cell>
        </row>
        <row r="4">
          <cell r="A4" t="str">
            <v>20200220mChOCT4sg2_C10_Sort4</v>
          </cell>
        </row>
        <row r="5">
          <cell r="A5" t="str">
            <v>20200220mChOCT4sg2_C10_Sort3</v>
          </cell>
        </row>
        <row r="6">
          <cell r="A6" t="str">
            <v>20200113mChOCT4sg2_C6_Sort7</v>
          </cell>
        </row>
        <row r="7">
          <cell r="A7" t="str">
            <v>20200220mChOCT4sg2_A7b_Sort3</v>
          </cell>
        </row>
        <row r="8">
          <cell r="A8" t="str">
            <v>20200220mChOCT4sg2_A7a_Sort3</v>
          </cell>
        </row>
        <row r="9">
          <cell r="A9" t="str">
            <v>20200220mChOCT4sg2_C6_Sort3</v>
          </cell>
        </row>
        <row r="10">
          <cell r="A10" t="str">
            <v>20200113mChOCT4sg2_C7_Sort5</v>
          </cell>
        </row>
        <row r="11">
          <cell r="A11" t="str">
            <v>20200113mChOCT4sg2_C6_Sort6</v>
          </cell>
        </row>
        <row r="12">
          <cell r="A12" t="str">
            <v>20200220mChOCT4sg2_C10_Sort2</v>
          </cell>
        </row>
        <row r="13">
          <cell r="A13" t="str">
            <v>20200220mChOCT4sg2_A7_Sort2</v>
          </cell>
        </row>
        <row r="14">
          <cell r="A14" t="str">
            <v>20200220mChOCT4sg2_C6_Sort2</v>
          </cell>
        </row>
        <row r="15">
          <cell r="A15" t="str">
            <v>20200113mChOCT4sg2_C6_Sort5</v>
          </cell>
        </row>
        <row r="16">
          <cell r="A16" t="str">
            <v>20200113mChOCT4sg2_C7_Sort4</v>
          </cell>
        </row>
        <row r="17">
          <cell r="A17" t="str">
            <v>20200113mChOCT4sg2_C6_Sort4</v>
          </cell>
        </row>
        <row r="18">
          <cell r="A18" t="str">
            <v>20200113mChOCT4sg2_C7_Sort3</v>
          </cell>
        </row>
        <row r="19">
          <cell r="A19" t="str">
            <v>20200113mChOCT4sg2_C6_Sort3</v>
          </cell>
        </row>
        <row r="20">
          <cell r="A20" t="str">
            <v>20200318GFPSOX2sg3_E12</v>
          </cell>
        </row>
        <row r="21">
          <cell r="A21" t="str">
            <v>20200318GFPSOX2sg3_A3</v>
          </cell>
        </row>
        <row r="22">
          <cell r="A22" t="str">
            <v>20200318GFPSOX2sg3_A1</v>
          </cell>
        </row>
        <row r="23">
          <cell r="A23" t="str">
            <v>20200120mChOCT4sg2_B9U_Sort2</v>
          </cell>
        </row>
        <row r="24">
          <cell r="A24" t="str">
            <v>20200120mChOCT4sg2_B9U</v>
          </cell>
        </row>
        <row r="25">
          <cell r="A25" t="str">
            <v>20200220mChOCT4sg2_A7_Sort1</v>
          </cell>
        </row>
        <row r="26">
          <cell r="A26" t="str">
            <v>20200220mChOCT4sg2_C6_Sort1</v>
          </cell>
        </row>
        <row r="27">
          <cell r="A27" t="str">
            <v>20200220mChOCT4sg2_C9_Sort1</v>
          </cell>
        </row>
        <row r="28">
          <cell r="A28" t="str">
            <v>20200220mChOCT4sg2_C10_Sort1</v>
          </cell>
        </row>
        <row r="29">
          <cell r="A29" t="str">
            <v>20200220mChOCT4sg2_D8_Sort1</v>
          </cell>
        </row>
        <row r="30">
          <cell r="A30" t="str">
            <v>20200220mChOCT4sg2_D8</v>
          </cell>
        </row>
        <row r="31">
          <cell r="A31" t="str">
            <v>20200220mChOCT4sg2_C10</v>
          </cell>
        </row>
        <row r="32">
          <cell r="A32" t="str">
            <v>20200220mChOCT4sg2_C9</v>
          </cell>
        </row>
        <row r="33">
          <cell r="A33" t="str">
            <v>20200220mChOCT4sg2_C6</v>
          </cell>
        </row>
        <row r="34">
          <cell r="A34" t="str">
            <v>20200220mChOCT4sg2_A7</v>
          </cell>
        </row>
        <row r="35">
          <cell r="A35" t="str">
            <v>20200120mChOCT4sg2_C11_Sort2</v>
          </cell>
        </row>
        <row r="36">
          <cell r="A36" t="str">
            <v>20200120mChOCT4sg2_B9_Sort2</v>
          </cell>
        </row>
        <row r="37">
          <cell r="A37" t="str">
            <v>20200120mChOCT4sg2_B9 Ultrasort</v>
          </cell>
        </row>
        <row r="38">
          <cell r="A38" t="str">
            <v>20200120mChOCT4sg2_B9_Sort1</v>
          </cell>
        </row>
        <row r="39">
          <cell r="A39" t="str">
            <v>20200120mChOCT4sg2_C11_Sort1</v>
          </cell>
        </row>
        <row r="40">
          <cell r="A40" t="str">
            <v>20200120mChOCT4sg2_D2_Sort1</v>
          </cell>
        </row>
        <row r="41">
          <cell r="A41" t="str">
            <v>20200120mChOCT4sg2_E6_Sort1</v>
          </cell>
        </row>
        <row r="42">
          <cell r="A42" t="str">
            <v>20200120mChOCT4sg2_E6</v>
          </cell>
        </row>
      </sheetData>
      <sheetData sheetId="11">
        <row r="1">
          <cell r="A1" t="str">
            <v>Activities</v>
          </cell>
        </row>
        <row r="2">
          <cell r="A2" t="str">
            <v>Transfect</v>
          </cell>
        </row>
        <row r="3">
          <cell r="A3" t="str">
            <v>Feed w Ri</v>
          </cell>
        </row>
        <row r="4">
          <cell r="A4" t="str">
            <v>Image</v>
          </cell>
        </row>
        <row r="5">
          <cell r="A5" t="str">
            <v>Passage</v>
          </cell>
        </row>
        <row r="6">
          <cell r="A6" t="str">
            <v>Sort</v>
          </cell>
        </row>
        <row r="7">
          <cell r="A7" t="str">
            <v>Freeze</v>
          </cell>
        </row>
        <row r="8">
          <cell r="A8" t="str">
            <v>Thaw</v>
          </cell>
        </row>
        <row r="9">
          <cell r="A9" t="str">
            <v>Extract DNA</v>
          </cell>
        </row>
        <row r="10">
          <cell r="A10" t="str">
            <v>Feed w mTeSR++Ri</v>
          </cell>
        </row>
        <row r="11">
          <cell r="A11" t="str">
            <v>Feed w mTeSr+</v>
          </cell>
        </row>
        <row r="12">
          <cell r="A12" t="str">
            <v>Discontinue</v>
          </cell>
        </row>
        <row r="13">
          <cell r="A13" t="str">
            <v>Send out for analysis</v>
          </cell>
        </row>
      </sheetData>
      <sheetData sheetId="12"/>
      <sheetData sheetId="13"/>
      <sheetData sheetId="14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connectionId="1" xr16:uid="{60515FAB-D403-45AD-B1E4-D50837CE688E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connectionId="2" xr16:uid="{3F0EE13C-6037-4C59-BF61-EE82E1E738C2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connectionId="3" xr16:uid="{8019BB22-3C60-498D-9422-C4DF2865AEF9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connectionId="4" xr16:uid="{93BE320E-ABE5-4A83-A85E-1835943BB06C}" autoFormatId="16" applyNumberFormats="0" applyBorderFormats="0" applyFontFormats="0" applyPatternFormats="0" applyAlignmentFormats="0" applyWidthHeightFormats="0">
  <queryTableRefresh nextId="9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_1" connectionId="5" xr16:uid="{3E510229-BEE0-4DC7-AB5B-4F78743753BE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_2" connectionId="6" xr16:uid="{0119E1A4-5215-470D-A29D-C0B95096CB30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_3" connectionId="7" xr16:uid="{DD5640B8-B8CB-4BD1-B1C0-F1D5066B8EF5}" autoFormatId="16" applyNumberFormats="0" applyBorderFormats="0" applyFontFormats="0" applyPatternFormats="0" applyAlignmentFormats="0" applyWidthHeightFormats="0">
  <queryTableRefresh nextId="9">
    <queryTableFields count="7">
      <queryTableField id="1" name="Date" tableColumnId="1"/>
      <queryTableField id="5" name="Row" tableColumnId="8"/>
      <queryTableField id="2" name="Cell Sample Name" tableColumnId="2"/>
      <queryTableField id="3" name="Activity" tableColumnId="3"/>
      <queryTableField id="7" name="#" tableColumnId="4"/>
      <queryTableField id="4" name="Plate" tableColumnId="5"/>
      <queryTableField id="6" name="Notes" tableColumnId="6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5FDDD1-AC80-447F-AF1B-7334E40E14EE}" name="Table6" displayName="Table6" ref="A1:J1095" totalsRowShown="0" headerRowDxfId="39" dataDxfId="38">
  <sortState xmlns:xlrd2="http://schemas.microsoft.com/office/spreadsheetml/2017/richdata2" ref="A2:J1056">
    <sortCondition ref="A2:A1056"/>
  </sortState>
  <tableColumns count="10">
    <tableColumn id="1" xr3:uid="{C236854D-59C1-4390-80A0-524D22DAA7D6}" name="Date" dataDxfId="37"/>
    <tableColumn id="2" xr3:uid="{B743EC38-E654-4EC9-9C8B-AD13E38D21A5}" name="Row" dataDxfId="36"/>
    <tableColumn id="3" xr3:uid="{DD66B37B-528E-4573-B5AA-AAF7760B0CCE}" name="Cell Sample Name" dataDxfId="35"/>
    <tableColumn id="4" xr3:uid="{F9B78A6C-5644-4CE9-B9DA-5139AA8D3A63}" name="Activity" dataDxfId="34"/>
    <tableColumn id="5" xr3:uid="{C7AA0082-7895-4B5F-BA6E-8AC51857592E}" name="#" dataDxfId="33"/>
    <tableColumn id="6" xr3:uid="{3ACAEF67-C9B2-4288-93EE-727A4FEFFA52}" name="Plate" dataDxfId="32"/>
    <tableColumn id="7" xr3:uid="{D36AA107-0D90-414D-BF96-D4C5F639BB9B}" name="Notes" dataDxfId="31"/>
    <tableColumn id="8" xr3:uid="{1A6F23A2-F5DC-485A-9CF5-0955B8A1819E}" name="Activity ID" dataDxfId="30"/>
    <tableColumn id="9" xr3:uid="{0F1E8EAA-BC63-4B2B-8F5F-7B48026E0E7B}" name="Username" dataDxfId="29"/>
    <tableColumn id="10" xr3:uid="{1F90DA5A-ABA0-4F58-A3C4-DE3CEC925B45}" name="Computer Name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1F2868-E760-418D-B203-1B56773CCE91}" name="Table1" displayName="Table1" ref="A1:A9" totalsRowShown="0">
  <autoFilter ref="A1:A9" xr:uid="{5E38AC27-4E34-4B45-A2B6-FA5D614645C6}"/>
  <tableColumns count="1">
    <tableColumn id="1" xr3:uid="{C6794A47-F93D-480A-84CD-1A3C74052572}" name="Opera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68470F-4228-4028-B282-7E08711AC97E}" name="Table2" displayName="Table2" ref="B1:B7" totalsRowShown="0">
  <autoFilter ref="B1:B7" xr:uid="{2012D3BB-6984-49A5-8419-C27BD1722D8B}"/>
  <tableColumns count="1">
    <tableColumn id="1" xr3:uid="{FFC03CDA-04E1-4869-B9C3-83EC89DF42C1}" name="Instru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FA7CC8-817A-4126-A969-11EF12B1071B}" name="Table3" displayName="Table3" ref="C1:C2" totalsRowShown="0">
  <autoFilter ref="C1:C2" xr:uid="{4AC79ED2-3AC6-48C2-8286-CFAD822ACEF0}"/>
  <tableColumns count="1">
    <tableColumn id="1" xr3:uid="{6A8B2334-6C38-421E-967D-82D7F09B595B}" name="CO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D359E3-F0A4-43B6-A65D-259CD727168A}" name="Table4" displayName="Table4" ref="D1:L9" totalsRowShown="0">
  <autoFilter ref="D1:L9" xr:uid="{F3B0BA5F-5C12-4385-B656-9D7A554C4C8B}"/>
  <tableColumns count="9">
    <tableColumn id="1" xr3:uid="{87238751-CB09-4CBE-A9DD-5171BC1C4F96}" name="Cell type"/>
    <tableColumn id="3" xr3:uid="{C711551A-1C66-44B1-BE0A-A6C59A7AAC56}" name="Incubator chamber"/>
    <tableColumn id="4" xr3:uid="{4FEED2D5-8178-409F-846B-4D53E02D2886}" name="Cell Source"/>
    <tableColumn id="5" xr3:uid="{054AF1C9-02F4-47E8-8BCD-E8922D9B5AC5}" name="in-house genetic modification"/>
    <tableColumn id="6" xr3:uid="{ABBB7204-CA3A-4AAD-B203-31A1FC8FA409}" name="Culture medium"/>
    <tableColumn id="7" xr3:uid="{70C5E6D5-6667-42EB-99DA-CBFA6F95A9A8}" name="Culture matrix"/>
    <tableColumn id="8" xr3:uid="{3F24E1DD-0A1D-496A-B50E-2CC3153DB3CD}" name="plate type"/>
    <tableColumn id="9" xr3:uid="{6134E737-FF73-464A-98A6-D1D91C323B68}" name="Passage method"/>
    <tableColumn id="10" xr3:uid="{613E3065-01E0-4787-BB7E-70DD97851F2F}" name="Imaging mo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2D07BF-A88F-4191-B005-BFF4B77D9C27}" name="Table8" displayName="Table8" ref="A20:N27" totalsRowShown="0">
  <autoFilter ref="A20:N27" xr:uid="{E9126791-912F-47D5-8F75-1CDCF41841A0}"/>
  <tableColumns count="14">
    <tableColumn id="1" xr3:uid="{BAA658EA-E891-4AB5-ABD7-319A8E3C3D39}" name="Plasmid components" dataCellStyle="Hyperlink"/>
    <tableColumn id="2" xr3:uid="{471D29B8-6CB4-42BA-ACAF-16E034087F50}" name="Column1"/>
    <tableColumn id="3" xr3:uid="{6BDD8059-E1D0-48E9-94B6-17B7680B2D0C}" name="Genetarget"/>
    <tableColumn id="4" xr3:uid="{2051C07C-0FDE-4788-96E7-90F8BB1928AC}" name="Fluoresc Protein"/>
    <tableColumn id="5" xr3:uid="{9EADE290-77E1-4C6A-9228-A6799AD593E9}" name="cell source"/>
    <tableColumn id="6" xr3:uid="{BD24E763-7EED-45E9-BDD1-300D6E10A947}" name="transfectn method"/>
    <tableColumn id="7" xr3:uid="{8B760E3B-A7F8-4463-8682-37BD3B2710E6}" name="suspension media"/>
    <tableColumn id="8" xr3:uid="{36A25399-75EA-4A52-98D3-4611A815AE63}" name="Control transfections"/>
    <tableColumn id="9" xr3:uid="{0451569B-38F1-40FB-AD58-C097BDFB81E1}" name="other plasmid components"/>
    <tableColumn id="10" xr3:uid="{0AAEDDBF-F0BB-42E2-900E-3863AF1AA83D}" name="Source of plasmid material"/>
    <tableColumn id="11" xr3:uid="{2A6DCC03-2815-4A9B-B397-7103CA8B2EB4}" name="Source of gRNA"/>
    <tableColumn id="12" xr3:uid="{3CAB37DA-B496-43D0-8FEC-43D370E6E850}" name="Electro Buffer"/>
    <tableColumn id="13" xr3:uid="{E93815E4-E4A6-4014-B4F9-E99974EB4CCC}" name="Guide RNA"/>
    <tableColumn id="14" xr3:uid="{1ED03C4E-FAA9-47BC-A7B3-1C18192A686E}" name="sgRNASeq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04F84B-FC9B-4F91-B52A-45F08E09E1E8}" name="Table5" displayName="Table5" ref="A33:E39" totalsRowShown="0">
  <tableColumns count="5">
    <tableColumn id="1" xr3:uid="{3B030E89-16A3-41B6-B183-06F634AD9206}" name="Electroporation Program"/>
    <tableColumn id="2" xr3:uid="{09E8C78A-271D-40D2-B91A-6DB268EA06FD}" name="Column1"/>
    <tableColumn id="3" xr3:uid="{FF47F590-2516-4BC2-A529-ED6AF740993F}" name="Column2"/>
    <tableColumn id="4" xr3:uid="{1EDEA831-F3E5-4AD5-976D-9C9F9293E6C9}" name="cell shipping method"/>
    <tableColumn id="5" xr3:uid="{C03304E1-7D0B-44EB-AE83-56631BC451CF}" name="transf vesse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D903A6-9131-4DFE-9603-C4FCD6254F2F}" name="Table_Query_from_Excel_Files" displayName="Table_Query_from_Excel_Files" ref="A1:G10" tableType="queryTable" totalsRowShown="0">
  <tableColumns count="7">
    <tableColumn id="1" xr3:uid="{9CC8439A-21DF-41B7-855F-91A8AA24CD4F}" uniqueName="1" name="Column1" queryTableFieldId="1" dataDxfId="27"/>
    <tableColumn id="2" xr3:uid="{A6ECC7B6-7614-4DC5-A955-B17493FAC546}" uniqueName="2" name="Column2" queryTableFieldId="2"/>
    <tableColumn id="3" xr3:uid="{74B19D08-F62D-49A7-851B-688801013B5B}" uniqueName="3" name="Column3" queryTableFieldId="3"/>
    <tableColumn id="4" xr3:uid="{D8195F61-FD92-4B37-947A-95F862C71117}" uniqueName="4" name="Column4" queryTableFieldId="4"/>
    <tableColumn id="5" xr3:uid="{CD03B848-E7D9-4F0A-96F1-048A72E00316}" uniqueName="5" name="Column5" queryTableFieldId="5"/>
    <tableColumn id="6" xr3:uid="{80B05064-827C-4FE0-BE17-96E8D9D4B55E}" uniqueName="6" name="Column6" queryTableFieldId="6"/>
    <tableColumn id="7" xr3:uid="{B4373E80-AF1F-4A05-AC09-22A3D4A42563}" uniqueName="7" name="Column7" queryTableField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55DDEE-1996-4566-96DE-394E33657D64}" name="Table_Query_from_Excel_Files10" displayName="Table_Query_from_Excel_Files10" ref="A1:G46" tableType="queryTable" totalsRowShown="0">
  <sortState xmlns:xlrd2="http://schemas.microsoft.com/office/spreadsheetml/2017/richdata2" ref="A2:G46">
    <sortCondition ref="C1:C46"/>
  </sortState>
  <tableColumns count="7">
    <tableColumn id="1" xr3:uid="{BCF91A5A-1239-4EEC-9C17-2912B2779BF3}" uniqueName="1" name="Column1" queryTableFieldId="1" dataDxfId="26"/>
    <tableColumn id="2" xr3:uid="{3C1F5D8E-463F-4C97-B9E1-0724F518FC62}" uniqueName="2" name="Column2" queryTableFieldId="2"/>
    <tableColumn id="3" xr3:uid="{6CD223E2-AF36-4D74-A82B-C60464B8D94B}" uniqueName="3" name="Column3" queryTableFieldId="3"/>
    <tableColumn id="4" xr3:uid="{6C934294-CD7E-437B-82BD-89467E8181D3}" uniqueName="4" name="Column4" queryTableFieldId="4"/>
    <tableColumn id="5" xr3:uid="{70AE4465-7F34-48EE-8707-CDB4FDC9F18B}" uniqueName="5" name="Column5" queryTableFieldId="5"/>
    <tableColumn id="6" xr3:uid="{82FA43F2-EED2-4839-8AA1-29E726B09A74}" uniqueName="6" name="Column6" queryTableFieldId="6"/>
    <tableColumn id="7" xr3:uid="{0CE114FA-C7A9-4761-BA5A-9C4484019A9E}" uniqueName="7" name="Column7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3FFBA37-D84D-424D-ACD8-32D064177F99}" name="Table_Query_from_Excel_Files11" displayName="Table_Query_from_Excel_Files11" ref="A1:G14" tableType="queryTable" totalsRowShown="0">
  <tableColumns count="7">
    <tableColumn id="1" xr3:uid="{FC251626-F8A9-42FB-89DE-EF0C9B0CA364}" uniqueName="1" name="Column1" queryTableFieldId="1" dataDxfId="25"/>
    <tableColumn id="2" xr3:uid="{1BA42359-5EA9-40E1-BFCD-FEAF171FB987}" uniqueName="2" name="Column2" queryTableFieldId="2"/>
    <tableColumn id="3" xr3:uid="{A72EC62D-C239-4340-A8F7-FBC02D37FE62}" uniqueName="3" name="Column3" queryTableFieldId="3"/>
    <tableColumn id="4" xr3:uid="{4C1DCC3A-7F0E-488F-9D44-9417BA2350DD}" uniqueName="4" name="Column4" queryTableFieldId="4"/>
    <tableColumn id="5" xr3:uid="{B8F0B2C4-A0E3-49C3-BF70-EA3EDA299ED9}" uniqueName="5" name="Column5" queryTableFieldId="5"/>
    <tableColumn id="6" xr3:uid="{7EE0AAEB-86E4-4E86-A00D-514546329425}" uniqueName="6" name="Column6" queryTableFieldId="6"/>
    <tableColumn id="7" xr3:uid="{AD2123B2-6C8A-42CD-BBCF-BF9327E479D5}" uniqueName="7" name="Column7" queryTableFieldId="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A7256C-D060-4F79-96DF-23EDCD1567F4}" name="Table_Query_from_Excel_Files14" displayName="Table_Query_from_Excel_Files14" ref="A1:G307" tableType="queryTable" totalsRowShown="0">
  <autoFilter ref="A1:G307" xr:uid="{C1D65919-CCDC-4837-819C-7BE22FAF78D3}"/>
  <sortState xmlns:xlrd2="http://schemas.microsoft.com/office/spreadsheetml/2017/richdata2" ref="A2:G307">
    <sortCondition ref="C2:C307"/>
    <sortCondition ref="A2:A307"/>
  </sortState>
  <tableColumns count="7">
    <tableColumn id="1" xr3:uid="{049510C4-C521-477C-8C60-1490C252330E}" uniqueName="1" name="Column1" queryTableFieldId="1" dataDxfId="22"/>
    <tableColumn id="2" xr3:uid="{5CA61600-BD59-4624-8FBE-00137F32C490}" uniqueName="2" name="Column2" queryTableFieldId="2"/>
    <tableColumn id="3" xr3:uid="{2751622E-3A36-47A6-BCFE-7699DF992865}" uniqueName="3" name="Column3" queryTableFieldId="3"/>
    <tableColumn id="4" xr3:uid="{386519D7-CE20-4BDC-9664-3BBA4CCBEC96}" uniqueName="4" name="Column4" queryTableFieldId="4"/>
    <tableColumn id="5" xr3:uid="{522B0E25-6009-46BD-9A5C-A3220A39DDF2}" uniqueName="5" name="Column5" queryTableFieldId="5"/>
    <tableColumn id="6" xr3:uid="{FD69E57C-B69A-4C09-903A-1E8367FC90D1}" uniqueName="6" name="Column6" queryTableFieldId="6"/>
    <tableColumn id="7" xr3:uid="{093C91B9-1B7A-495B-8F4C-C6C5BD6F4E34}" uniqueName="7" name="Column7" queryTableFieldId="7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13D4E0-6810-4364-ABCA-370E8B73FCDA}" name="Table_Query_from_Excel_Files_1" displayName="Table_Query_from_Excel_Files_1" ref="A313:G410" tableType="queryTable" totalsRowShown="0">
  <autoFilter ref="A313:G410" xr:uid="{49E40421-0A4E-44FD-92F4-C1DE91B54201}"/>
  <sortState xmlns:xlrd2="http://schemas.microsoft.com/office/spreadsheetml/2017/richdata2" ref="A314:G410">
    <sortCondition ref="C313:C410"/>
  </sortState>
  <tableColumns count="7">
    <tableColumn id="1" xr3:uid="{71E02796-AA65-431E-AE79-8199C520C8EB}" uniqueName="1" name="Column1" queryTableFieldId="1" dataDxfId="23"/>
    <tableColumn id="2" xr3:uid="{E172C457-B829-471D-981E-CEACA2F48E02}" uniqueName="2" name="Column2" queryTableFieldId="2"/>
    <tableColumn id="3" xr3:uid="{10371FE4-5C75-4BD8-A791-24CAD216DC46}" uniqueName="3" name="Column3" queryTableFieldId="3"/>
    <tableColumn id="4" xr3:uid="{2340A5A5-9A2B-47C7-9C2A-A110682577F3}" uniqueName="4" name="Column4" queryTableFieldId="4"/>
    <tableColumn id="5" xr3:uid="{6AA39EF0-67B3-435C-AE67-AEAAADE83E39}" uniqueName="5" name="Column5" queryTableFieldId="5"/>
    <tableColumn id="6" xr3:uid="{9BEDA7E8-56EA-4895-9B46-C9768E2FDB9B}" uniqueName="6" name="Column6" queryTableFieldId="6"/>
    <tableColumn id="7" xr3:uid="{7A17C925-8491-4A3A-A28C-A05B531FCD77}" uniqueName="7" name="Column7" queryTableFieldId="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138523B-18B9-480F-8919-CAD0F9355222}" name="Table_Query_from_Excel_Files_2" displayName="Table_Query_from_Excel_Files_2" ref="A415:G715" tableType="queryTable" totalsRowShown="0">
  <sortState xmlns:xlrd2="http://schemas.microsoft.com/office/spreadsheetml/2017/richdata2" ref="A416:G715">
    <sortCondition ref="C415:C715"/>
  </sortState>
  <tableColumns count="7">
    <tableColumn id="1" xr3:uid="{54C5B30C-5815-4D99-91B4-ECCAE1D18A45}" uniqueName="1" name="Column1" queryTableFieldId="1" dataDxfId="24"/>
    <tableColumn id="2" xr3:uid="{A813D476-88BE-4643-80E8-F5BDCF187739}" uniqueName="2" name="Column2" queryTableFieldId="2"/>
    <tableColumn id="3" xr3:uid="{4EC57442-28AA-4524-B45B-4DA0D6ECB931}" uniqueName="3" name="Column3" queryTableFieldId="3"/>
    <tableColumn id="4" xr3:uid="{2659A6CC-5E59-4E17-B299-C69EC8741564}" uniqueName="4" name="Column4" queryTableFieldId="4"/>
    <tableColumn id="5" xr3:uid="{BC331ACE-4DD8-40C6-AED0-5C4B23EA780B}" uniqueName="5" name="Column5" queryTableFieldId="5"/>
    <tableColumn id="6" xr3:uid="{8236F4FA-6AAA-4559-BD9E-E3BF46092636}" uniqueName="6" name="Column6" queryTableFieldId="6"/>
    <tableColumn id="7" xr3:uid="{8769B925-4B11-4BED-9B9C-1B8C62B0C073}" uniqueName="7" name="Column7" queryTableField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1144675-C462-477F-AC5E-CAD48033AD31}" name="Table_Query_from_Excel_Files_3" displayName="Table_Query_from_Excel_Files_3" ref="A718:G904" tableType="queryTable" totalsRowShown="0">
  <tableColumns count="7">
    <tableColumn id="1" xr3:uid="{08BB33C6-5B0C-4B59-8108-08346302E59F}" uniqueName="1" name="Column1" queryTableFieldId="1" dataDxfId="20"/>
    <tableColumn id="8" xr3:uid="{59478442-8FD0-4FC3-902E-DF3837BF4EBF}" uniqueName="8" name="Column2" queryTableFieldId="5" dataDxfId="19"/>
    <tableColumn id="2" xr3:uid="{3A628558-36CA-4A72-A01F-7CC49847F0C5}" uniqueName="2" name="Column3" queryTableFieldId="2"/>
    <tableColumn id="3" xr3:uid="{E33DDF53-BFAF-4A76-89F7-85C84931BFB1}" uniqueName="3" name="Column4" queryTableFieldId="3"/>
    <tableColumn id="4" xr3:uid="{7088F2A6-27E3-4CCE-BE19-836C688E3296}" uniqueName="4" name="Column5" queryTableFieldId="7"/>
    <tableColumn id="5" xr3:uid="{3CB0933F-6829-4D4D-8327-F5484D8AB87C}" uniqueName="5" name="Column6" queryTableFieldId="4"/>
    <tableColumn id="6" xr3:uid="{BC16EDC5-4D49-4332-AEC3-E046ABC7B3EF}" uniqueName="6" name="Column7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13" Type="http://schemas.openxmlformats.org/officeDocument/2006/relationships/table" Target="../tables/table7.xml"/><Relationship Id="rId3" Type="http://schemas.openxmlformats.org/officeDocument/2006/relationships/hyperlink" Target="https://www.addgene.org/26821/" TargetMode="External"/><Relationship Id="rId7" Type="http://schemas.openxmlformats.org/officeDocument/2006/relationships/hyperlink" Target="file:///\\64404QNAP1\Data\EngineeredPluripotencyCellLines\Probes_Primers_Plasmids\Plasmids\pSOX2_GFP" TargetMode="External"/><Relationship Id="rId12" Type="http://schemas.openxmlformats.org/officeDocument/2006/relationships/table" Target="../tables/table6.xml"/><Relationship Id="rId2" Type="http://schemas.openxmlformats.org/officeDocument/2006/relationships/hyperlink" Target="https://www.addgene.org/89991/" TargetMode="External"/><Relationship Id="rId1" Type="http://schemas.openxmlformats.org/officeDocument/2006/relationships/hyperlink" Target="https://www.addgene.org/89992/" TargetMode="External"/><Relationship Id="rId6" Type="http://schemas.openxmlformats.org/officeDocument/2006/relationships/hyperlink" Target="file:///\\64404QNAP1\Data\EngineeredPluripotencyCellLines\Probes_Primers_Plasmids\Plasmids\pOCT4_mCh%20long5'HA" TargetMode="External"/><Relationship Id="rId11" Type="http://schemas.openxmlformats.org/officeDocument/2006/relationships/table" Target="../tables/table5.xml"/><Relationship Id="rId5" Type="http://schemas.openxmlformats.org/officeDocument/2006/relationships/hyperlink" Target="file:///\\64404QNAP1\Data\EngineeredPluripotencyCellLines\Probes_Primers_Plasmids\Plasmids\pSOX2_GFP%20long%203'HA" TargetMode="External"/><Relationship Id="rId10" Type="http://schemas.openxmlformats.org/officeDocument/2006/relationships/table" Target="../tables/table4.xml"/><Relationship Id="rId4" Type="http://schemas.openxmlformats.org/officeDocument/2006/relationships/hyperlink" Target="https://www.addgene.org/99608/" TargetMode="External"/><Relationship Id="rId9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102-EF34-495D-80BD-A9A74C39B413}">
  <sheetPr codeName="Documentation"/>
  <dimension ref="A1:T50"/>
  <sheetViews>
    <sheetView tabSelected="1" workbookViewId="0">
      <selection activeCell="L7" sqref="L7"/>
    </sheetView>
  </sheetViews>
  <sheetFormatPr defaultRowHeight="14.25"/>
  <cols>
    <col min="2" max="2" width="10.265625" customWidth="1"/>
  </cols>
  <sheetData>
    <row r="1" spans="1:20">
      <c r="A1" t="s">
        <v>330</v>
      </c>
      <c r="F1" s="11" t="s">
        <v>334</v>
      </c>
    </row>
    <row r="2" spans="1:20">
      <c r="A2" s="11" t="s">
        <v>323</v>
      </c>
      <c r="C2" s="309" t="s">
        <v>322</v>
      </c>
    </row>
    <row r="4" spans="1:20">
      <c r="A4" s="291" t="s">
        <v>294</v>
      </c>
      <c r="B4" s="287"/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</row>
    <row r="5" spans="1:20">
      <c r="A5" s="287"/>
      <c r="B5" s="287"/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</row>
    <row r="6" spans="1:20" s="8" customFormat="1">
      <c r="A6" s="286"/>
      <c r="B6" s="287" t="s">
        <v>280</v>
      </c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</row>
    <row r="7" spans="1:20">
      <c r="A7" s="287" t="s">
        <v>313</v>
      </c>
      <c r="B7" s="287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</row>
    <row r="8" spans="1:20" s="8" customFormat="1">
      <c r="A8" s="287"/>
      <c r="B8" s="287"/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7"/>
      <c r="R8" s="287"/>
      <c r="S8" s="287"/>
      <c r="T8" s="287"/>
    </row>
    <row r="9" spans="1:20">
      <c r="A9" s="287" t="s">
        <v>268</v>
      </c>
      <c r="B9" s="287"/>
      <c r="C9" s="287"/>
      <c r="D9" s="287" t="s">
        <v>264</v>
      </c>
      <c r="E9" s="287" t="s">
        <v>318</v>
      </c>
      <c r="F9" s="287"/>
      <c r="G9" s="287"/>
      <c r="H9" s="287" t="s">
        <v>265</v>
      </c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</row>
    <row r="10" spans="1:20">
      <c r="A10" s="287" t="s">
        <v>269</v>
      </c>
      <c r="B10" s="287"/>
      <c r="C10" s="287"/>
      <c r="D10" s="287" t="s">
        <v>267</v>
      </c>
      <c r="E10" s="287" t="s">
        <v>277</v>
      </c>
      <c r="F10" s="287"/>
      <c r="G10" s="287"/>
      <c r="H10" s="287" t="s">
        <v>266</v>
      </c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</row>
    <row r="11" spans="1:20">
      <c r="A11" s="287" t="s">
        <v>272</v>
      </c>
      <c r="B11" s="287"/>
      <c r="C11" s="287"/>
      <c r="D11" s="287" t="s">
        <v>271</v>
      </c>
      <c r="E11" s="287" t="s">
        <v>319</v>
      </c>
      <c r="F11" s="287"/>
      <c r="G11" s="287"/>
      <c r="H11" s="287" t="s">
        <v>270</v>
      </c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</row>
    <row r="12" spans="1:20">
      <c r="A12" s="287" t="s">
        <v>275</v>
      </c>
      <c r="B12" s="287"/>
      <c r="C12" s="287"/>
      <c r="D12" s="287" t="s">
        <v>273</v>
      </c>
      <c r="E12" s="287" t="s">
        <v>276</v>
      </c>
      <c r="F12" s="287"/>
      <c r="G12" s="287"/>
      <c r="H12" s="287" t="s">
        <v>274</v>
      </c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</row>
    <row r="13" spans="1:20" s="8" customFormat="1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</row>
    <row r="14" spans="1:20" s="8" customFormat="1">
      <c r="A14" s="287" t="s">
        <v>312</v>
      </c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  <c r="P14" s="287"/>
      <c r="Q14" s="287"/>
      <c r="R14" s="287"/>
      <c r="S14" s="287"/>
      <c r="T14" s="287"/>
    </row>
    <row r="15" spans="1:20" s="8" customFormat="1">
      <c r="A15" s="287" t="s">
        <v>313</v>
      </c>
      <c r="B15" s="287"/>
      <c r="C15" s="287"/>
      <c r="D15" s="287"/>
      <c r="E15" s="287"/>
      <c r="F15" s="287"/>
      <c r="G15" s="287"/>
      <c r="H15" s="287"/>
      <c r="I15" s="287"/>
      <c r="J15" s="287"/>
      <c r="K15" s="287"/>
      <c r="L15" s="287"/>
      <c r="M15" s="287"/>
      <c r="N15" s="287"/>
      <c r="O15" s="287"/>
      <c r="P15" s="287"/>
      <c r="Q15" s="287"/>
      <c r="R15" s="287"/>
      <c r="S15" s="287"/>
      <c r="T15" s="287"/>
    </row>
    <row r="16" spans="1:20" s="8" customFormat="1">
      <c r="A16" s="307" t="s">
        <v>314</v>
      </c>
      <c r="B16" s="287"/>
      <c r="C16" s="287"/>
      <c r="D16" s="287" t="s">
        <v>316</v>
      </c>
      <c r="E16" s="287" t="s">
        <v>318</v>
      </c>
      <c r="F16" s="287"/>
      <c r="G16" s="287"/>
      <c r="H16" s="308" t="s">
        <v>320</v>
      </c>
      <c r="I16" s="287"/>
      <c r="J16" s="287"/>
      <c r="K16" s="287"/>
      <c r="L16" s="287"/>
      <c r="M16" s="287"/>
      <c r="N16" s="287"/>
      <c r="O16" s="287"/>
      <c r="P16" s="287"/>
      <c r="Q16" s="287"/>
      <c r="R16" s="287"/>
      <c r="S16" s="287"/>
      <c r="T16" s="287"/>
    </row>
    <row r="17" spans="1:20" s="8" customFormat="1">
      <c r="A17" s="307" t="s">
        <v>315</v>
      </c>
      <c r="B17" s="287"/>
      <c r="C17" s="287"/>
      <c r="D17" s="287" t="s">
        <v>317</v>
      </c>
      <c r="E17" s="287" t="s">
        <v>318</v>
      </c>
      <c r="F17" s="287"/>
      <c r="G17" s="287"/>
      <c r="H17" s="308" t="s">
        <v>321</v>
      </c>
      <c r="I17" s="287"/>
      <c r="J17" s="287"/>
      <c r="K17" s="287"/>
      <c r="L17" s="287"/>
      <c r="M17" s="287"/>
      <c r="N17" s="287"/>
      <c r="O17" s="287"/>
      <c r="P17" s="287"/>
      <c r="Q17" s="287"/>
      <c r="R17" s="287"/>
      <c r="S17" s="287"/>
      <c r="T17" s="287"/>
    </row>
    <row r="18" spans="1:20" s="8" customFormat="1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</row>
    <row r="19" spans="1:20">
      <c r="A19" s="287"/>
      <c r="B19" s="287"/>
      <c r="C19" s="287"/>
      <c r="D19" s="287"/>
      <c r="E19" s="287"/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</row>
    <row r="20" spans="1:20" s="8" customFormat="1"/>
    <row r="21" spans="1:20">
      <c r="A21" s="288" t="s">
        <v>281</v>
      </c>
      <c r="B21" s="288"/>
      <c r="C21" s="288"/>
      <c r="D21" s="288"/>
      <c r="E21" s="288"/>
      <c r="F21" s="288"/>
      <c r="G21" s="288"/>
      <c r="H21" s="288"/>
      <c r="I21" s="288"/>
      <c r="J21" s="288"/>
      <c r="K21" s="288"/>
      <c r="L21" s="288"/>
      <c r="M21" s="288"/>
      <c r="N21" s="288"/>
      <c r="O21" s="288"/>
      <c r="P21" s="288"/>
      <c r="Q21" s="288"/>
      <c r="R21" s="288"/>
      <c r="S21" s="288"/>
      <c r="T21" s="288"/>
    </row>
    <row r="22" spans="1:20">
      <c r="A22" s="288"/>
      <c r="B22" s="288" t="s">
        <v>234</v>
      </c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</row>
    <row r="23" spans="1:20">
      <c r="A23" s="288"/>
      <c r="B23" s="366" t="s">
        <v>331</v>
      </c>
      <c r="C23" s="288"/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8"/>
      <c r="R23" s="288"/>
      <c r="S23" s="288"/>
      <c r="T23" s="288"/>
    </row>
    <row r="24" spans="1:20">
      <c r="A24" s="288"/>
      <c r="B24" s="288" t="s">
        <v>278</v>
      </c>
      <c r="C24" s="288"/>
      <c r="D24" s="288"/>
      <c r="E24" s="288"/>
      <c r="F24" s="288"/>
      <c r="G24" s="288"/>
      <c r="H24" s="288"/>
      <c r="I24" s="288"/>
      <c r="J24" s="288"/>
      <c r="K24" s="288"/>
      <c r="L24" s="288"/>
      <c r="M24" s="288"/>
      <c r="N24" s="288"/>
      <c r="O24" s="288"/>
      <c r="P24" s="288"/>
      <c r="Q24" s="288"/>
      <c r="R24" s="288"/>
      <c r="S24" s="288"/>
      <c r="T24" s="288"/>
    </row>
    <row r="25" spans="1:20">
      <c r="A25" s="288"/>
      <c r="B25" s="288" t="s">
        <v>332</v>
      </c>
      <c r="C25" s="288"/>
      <c r="D25" s="288"/>
      <c r="E25" s="288"/>
      <c r="F25" s="288"/>
      <c r="G25" s="288"/>
      <c r="H25" s="288"/>
      <c r="I25" s="288"/>
      <c r="J25" s="288"/>
      <c r="K25" s="288"/>
      <c r="L25" s="288"/>
      <c r="M25" s="288"/>
      <c r="N25" s="288"/>
      <c r="O25" s="288"/>
      <c r="P25" s="288"/>
      <c r="Q25" s="288"/>
      <c r="R25" s="288"/>
      <c r="S25" s="288"/>
      <c r="T25" s="288"/>
    </row>
    <row r="26" spans="1:20">
      <c r="A26" s="288"/>
      <c r="B26" s="288" t="s">
        <v>279</v>
      </c>
      <c r="C26" s="288"/>
      <c r="D26" s="288"/>
      <c r="E26" s="288"/>
      <c r="F26" s="288"/>
      <c r="G26" s="288"/>
      <c r="H26" s="288"/>
      <c r="I26" s="288"/>
      <c r="J26" s="288"/>
      <c r="K26" s="288"/>
      <c r="L26" s="288"/>
      <c r="M26" s="288"/>
      <c r="N26" s="288"/>
      <c r="O26" s="288"/>
      <c r="P26" s="288"/>
      <c r="Q26" s="288"/>
      <c r="R26" s="288"/>
      <c r="S26" s="288"/>
      <c r="T26" s="288"/>
    </row>
    <row r="27" spans="1:20">
      <c r="A27" s="288"/>
      <c r="B27" s="288"/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288"/>
      <c r="T27" s="288"/>
    </row>
    <row r="28" spans="1:20">
      <c r="A28" s="288" t="s">
        <v>262</v>
      </c>
      <c r="B28" s="288"/>
      <c r="C28" s="288" t="s">
        <v>324</v>
      </c>
      <c r="D28" s="288"/>
      <c r="E28" s="288"/>
      <c r="F28" s="288"/>
      <c r="G28" s="288"/>
      <c r="H28" s="288"/>
      <c r="I28" s="288"/>
      <c r="J28" s="288"/>
      <c r="K28" s="288"/>
      <c r="L28" s="288"/>
      <c r="M28" s="288"/>
      <c r="N28" s="288"/>
      <c r="O28" s="288"/>
      <c r="P28" s="288"/>
      <c r="Q28" s="288"/>
      <c r="R28" s="288"/>
      <c r="S28" s="288"/>
      <c r="T28" s="288"/>
    </row>
    <row r="29" spans="1:20" s="8" customFormat="1">
      <c r="A29" s="288"/>
      <c r="B29" s="288"/>
      <c r="C29" s="289"/>
      <c r="D29" s="288"/>
      <c r="E29" s="288"/>
      <c r="F29" s="288"/>
      <c r="G29" s="288"/>
      <c r="H29" s="288"/>
      <c r="I29" s="288"/>
      <c r="J29" s="288"/>
      <c r="K29" s="288"/>
      <c r="L29" s="288"/>
      <c r="M29" s="288"/>
      <c r="N29" s="288"/>
      <c r="O29" s="288"/>
      <c r="P29" s="288"/>
      <c r="Q29" s="288"/>
      <c r="R29" s="288"/>
      <c r="S29" s="288"/>
      <c r="T29" s="288"/>
    </row>
    <row r="30" spans="1:20" s="8" customFormat="1">
      <c r="C30" s="3"/>
    </row>
    <row r="32" spans="1:20">
      <c r="A32" s="290" t="s">
        <v>285</v>
      </c>
      <c r="B32" s="290"/>
      <c r="C32" s="290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0"/>
    </row>
    <row r="33" spans="1:20" s="8" customFormat="1">
      <c r="A33" s="290"/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290"/>
      <c r="R33" s="290"/>
      <c r="S33" s="290"/>
      <c r="T33" s="290"/>
    </row>
    <row r="34" spans="1:20" s="8" customFormat="1">
      <c r="A34" s="306" t="s">
        <v>295</v>
      </c>
      <c r="B34" s="306"/>
      <c r="C34" s="306" t="s">
        <v>301</v>
      </c>
      <c r="D34" s="306"/>
      <c r="E34" s="306" t="s">
        <v>296</v>
      </c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  <c r="T34" s="290"/>
    </row>
    <row r="35" spans="1:20">
      <c r="A35" s="302" t="s">
        <v>282</v>
      </c>
      <c r="B35" s="296"/>
      <c r="C35" s="297" t="s">
        <v>282</v>
      </c>
      <c r="D35" s="296"/>
      <c r="E35" s="298" t="s">
        <v>308</v>
      </c>
      <c r="F35" s="296"/>
      <c r="G35" s="296"/>
      <c r="H35" s="290"/>
      <c r="I35" s="290"/>
      <c r="J35" s="290"/>
      <c r="K35" s="290"/>
      <c r="L35" s="290"/>
      <c r="M35" s="290"/>
      <c r="N35" s="290"/>
      <c r="O35" s="290"/>
      <c r="P35" s="290"/>
      <c r="Q35" s="290"/>
      <c r="R35" s="290"/>
      <c r="S35" s="290"/>
      <c r="T35" s="290"/>
    </row>
    <row r="36" spans="1:20" s="8" customFormat="1">
      <c r="A36" s="292"/>
      <c r="B36" s="290"/>
      <c r="C36" s="293"/>
      <c r="D36" s="290"/>
      <c r="E36" s="293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290"/>
      <c r="R36" s="290"/>
      <c r="S36" s="290"/>
      <c r="T36" s="290"/>
    </row>
    <row r="37" spans="1:20">
      <c r="A37" s="303" t="s">
        <v>286</v>
      </c>
      <c r="B37" s="294"/>
      <c r="C37" s="295" t="s">
        <v>297</v>
      </c>
      <c r="D37" s="294"/>
      <c r="E37" s="295" t="s">
        <v>302</v>
      </c>
      <c r="F37" s="294"/>
      <c r="G37" s="294"/>
      <c r="H37" s="294"/>
      <c r="I37" s="294"/>
      <c r="J37" s="290"/>
      <c r="K37" s="290"/>
      <c r="L37" s="290"/>
      <c r="M37" s="290"/>
      <c r="N37" s="290"/>
      <c r="O37" s="290"/>
      <c r="P37" s="290"/>
      <c r="Q37" s="290"/>
      <c r="R37" s="290"/>
      <c r="S37" s="290"/>
      <c r="T37" s="290"/>
    </row>
    <row r="38" spans="1:20">
      <c r="A38" s="304" t="s">
        <v>283</v>
      </c>
      <c r="B38" s="299"/>
      <c r="C38" s="293" t="s">
        <v>298</v>
      </c>
      <c r="D38" s="299"/>
      <c r="E38" s="293" t="s">
        <v>303</v>
      </c>
      <c r="F38" s="299"/>
      <c r="G38" s="299"/>
      <c r="H38" s="299"/>
      <c r="I38" s="299"/>
      <c r="J38" s="290"/>
      <c r="K38" s="290"/>
      <c r="L38" s="290"/>
      <c r="M38" s="290"/>
      <c r="N38" s="290"/>
      <c r="O38" s="290"/>
      <c r="P38" s="290"/>
      <c r="Q38" s="290"/>
      <c r="R38" s="290"/>
      <c r="S38" s="290"/>
      <c r="T38" s="290"/>
    </row>
    <row r="39" spans="1:20">
      <c r="A39" s="305"/>
      <c r="B39" s="300"/>
      <c r="C39" s="301"/>
      <c r="D39" s="300"/>
      <c r="E39" s="301"/>
      <c r="F39" s="300"/>
      <c r="G39" s="300"/>
      <c r="H39" s="300"/>
      <c r="I39" s="300"/>
      <c r="J39" s="290"/>
      <c r="K39" s="290"/>
      <c r="L39" s="290"/>
      <c r="M39" s="290"/>
      <c r="N39" s="290"/>
      <c r="O39" s="290"/>
      <c r="P39" s="290"/>
      <c r="Q39" s="290"/>
      <c r="R39" s="290"/>
      <c r="S39" s="290"/>
      <c r="T39" s="290"/>
    </row>
    <row r="40" spans="1:20" s="8" customFormat="1">
      <c r="A40" s="292"/>
      <c r="B40" s="290"/>
      <c r="C40" s="293"/>
      <c r="D40" s="290"/>
      <c r="E40" s="293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290"/>
      <c r="R40" s="290"/>
      <c r="S40" s="290"/>
      <c r="T40" s="290"/>
    </row>
    <row r="41" spans="1:20">
      <c r="A41" s="303" t="s">
        <v>284</v>
      </c>
      <c r="B41" s="294"/>
      <c r="C41" s="295" t="s">
        <v>299</v>
      </c>
      <c r="D41" s="294"/>
      <c r="E41" s="295" t="s">
        <v>309</v>
      </c>
      <c r="F41" s="294"/>
      <c r="G41" s="294"/>
      <c r="H41" s="294"/>
      <c r="I41" s="294"/>
      <c r="J41" s="290"/>
      <c r="K41" s="290"/>
      <c r="L41" s="290"/>
      <c r="M41" s="290"/>
      <c r="N41" s="290"/>
      <c r="O41" s="290"/>
      <c r="P41" s="290"/>
      <c r="Q41" s="290"/>
      <c r="R41" s="290"/>
      <c r="S41" s="290"/>
      <c r="T41" s="290"/>
    </row>
    <row r="42" spans="1:20">
      <c r="A42" s="304" t="s">
        <v>287</v>
      </c>
      <c r="B42" s="299"/>
      <c r="C42" s="293" t="s">
        <v>300</v>
      </c>
      <c r="D42" s="299"/>
      <c r="E42" s="293" t="s">
        <v>310</v>
      </c>
      <c r="F42" s="299"/>
      <c r="G42" s="299"/>
      <c r="H42" s="299"/>
      <c r="I42" s="299"/>
      <c r="J42" s="290"/>
      <c r="K42" s="290"/>
      <c r="L42" s="290"/>
      <c r="M42" s="290"/>
      <c r="N42" s="290"/>
      <c r="O42" s="290"/>
      <c r="P42" s="290"/>
      <c r="Q42" s="290"/>
      <c r="R42" s="290"/>
      <c r="S42" s="290"/>
      <c r="T42" s="290"/>
    </row>
    <row r="43" spans="1:20">
      <c r="A43" s="304" t="s">
        <v>288</v>
      </c>
      <c r="B43" s="299"/>
      <c r="C43" s="293" t="s">
        <v>299</v>
      </c>
      <c r="D43" s="299"/>
      <c r="E43" s="293" t="s">
        <v>333</v>
      </c>
      <c r="F43" s="299"/>
      <c r="G43" s="299"/>
      <c r="H43" s="299"/>
      <c r="I43" s="299"/>
      <c r="J43" s="290"/>
      <c r="K43" s="290"/>
      <c r="L43" s="290"/>
      <c r="M43" s="290"/>
      <c r="N43" s="290"/>
      <c r="O43" s="290"/>
      <c r="P43" s="290"/>
      <c r="Q43" s="290"/>
      <c r="R43" s="290"/>
      <c r="S43" s="290"/>
      <c r="T43" s="290"/>
    </row>
    <row r="44" spans="1:20">
      <c r="A44" s="305" t="s">
        <v>289</v>
      </c>
      <c r="B44" s="300"/>
      <c r="C44" s="301" t="s">
        <v>300</v>
      </c>
      <c r="D44" s="300"/>
      <c r="E44" s="301" t="s">
        <v>311</v>
      </c>
      <c r="F44" s="300"/>
      <c r="G44" s="300"/>
      <c r="H44" s="300"/>
      <c r="I44" s="300"/>
      <c r="J44" s="290"/>
      <c r="K44" s="290"/>
      <c r="L44" s="290"/>
      <c r="M44" s="290"/>
      <c r="N44" s="290"/>
      <c r="O44" s="290"/>
      <c r="P44" s="290"/>
      <c r="Q44" s="290"/>
      <c r="R44" s="290"/>
      <c r="S44" s="290"/>
      <c r="T44" s="290"/>
    </row>
    <row r="45" spans="1:20" s="8" customFormat="1">
      <c r="A45" s="292"/>
      <c r="B45" s="290"/>
      <c r="C45" s="293"/>
      <c r="D45" s="290"/>
      <c r="E45" s="293"/>
      <c r="F45" s="290"/>
      <c r="G45" s="290"/>
      <c r="H45" s="290"/>
      <c r="I45" s="290"/>
      <c r="J45" s="290"/>
      <c r="K45" s="290"/>
      <c r="L45" s="290"/>
      <c r="M45" s="290"/>
      <c r="N45" s="290"/>
      <c r="O45" s="290"/>
      <c r="P45" s="290"/>
      <c r="Q45" s="290"/>
      <c r="R45" s="290"/>
      <c r="S45" s="290"/>
      <c r="T45" s="290"/>
    </row>
    <row r="46" spans="1:20">
      <c r="A46" s="303" t="s">
        <v>290</v>
      </c>
      <c r="B46" s="294"/>
      <c r="C46" s="295" t="s">
        <v>299</v>
      </c>
      <c r="D46" s="294"/>
      <c r="E46" s="295" t="s">
        <v>304</v>
      </c>
      <c r="F46" s="294"/>
      <c r="G46" s="294"/>
      <c r="H46" s="294"/>
      <c r="I46" s="294"/>
      <c r="J46" s="294"/>
      <c r="K46" s="294"/>
      <c r="L46" s="294"/>
      <c r="M46" s="294"/>
      <c r="N46" s="290"/>
      <c r="O46" s="290"/>
      <c r="P46" s="290"/>
      <c r="Q46" s="290"/>
      <c r="R46" s="290"/>
      <c r="S46" s="290"/>
      <c r="T46" s="290"/>
    </row>
    <row r="47" spans="1:20">
      <c r="A47" s="304" t="s">
        <v>291</v>
      </c>
      <c r="B47" s="299"/>
      <c r="C47" s="293" t="s">
        <v>299</v>
      </c>
      <c r="D47" s="299"/>
      <c r="E47" s="293" t="s">
        <v>305</v>
      </c>
      <c r="F47" s="299"/>
      <c r="G47" s="299"/>
      <c r="H47" s="299"/>
      <c r="I47" s="299"/>
      <c r="J47" s="299"/>
      <c r="K47" s="299"/>
      <c r="L47" s="299"/>
      <c r="M47" s="299"/>
      <c r="N47" s="290"/>
      <c r="O47" s="290"/>
      <c r="P47" s="290"/>
      <c r="Q47" s="290"/>
      <c r="R47" s="290"/>
      <c r="S47" s="290"/>
      <c r="T47" s="290"/>
    </row>
    <row r="48" spans="1:20">
      <c r="A48" s="304" t="s">
        <v>292</v>
      </c>
      <c r="B48" s="299"/>
      <c r="C48" s="293" t="s">
        <v>299</v>
      </c>
      <c r="D48" s="299"/>
      <c r="E48" s="293" t="s">
        <v>306</v>
      </c>
      <c r="F48" s="299"/>
      <c r="G48" s="299"/>
      <c r="H48" s="299"/>
      <c r="I48" s="299"/>
      <c r="J48" s="299"/>
      <c r="K48" s="299"/>
      <c r="L48" s="299"/>
      <c r="M48" s="299"/>
      <c r="N48" s="290"/>
      <c r="O48" s="290"/>
      <c r="P48" s="290"/>
      <c r="Q48" s="290"/>
      <c r="R48" s="290"/>
      <c r="S48" s="290"/>
      <c r="T48" s="290"/>
    </row>
    <row r="49" spans="1:20">
      <c r="A49" s="304" t="s">
        <v>293</v>
      </c>
      <c r="B49" s="299"/>
      <c r="C49" s="293" t="s">
        <v>299</v>
      </c>
      <c r="D49" s="299"/>
      <c r="E49" s="293" t="s">
        <v>307</v>
      </c>
      <c r="F49" s="299"/>
      <c r="G49" s="299"/>
      <c r="H49" s="299"/>
      <c r="I49" s="299"/>
      <c r="J49" s="299"/>
      <c r="K49" s="299"/>
      <c r="L49" s="299"/>
      <c r="M49" s="299"/>
      <c r="N49" s="290"/>
      <c r="O49" s="290"/>
      <c r="P49" s="290"/>
      <c r="Q49" s="290"/>
      <c r="R49" s="290"/>
      <c r="S49" s="290"/>
      <c r="T49" s="290"/>
    </row>
    <row r="50" spans="1:20">
      <c r="A50" s="305"/>
      <c r="B50" s="300"/>
      <c r="C50" s="301"/>
      <c r="D50" s="300"/>
      <c r="E50" s="301"/>
      <c r="F50" s="300"/>
      <c r="G50" s="300"/>
      <c r="H50" s="300"/>
      <c r="I50" s="300"/>
      <c r="J50" s="300"/>
      <c r="K50" s="300"/>
      <c r="L50" s="300"/>
      <c r="M50" s="300"/>
      <c r="N50" s="290"/>
      <c r="O50" s="290"/>
      <c r="P50" s="290"/>
      <c r="Q50" s="290"/>
      <c r="R50" s="290"/>
      <c r="S50" s="290"/>
      <c r="T50" s="290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F1104-10DD-498E-A521-ACFA07EDFCAE}">
  <sheetPr codeName="WSCalendar1"/>
  <dimension ref="A1:S141"/>
  <sheetViews>
    <sheetView showGridLines="0" zoomScaleNormal="100" workbookViewId="0">
      <pane ySplit="2" topLeftCell="A19" activePane="bottomLeft" state="frozen"/>
      <selection pane="bottomLeft" activeCell="B125" sqref="B125:C125"/>
    </sheetView>
  </sheetViews>
  <sheetFormatPr defaultColWidth="9.06640625" defaultRowHeight="11.65"/>
  <cols>
    <col min="1" max="1" width="2.796875" style="214" customWidth="1"/>
    <col min="2" max="2" width="28.73046875" style="215" customWidth="1"/>
    <col min="3" max="3" width="12.796875" style="215" customWidth="1"/>
    <col min="4" max="5" width="5.796875" style="215" customWidth="1"/>
    <col min="6" max="6" width="22.796875" style="230" customWidth="1"/>
    <col min="7" max="7" width="2.796875" style="216" customWidth="1"/>
    <col min="8" max="8" width="28.73046875" style="215" customWidth="1"/>
    <col min="9" max="9" width="12.796875" style="215" customWidth="1"/>
    <col min="10" max="11" width="5.796875" style="215" customWidth="1"/>
    <col min="12" max="12" width="22.796875" style="230" customWidth="1"/>
    <col min="13" max="13" width="2.796875" style="216" customWidth="1"/>
    <col min="14" max="14" width="28.73046875" style="215" customWidth="1"/>
    <col min="15" max="15" width="12.796875" style="215" customWidth="1"/>
    <col min="16" max="17" width="5.796875" style="215" customWidth="1"/>
    <col min="18" max="18" width="22.796875" style="230" customWidth="1"/>
    <col min="19" max="19" width="2.796875" style="216" customWidth="1"/>
    <col min="20" max="20" width="20.796875" style="215" customWidth="1"/>
    <col min="21" max="21" width="27.796875" style="215" bestFit="1" customWidth="1"/>
    <col min="22" max="22" width="2.59765625" style="215" bestFit="1" customWidth="1"/>
    <col min="23" max="23" width="7.33203125" style="215" bestFit="1" customWidth="1"/>
    <col min="24" max="25" width="4.796875" style="215" customWidth="1"/>
    <col min="26" max="26" width="20.796875" style="215" customWidth="1"/>
    <col min="27" max="16384" width="9.06640625" style="215"/>
  </cols>
  <sheetData>
    <row r="1" spans="1:19" ht="21" customHeight="1"/>
    <row r="2" spans="1:19" ht="15.75" customHeight="1" thickBot="1">
      <c r="D2" s="331" t="s">
        <v>227</v>
      </c>
      <c r="E2" s="331"/>
      <c r="F2" s="331"/>
      <c r="I2" s="217"/>
      <c r="J2" s="331" t="s">
        <v>227</v>
      </c>
      <c r="K2" s="331"/>
      <c r="L2" s="331"/>
      <c r="O2" s="217"/>
      <c r="P2" s="331" t="s">
        <v>227</v>
      </c>
      <c r="Q2" s="331"/>
      <c r="R2" s="331"/>
    </row>
    <row r="3" spans="1:19" ht="12" thickBot="1">
      <c r="B3" s="328">
        <f>H3-7</f>
        <v>44388</v>
      </c>
      <c r="C3" s="329"/>
      <c r="D3" s="329"/>
      <c r="E3" s="329"/>
      <c r="F3" s="330"/>
      <c r="H3" s="322">
        <f>StartDate-7</f>
        <v>44395</v>
      </c>
      <c r="I3" s="323"/>
      <c r="J3" s="323"/>
      <c r="K3" s="323"/>
      <c r="L3" s="324"/>
      <c r="N3" s="313">
        <v>44402</v>
      </c>
      <c r="O3" s="314"/>
      <c r="P3" s="314"/>
      <c r="Q3" s="314"/>
      <c r="R3" s="315"/>
    </row>
    <row r="4" spans="1:19" ht="12" thickBot="1">
      <c r="B4" s="218" t="s">
        <v>159</v>
      </c>
      <c r="C4" s="219" t="s">
        <v>151</v>
      </c>
      <c r="D4" s="219" t="s">
        <v>150</v>
      </c>
      <c r="E4" s="220" t="s">
        <v>158</v>
      </c>
      <c r="F4" s="221" t="s">
        <v>156</v>
      </c>
      <c r="H4" s="222" t="s">
        <v>159</v>
      </c>
      <c r="I4" s="223" t="s">
        <v>151</v>
      </c>
      <c r="J4" s="223" t="s">
        <v>150</v>
      </c>
      <c r="K4" s="224" t="s">
        <v>158</v>
      </c>
      <c r="L4" s="225" t="s">
        <v>156</v>
      </c>
      <c r="N4" s="226" t="s">
        <v>159</v>
      </c>
      <c r="O4" s="227" t="s">
        <v>151</v>
      </c>
      <c r="P4" s="227" t="s">
        <v>150</v>
      </c>
      <c r="Q4" s="228" t="s">
        <v>158</v>
      </c>
      <c r="R4" s="229" t="s">
        <v>156</v>
      </c>
    </row>
    <row r="5" spans="1:19" s="358" customFormat="1">
      <c r="A5" s="353"/>
      <c r="B5" s="354"/>
      <c r="C5" s="355"/>
      <c r="D5" s="355"/>
      <c r="E5" s="355"/>
      <c r="F5" s="356"/>
      <c r="G5" s="357"/>
      <c r="H5" s="354"/>
      <c r="I5" s="355"/>
      <c r="J5" s="355"/>
      <c r="K5" s="355"/>
      <c r="L5" s="356"/>
      <c r="M5" s="357"/>
      <c r="N5" s="354"/>
      <c r="O5" s="355"/>
      <c r="P5" s="355"/>
      <c r="Q5" s="355"/>
      <c r="R5" s="356"/>
      <c r="S5" s="357"/>
    </row>
    <row r="6" spans="1:19" s="358" customFormat="1">
      <c r="A6" s="353"/>
      <c r="B6" s="19"/>
      <c r="C6" s="20"/>
      <c r="D6" s="355"/>
      <c r="E6" s="355"/>
      <c r="F6" s="22"/>
      <c r="G6" s="357"/>
      <c r="H6" s="19"/>
      <c r="I6" s="20"/>
      <c r="J6" s="20"/>
      <c r="K6" s="20"/>
      <c r="L6" s="22"/>
      <c r="M6" s="357"/>
      <c r="N6" s="19"/>
      <c r="O6" s="20"/>
      <c r="P6" s="20"/>
      <c r="Q6" s="20"/>
      <c r="R6" s="22"/>
      <c r="S6" s="357"/>
    </row>
    <row r="7" spans="1:19" s="358" customFormat="1">
      <c r="A7" s="353"/>
      <c r="B7" s="359"/>
      <c r="C7" s="360"/>
      <c r="D7" s="355"/>
      <c r="E7" s="355"/>
      <c r="F7" s="361"/>
      <c r="G7" s="357"/>
      <c r="H7" s="359"/>
      <c r="I7" s="360"/>
      <c r="J7" s="360"/>
      <c r="K7" s="360"/>
      <c r="L7" s="361"/>
      <c r="M7" s="357"/>
      <c r="N7" s="359"/>
      <c r="O7" s="360"/>
      <c r="P7" s="360"/>
      <c r="Q7" s="360"/>
      <c r="R7" s="361"/>
      <c r="S7" s="357"/>
    </row>
    <row r="8" spans="1:19" s="358" customFormat="1">
      <c r="A8" s="353"/>
      <c r="B8" s="19"/>
      <c r="C8" s="20"/>
      <c r="D8" s="355"/>
      <c r="E8" s="355"/>
      <c r="F8" s="22"/>
      <c r="G8" s="357"/>
      <c r="H8" s="19"/>
      <c r="I8" s="20"/>
      <c r="J8" s="20"/>
      <c r="K8" s="20"/>
      <c r="L8" s="22"/>
      <c r="M8" s="357"/>
      <c r="N8" s="19"/>
      <c r="O8" s="20"/>
      <c r="P8" s="20"/>
      <c r="Q8" s="20"/>
      <c r="R8" s="361"/>
      <c r="S8" s="357"/>
    </row>
    <row r="9" spans="1:19" s="358" customFormat="1">
      <c r="A9" s="353"/>
      <c r="B9" s="359"/>
      <c r="C9" s="360"/>
      <c r="D9" s="360"/>
      <c r="E9" s="360"/>
      <c r="F9" s="361"/>
      <c r="G9" s="357"/>
      <c r="H9" s="359"/>
      <c r="I9" s="360"/>
      <c r="J9" s="360"/>
      <c r="K9" s="360"/>
      <c r="L9" s="361"/>
      <c r="M9" s="357"/>
      <c r="N9" s="359"/>
      <c r="O9" s="360"/>
      <c r="P9" s="360"/>
      <c r="Q9" s="360"/>
      <c r="R9" s="361"/>
      <c r="S9" s="357"/>
    </row>
    <row r="10" spans="1:19" s="358" customFormat="1">
      <c r="A10" s="353"/>
      <c r="B10" s="19"/>
      <c r="C10" s="20"/>
      <c r="D10" s="20"/>
      <c r="E10" s="20"/>
      <c r="F10" s="22"/>
      <c r="G10" s="357"/>
      <c r="H10" s="19"/>
      <c r="I10" s="20"/>
      <c r="J10" s="20"/>
      <c r="K10" s="20"/>
      <c r="L10" s="22"/>
      <c r="M10" s="357"/>
      <c r="N10" s="19"/>
      <c r="O10" s="20"/>
      <c r="P10" s="20"/>
      <c r="Q10" s="20"/>
      <c r="R10" s="22"/>
      <c r="S10" s="357"/>
    </row>
    <row r="11" spans="1:19" s="358" customFormat="1">
      <c r="A11" s="353"/>
      <c r="B11" s="359"/>
      <c r="C11" s="360"/>
      <c r="D11" s="360"/>
      <c r="E11" s="360"/>
      <c r="F11" s="361"/>
      <c r="G11" s="357"/>
      <c r="H11" s="359"/>
      <c r="I11" s="360"/>
      <c r="J11" s="360"/>
      <c r="K11" s="360"/>
      <c r="L11" s="361"/>
      <c r="M11" s="357"/>
      <c r="N11" s="359"/>
      <c r="O11" s="360"/>
      <c r="P11" s="360"/>
      <c r="Q11" s="360"/>
      <c r="R11" s="361"/>
      <c r="S11" s="357"/>
    </row>
    <row r="12" spans="1:19" s="358" customFormat="1">
      <c r="A12" s="353"/>
      <c r="B12" s="19"/>
      <c r="C12" s="20"/>
      <c r="D12" s="20"/>
      <c r="E12" s="20"/>
      <c r="F12" s="22"/>
      <c r="G12" s="357"/>
      <c r="H12" s="19"/>
      <c r="I12" s="20"/>
      <c r="J12" s="20"/>
      <c r="K12" s="20"/>
      <c r="L12" s="22"/>
      <c r="M12" s="357"/>
      <c r="N12" s="19"/>
      <c r="O12" s="20"/>
      <c r="P12" s="20"/>
      <c r="Q12" s="20"/>
      <c r="R12" s="22"/>
      <c r="S12" s="357"/>
    </row>
    <row r="13" spans="1:19" s="358" customFormat="1">
      <c r="A13" s="353"/>
      <c r="B13" s="359"/>
      <c r="C13" s="360"/>
      <c r="D13" s="360"/>
      <c r="E13" s="360"/>
      <c r="F13" s="361"/>
      <c r="G13" s="357"/>
      <c r="H13" s="359"/>
      <c r="I13" s="360"/>
      <c r="J13" s="360"/>
      <c r="K13" s="360"/>
      <c r="L13" s="361"/>
      <c r="M13" s="357"/>
      <c r="N13" s="359"/>
      <c r="O13" s="360"/>
      <c r="P13" s="360"/>
      <c r="Q13" s="360"/>
      <c r="R13" s="361"/>
      <c r="S13" s="357"/>
    </row>
    <row r="14" spans="1:19" s="358" customFormat="1">
      <c r="A14" s="353"/>
      <c r="B14" s="19"/>
      <c r="C14" s="20"/>
      <c r="D14" s="20"/>
      <c r="E14" s="20"/>
      <c r="F14" s="22"/>
      <c r="G14" s="357"/>
      <c r="H14" s="19"/>
      <c r="I14" s="20"/>
      <c r="J14" s="20"/>
      <c r="K14" s="20"/>
      <c r="L14" s="22"/>
      <c r="M14" s="357"/>
      <c r="N14" s="19"/>
      <c r="O14" s="20"/>
      <c r="P14" s="20"/>
      <c r="Q14" s="20"/>
      <c r="R14" s="22"/>
      <c r="S14" s="357"/>
    </row>
    <row r="15" spans="1:19" s="358" customFormat="1">
      <c r="A15" s="353"/>
      <c r="B15" s="359"/>
      <c r="C15" s="360"/>
      <c r="D15" s="360"/>
      <c r="E15" s="360"/>
      <c r="F15" s="361"/>
      <c r="G15" s="357"/>
      <c r="H15" s="359"/>
      <c r="I15" s="360"/>
      <c r="J15" s="360"/>
      <c r="K15" s="360"/>
      <c r="L15" s="361"/>
      <c r="M15" s="357"/>
      <c r="N15" s="359"/>
      <c r="O15" s="360"/>
      <c r="P15" s="360"/>
      <c r="Q15" s="360"/>
      <c r="R15" s="361"/>
      <c r="S15" s="357"/>
    </row>
    <row r="16" spans="1:19" s="358" customFormat="1">
      <c r="A16" s="353"/>
      <c r="B16" s="19"/>
      <c r="C16" s="20"/>
      <c r="D16" s="20"/>
      <c r="E16" s="20"/>
      <c r="F16" s="22"/>
      <c r="G16" s="357"/>
      <c r="H16" s="19"/>
      <c r="I16" s="20"/>
      <c r="J16" s="20"/>
      <c r="K16" s="20"/>
      <c r="L16" s="22"/>
      <c r="M16" s="357"/>
      <c r="N16" s="19"/>
      <c r="O16" s="20"/>
      <c r="P16" s="20"/>
      <c r="Q16" s="20"/>
      <c r="R16" s="22"/>
      <c r="S16" s="357"/>
    </row>
    <row r="17" spans="1:19" s="358" customFormat="1">
      <c r="A17" s="353"/>
      <c r="B17" s="359"/>
      <c r="C17" s="360"/>
      <c r="D17" s="360"/>
      <c r="E17" s="360"/>
      <c r="F17" s="361"/>
      <c r="G17" s="357"/>
      <c r="H17" s="359"/>
      <c r="I17" s="360"/>
      <c r="J17" s="360"/>
      <c r="K17" s="360"/>
      <c r="L17" s="361"/>
      <c r="M17" s="357"/>
      <c r="N17" s="359"/>
      <c r="O17" s="360"/>
      <c r="P17" s="360"/>
      <c r="Q17" s="360"/>
      <c r="R17" s="361"/>
      <c r="S17" s="357"/>
    </row>
    <row r="18" spans="1:19" s="358" customFormat="1">
      <c r="A18" s="353"/>
      <c r="B18" s="19"/>
      <c r="C18" s="21"/>
      <c r="D18" s="21"/>
      <c r="E18" s="21"/>
      <c r="F18" s="22"/>
      <c r="G18" s="357"/>
      <c r="H18" s="19"/>
      <c r="I18" s="21"/>
      <c r="J18" s="21"/>
      <c r="K18" s="21"/>
      <c r="L18" s="22"/>
      <c r="M18" s="357"/>
      <c r="N18" s="19"/>
      <c r="O18" s="21"/>
      <c r="P18" s="21"/>
      <c r="Q18" s="21"/>
      <c r="R18" s="22"/>
      <c r="S18" s="357"/>
    </row>
    <row r="19" spans="1:19" s="358" customFormat="1" ht="12" thickBot="1">
      <c r="A19" s="353"/>
      <c r="B19" s="362"/>
      <c r="C19" s="363"/>
      <c r="D19" s="363"/>
      <c r="E19" s="363"/>
      <c r="F19" s="364"/>
      <c r="G19" s="357"/>
      <c r="H19" s="362"/>
      <c r="I19" s="363"/>
      <c r="J19" s="363"/>
      <c r="K19" s="363"/>
      <c r="L19" s="364"/>
      <c r="M19" s="357"/>
      <c r="N19" s="362"/>
      <c r="O19" s="363"/>
      <c r="P19" s="363"/>
      <c r="Q19" s="363"/>
      <c r="R19" s="364"/>
      <c r="S19" s="357"/>
    </row>
    <row r="20" spans="1:19" ht="12" thickBot="1">
      <c r="B20" s="325" t="s">
        <v>157</v>
      </c>
      <c r="C20" s="326"/>
      <c r="D20" s="326"/>
      <c r="E20" s="326"/>
      <c r="F20" s="327"/>
      <c r="H20" s="319" t="s">
        <v>157</v>
      </c>
      <c r="I20" s="320"/>
      <c r="J20" s="320"/>
      <c r="K20" s="320"/>
      <c r="L20" s="321"/>
      <c r="N20" s="316" t="s">
        <v>157</v>
      </c>
      <c r="O20" s="317"/>
      <c r="P20" s="317"/>
      <c r="Q20" s="317"/>
      <c r="R20" s="318"/>
    </row>
    <row r="21" spans="1:19" s="358" customFormat="1" ht="22.5" customHeight="1" thickBot="1">
      <c r="A21" s="353"/>
      <c r="B21" s="310"/>
      <c r="C21" s="311"/>
      <c r="D21" s="311"/>
      <c r="E21" s="311"/>
      <c r="F21" s="312"/>
      <c r="G21" s="357"/>
      <c r="H21" s="310"/>
      <c r="I21" s="311"/>
      <c r="J21" s="311"/>
      <c r="K21" s="311"/>
      <c r="L21" s="312"/>
      <c r="M21" s="357"/>
      <c r="N21" s="310"/>
      <c r="O21" s="311"/>
      <c r="P21" s="311"/>
      <c r="Q21" s="311"/>
      <c r="R21" s="312"/>
      <c r="S21" s="357"/>
    </row>
    <row r="22" spans="1:19" ht="12" thickBot="1"/>
    <row r="23" spans="1:19" ht="12" thickBot="1">
      <c r="B23" s="328">
        <f>B3+1</f>
        <v>44389</v>
      </c>
      <c r="C23" s="329"/>
      <c r="D23" s="329"/>
      <c r="E23" s="329"/>
      <c r="F23" s="330"/>
      <c r="H23" s="322">
        <f>H3+1</f>
        <v>44396</v>
      </c>
      <c r="I23" s="323"/>
      <c r="J23" s="323"/>
      <c r="K23" s="323"/>
      <c r="L23" s="324"/>
      <c r="N23" s="313">
        <f>N3+1</f>
        <v>44403</v>
      </c>
      <c r="O23" s="314"/>
      <c r="P23" s="314"/>
      <c r="Q23" s="314"/>
      <c r="R23" s="315"/>
    </row>
    <row r="24" spans="1:19" ht="12" thickBot="1">
      <c r="B24" s="218" t="s">
        <v>159</v>
      </c>
      <c r="C24" s="219" t="s">
        <v>151</v>
      </c>
      <c r="D24" s="219" t="s">
        <v>150</v>
      </c>
      <c r="E24" s="220" t="s">
        <v>158</v>
      </c>
      <c r="F24" s="221" t="s">
        <v>156</v>
      </c>
      <c r="H24" s="222" t="s">
        <v>159</v>
      </c>
      <c r="I24" s="223" t="s">
        <v>151</v>
      </c>
      <c r="J24" s="223" t="s">
        <v>150</v>
      </c>
      <c r="K24" s="224" t="s">
        <v>158</v>
      </c>
      <c r="L24" s="225" t="s">
        <v>156</v>
      </c>
      <c r="N24" s="226" t="s">
        <v>159</v>
      </c>
      <c r="O24" s="227" t="s">
        <v>151</v>
      </c>
      <c r="P24" s="227" t="s">
        <v>150</v>
      </c>
      <c r="Q24" s="228" t="s">
        <v>158</v>
      </c>
      <c r="R24" s="229" t="s">
        <v>156</v>
      </c>
    </row>
    <row r="25" spans="1:19" s="358" customFormat="1">
      <c r="A25" s="353"/>
      <c r="B25" s="354"/>
      <c r="C25" s="355"/>
      <c r="D25" s="355"/>
      <c r="E25" s="355"/>
      <c r="F25" s="356"/>
      <c r="G25" s="357"/>
      <c r="H25" s="354"/>
      <c r="I25" s="355"/>
      <c r="J25" s="355"/>
      <c r="K25" s="355"/>
      <c r="L25" s="356"/>
      <c r="M25" s="357"/>
      <c r="N25" s="354"/>
      <c r="O25" s="355"/>
      <c r="P25" s="355"/>
      <c r="Q25" s="355"/>
      <c r="R25" s="356"/>
      <c r="S25" s="357"/>
    </row>
    <row r="26" spans="1:19" s="358" customFormat="1">
      <c r="A26" s="353"/>
      <c r="B26" s="19"/>
      <c r="C26" s="20"/>
      <c r="D26" s="20"/>
      <c r="E26" s="20"/>
      <c r="F26" s="22"/>
      <c r="G26" s="357"/>
      <c r="H26" s="19"/>
      <c r="I26" s="20"/>
      <c r="J26" s="20"/>
      <c r="K26" s="20"/>
      <c r="L26" s="22"/>
      <c r="M26" s="357"/>
      <c r="N26" s="19"/>
      <c r="O26" s="20"/>
      <c r="P26" s="20"/>
      <c r="Q26" s="20"/>
      <c r="R26" s="22"/>
      <c r="S26" s="357"/>
    </row>
    <row r="27" spans="1:19" s="358" customFormat="1">
      <c r="A27" s="353"/>
      <c r="B27" s="359"/>
      <c r="C27" s="360"/>
      <c r="D27" s="360"/>
      <c r="E27" s="360"/>
      <c r="F27" s="361"/>
      <c r="G27" s="357"/>
      <c r="H27" s="359"/>
      <c r="I27" s="360"/>
      <c r="J27" s="360"/>
      <c r="K27" s="360"/>
      <c r="L27" s="361"/>
      <c r="M27" s="357"/>
      <c r="N27" s="359"/>
      <c r="O27" s="360"/>
      <c r="P27" s="360"/>
      <c r="Q27" s="360"/>
      <c r="R27" s="361"/>
      <c r="S27" s="357"/>
    </row>
    <row r="28" spans="1:19" s="358" customFormat="1">
      <c r="A28" s="353"/>
      <c r="B28" s="19"/>
      <c r="C28" s="20"/>
      <c r="D28" s="20"/>
      <c r="E28" s="20"/>
      <c r="F28" s="22"/>
      <c r="G28" s="357"/>
      <c r="H28" s="19"/>
      <c r="I28" s="20"/>
      <c r="J28" s="20"/>
      <c r="K28" s="20"/>
      <c r="L28" s="361"/>
      <c r="M28" s="357"/>
      <c r="N28" s="19"/>
      <c r="O28" s="20"/>
      <c r="P28" s="20"/>
      <c r="Q28" s="20"/>
      <c r="R28" s="22"/>
      <c r="S28" s="357"/>
    </row>
    <row r="29" spans="1:19" s="358" customFormat="1">
      <c r="A29" s="353"/>
      <c r="B29" s="359"/>
      <c r="C29" s="360"/>
      <c r="D29" s="360"/>
      <c r="E29" s="360"/>
      <c r="F29" s="361"/>
      <c r="G29" s="357"/>
      <c r="H29" s="359"/>
      <c r="I29" s="360"/>
      <c r="J29" s="360"/>
      <c r="K29" s="360"/>
      <c r="L29" s="361"/>
      <c r="M29" s="357"/>
      <c r="N29" s="359"/>
      <c r="O29" s="360"/>
      <c r="P29" s="360"/>
      <c r="Q29" s="360"/>
      <c r="R29" s="361"/>
      <c r="S29" s="357"/>
    </row>
    <row r="30" spans="1:19" s="358" customFormat="1">
      <c r="A30" s="353"/>
      <c r="B30" s="19"/>
      <c r="C30" s="20"/>
      <c r="D30" s="20"/>
      <c r="E30" s="20"/>
      <c r="F30" s="22"/>
      <c r="G30" s="357"/>
      <c r="H30" s="19"/>
      <c r="I30" s="20"/>
      <c r="J30" s="20"/>
      <c r="K30" s="20"/>
      <c r="L30" s="22"/>
      <c r="M30" s="357"/>
      <c r="N30" s="19"/>
      <c r="O30" s="20"/>
      <c r="P30" s="20"/>
      <c r="Q30" s="20"/>
      <c r="R30" s="22"/>
      <c r="S30" s="357"/>
    </row>
    <row r="31" spans="1:19" s="358" customFormat="1">
      <c r="A31" s="353"/>
      <c r="B31" s="359"/>
      <c r="C31" s="360"/>
      <c r="D31" s="360"/>
      <c r="E31" s="360"/>
      <c r="F31" s="361"/>
      <c r="G31" s="357"/>
      <c r="H31" s="359"/>
      <c r="I31" s="360"/>
      <c r="J31" s="360"/>
      <c r="K31" s="360"/>
      <c r="L31" s="361"/>
      <c r="M31" s="357"/>
      <c r="N31" s="359"/>
      <c r="O31" s="360"/>
      <c r="P31" s="360"/>
      <c r="Q31" s="360"/>
      <c r="R31" s="361"/>
      <c r="S31" s="357"/>
    </row>
    <row r="32" spans="1:19" s="358" customFormat="1">
      <c r="A32" s="353"/>
      <c r="B32" s="19"/>
      <c r="C32" s="20"/>
      <c r="D32" s="20"/>
      <c r="E32" s="20"/>
      <c r="F32" s="22"/>
      <c r="G32" s="357"/>
      <c r="H32" s="19"/>
      <c r="I32" s="20"/>
      <c r="J32" s="20"/>
      <c r="K32" s="20"/>
      <c r="L32" s="22"/>
      <c r="M32" s="357"/>
      <c r="N32" s="19"/>
      <c r="O32" s="20"/>
      <c r="P32" s="20"/>
      <c r="Q32" s="20"/>
      <c r="R32" s="22"/>
      <c r="S32" s="357"/>
    </row>
    <row r="33" spans="1:19" s="358" customFormat="1">
      <c r="A33" s="353"/>
      <c r="B33" s="359"/>
      <c r="C33" s="360"/>
      <c r="D33" s="360"/>
      <c r="E33" s="360"/>
      <c r="F33" s="361"/>
      <c r="G33" s="357"/>
      <c r="H33" s="359"/>
      <c r="I33" s="360"/>
      <c r="J33" s="360"/>
      <c r="K33" s="360"/>
      <c r="L33" s="361"/>
      <c r="M33" s="357"/>
      <c r="N33" s="359"/>
      <c r="O33" s="360"/>
      <c r="P33" s="360"/>
      <c r="Q33" s="360"/>
      <c r="R33" s="361"/>
      <c r="S33" s="357"/>
    </row>
    <row r="34" spans="1:19" s="358" customFormat="1">
      <c r="A34" s="353"/>
      <c r="B34" s="19"/>
      <c r="C34" s="20"/>
      <c r="D34" s="20"/>
      <c r="E34" s="20"/>
      <c r="F34" s="22"/>
      <c r="G34" s="357"/>
      <c r="H34" s="19"/>
      <c r="I34" s="20"/>
      <c r="J34" s="20"/>
      <c r="K34" s="20"/>
      <c r="L34" s="22"/>
      <c r="M34" s="357"/>
      <c r="N34" s="19"/>
      <c r="O34" s="20"/>
      <c r="P34" s="20"/>
      <c r="Q34" s="20"/>
      <c r="R34" s="22"/>
      <c r="S34" s="357"/>
    </row>
    <row r="35" spans="1:19" s="358" customFormat="1">
      <c r="A35" s="353"/>
      <c r="B35" s="359"/>
      <c r="C35" s="360"/>
      <c r="D35" s="360"/>
      <c r="E35" s="360"/>
      <c r="F35" s="361"/>
      <c r="G35" s="357"/>
      <c r="H35" s="359"/>
      <c r="I35" s="360"/>
      <c r="J35" s="360"/>
      <c r="K35" s="360"/>
      <c r="L35" s="361"/>
      <c r="M35" s="357"/>
      <c r="N35" s="359"/>
      <c r="O35" s="360"/>
      <c r="P35" s="360"/>
      <c r="Q35" s="360"/>
      <c r="R35" s="361"/>
      <c r="S35" s="357"/>
    </row>
    <row r="36" spans="1:19" s="358" customFormat="1">
      <c r="A36" s="353"/>
      <c r="B36" s="19"/>
      <c r="C36" s="20"/>
      <c r="D36" s="20"/>
      <c r="E36" s="20"/>
      <c r="F36" s="22"/>
      <c r="G36" s="357"/>
      <c r="H36" s="19"/>
      <c r="I36" s="20"/>
      <c r="J36" s="20"/>
      <c r="K36" s="20"/>
      <c r="L36" s="22"/>
      <c r="M36" s="357"/>
      <c r="N36" s="19"/>
      <c r="O36" s="20"/>
      <c r="P36" s="20"/>
      <c r="Q36" s="20"/>
      <c r="R36" s="22"/>
      <c r="S36" s="357"/>
    </row>
    <row r="37" spans="1:19" s="358" customFormat="1">
      <c r="A37" s="353"/>
      <c r="B37" s="359"/>
      <c r="C37" s="360"/>
      <c r="D37" s="360"/>
      <c r="E37" s="360"/>
      <c r="F37" s="361"/>
      <c r="G37" s="357"/>
      <c r="H37" s="359"/>
      <c r="I37" s="360"/>
      <c r="J37" s="360"/>
      <c r="K37" s="360"/>
      <c r="L37" s="361"/>
      <c r="M37" s="357"/>
      <c r="N37" s="359"/>
      <c r="O37" s="360"/>
      <c r="P37" s="360"/>
      <c r="Q37" s="360"/>
      <c r="R37" s="361"/>
      <c r="S37" s="357"/>
    </row>
    <row r="38" spans="1:19" s="358" customFormat="1">
      <c r="A38" s="353"/>
      <c r="B38" s="19"/>
      <c r="C38" s="21"/>
      <c r="D38" s="21"/>
      <c r="E38" s="21"/>
      <c r="F38" s="22"/>
      <c r="G38" s="357"/>
      <c r="H38" s="19"/>
      <c r="I38" s="21"/>
      <c r="J38" s="21"/>
      <c r="K38" s="21"/>
      <c r="L38" s="22"/>
      <c r="M38" s="357"/>
      <c r="N38" s="19"/>
      <c r="O38" s="21"/>
      <c r="P38" s="21"/>
      <c r="Q38" s="21"/>
      <c r="R38" s="22"/>
      <c r="S38" s="357"/>
    </row>
    <row r="39" spans="1:19" s="358" customFormat="1" ht="12" thickBot="1">
      <c r="A39" s="353"/>
      <c r="B39" s="362"/>
      <c r="C39" s="363"/>
      <c r="D39" s="363"/>
      <c r="E39" s="363"/>
      <c r="F39" s="364"/>
      <c r="G39" s="357"/>
      <c r="H39" s="362"/>
      <c r="I39" s="363"/>
      <c r="J39" s="363"/>
      <c r="K39" s="363"/>
      <c r="L39" s="364"/>
      <c r="M39" s="357"/>
      <c r="N39" s="362"/>
      <c r="O39" s="363"/>
      <c r="P39" s="363"/>
      <c r="Q39" s="363"/>
      <c r="R39" s="364"/>
      <c r="S39" s="357"/>
    </row>
    <row r="40" spans="1:19" ht="12" thickBot="1">
      <c r="B40" s="325" t="s">
        <v>157</v>
      </c>
      <c r="C40" s="326"/>
      <c r="D40" s="326"/>
      <c r="E40" s="326"/>
      <c r="F40" s="327"/>
      <c r="H40" s="319" t="s">
        <v>157</v>
      </c>
      <c r="I40" s="320"/>
      <c r="J40" s="320"/>
      <c r="K40" s="320"/>
      <c r="L40" s="321"/>
      <c r="N40" s="316" t="s">
        <v>157</v>
      </c>
      <c r="O40" s="317"/>
      <c r="P40" s="317"/>
      <c r="Q40" s="317"/>
      <c r="R40" s="318"/>
    </row>
    <row r="41" spans="1:19" s="358" customFormat="1" ht="22.5" customHeight="1" thickBot="1">
      <c r="A41" s="353"/>
      <c r="B41" s="310"/>
      <c r="C41" s="311"/>
      <c r="D41" s="311"/>
      <c r="E41" s="311"/>
      <c r="F41" s="312"/>
      <c r="G41" s="357"/>
      <c r="H41" s="310"/>
      <c r="I41" s="311"/>
      <c r="J41" s="311"/>
      <c r="K41" s="311"/>
      <c r="L41" s="312"/>
      <c r="M41" s="357"/>
      <c r="N41" s="310"/>
      <c r="O41" s="311"/>
      <c r="P41" s="311"/>
      <c r="Q41" s="311"/>
      <c r="R41" s="312"/>
      <c r="S41" s="357"/>
    </row>
    <row r="42" spans="1:19" ht="12" thickBot="1"/>
    <row r="43" spans="1:19" ht="12" thickBot="1">
      <c r="B43" s="328">
        <f>B23+1</f>
        <v>44390</v>
      </c>
      <c r="C43" s="329"/>
      <c r="D43" s="329"/>
      <c r="E43" s="329"/>
      <c r="F43" s="330"/>
      <c r="H43" s="322">
        <f>H23+1</f>
        <v>44397</v>
      </c>
      <c r="I43" s="323"/>
      <c r="J43" s="323"/>
      <c r="K43" s="323"/>
      <c r="L43" s="324"/>
      <c r="N43" s="313">
        <f>N23+1</f>
        <v>44404</v>
      </c>
      <c r="O43" s="314"/>
      <c r="P43" s="314"/>
      <c r="Q43" s="314"/>
      <c r="R43" s="315"/>
    </row>
    <row r="44" spans="1:19" ht="12" thickBot="1">
      <c r="B44" s="218" t="s">
        <v>159</v>
      </c>
      <c r="C44" s="219" t="s">
        <v>151</v>
      </c>
      <c r="D44" s="219" t="s">
        <v>150</v>
      </c>
      <c r="E44" s="220" t="s">
        <v>158</v>
      </c>
      <c r="F44" s="221" t="s">
        <v>156</v>
      </c>
      <c r="H44" s="222" t="s">
        <v>159</v>
      </c>
      <c r="I44" s="223" t="s">
        <v>151</v>
      </c>
      <c r="J44" s="223" t="s">
        <v>150</v>
      </c>
      <c r="K44" s="224" t="s">
        <v>158</v>
      </c>
      <c r="L44" s="225" t="s">
        <v>156</v>
      </c>
      <c r="N44" s="226" t="s">
        <v>159</v>
      </c>
      <c r="O44" s="227" t="s">
        <v>151</v>
      </c>
      <c r="P44" s="227" t="s">
        <v>150</v>
      </c>
      <c r="Q44" s="228" t="s">
        <v>158</v>
      </c>
      <c r="R44" s="229" t="s">
        <v>156</v>
      </c>
    </row>
    <row r="45" spans="1:19" s="358" customFormat="1">
      <c r="A45" s="353"/>
      <c r="B45" s="354"/>
      <c r="C45" s="355"/>
      <c r="D45" s="355"/>
      <c r="E45" s="355"/>
      <c r="F45" s="356"/>
      <c r="G45" s="357"/>
      <c r="H45" s="354"/>
      <c r="I45" s="355"/>
      <c r="J45" s="355"/>
      <c r="K45" s="355"/>
      <c r="L45" s="356"/>
      <c r="M45" s="357"/>
      <c r="N45" s="354"/>
      <c r="O45" s="355"/>
      <c r="P45" s="355"/>
      <c r="Q45" s="355"/>
      <c r="R45" s="356"/>
      <c r="S45" s="357"/>
    </row>
    <row r="46" spans="1:19" s="358" customFormat="1">
      <c r="A46" s="353"/>
      <c r="B46" s="19"/>
      <c r="C46" s="20"/>
      <c r="D46" s="20"/>
      <c r="E46" s="20"/>
      <c r="F46" s="22"/>
      <c r="G46" s="357"/>
      <c r="H46" s="19"/>
      <c r="I46" s="20"/>
      <c r="J46" s="20"/>
      <c r="K46" s="20"/>
      <c r="L46" s="22"/>
      <c r="M46" s="357"/>
      <c r="N46" s="19"/>
      <c r="O46" s="20"/>
      <c r="P46" s="20"/>
      <c r="Q46" s="20"/>
      <c r="R46" s="22"/>
      <c r="S46" s="357"/>
    </row>
    <row r="47" spans="1:19" s="358" customFormat="1">
      <c r="A47" s="353"/>
      <c r="B47" s="359"/>
      <c r="C47" s="360"/>
      <c r="D47" s="360"/>
      <c r="E47" s="360"/>
      <c r="F47" s="361"/>
      <c r="G47" s="357"/>
      <c r="H47" s="359"/>
      <c r="I47" s="360"/>
      <c r="J47" s="360"/>
      <c r="K47" s="360"/>
      <c r="L47" s="22"/>
      <c r="M47" s="357"/>
      <c r="N47" s="359"/>
      <c r="O47" s="360"/>
      <c r="P47" s="360"/>
      <c r="Q47" s="360"/>
      <c r="R47" s="361"/>
      <c r="S47" s="357"/>
    </row>
    <row r="48" spans="1:19" s="358" customFormat="1">
      <c r="A48" s="353"/>
      <c r="B48" s="19"/>
      <c r="C48" s="20"/>
      <c r="D48" s="360"/>
      <c r="E48" s="360"/>
      <c r="F48" s="22"/>
      <c r="G48" s="357"/>
      <c r="H48" s="19"/>
      <c r="I48" s="20"/>
      <c r="J48" s="20"/>
      <c r="K48" s="20"/>
      <c r="L48" s="22"/>
      <c r="M48" s="357"/>
      <c r="N48" s="19"/>
      <c r="O48" s="20"/>
      <c r="P48" s="20"/>
      <c r="Q48" s="20"/>
      <c r="R48" s="22"/>
      <c r="S48" s="357"/>
    </row>
    <row r="49" spans="1:19" s="358" customFormat="1">
      <c r="A49" s="353"/>
      <c r="B49" s="359"/>
      <c r="C49" s="360"/>
      <c r="D49" s="360"/>
      <c r="E49" s="360"/>
      <c r="F49" s="361"/>
      <c r="G49" s="357"/>
      <c r="H49" s="359"/>
      <c r="I49" s="360"/>
      <c r="J49" s="360"/>
      <c r="K49" s="360"/>
      <c r="L49" s="22"/>
      <c r="M49" s="357"/>
      <c r="N49" s="359"/>
      <c r="O49" s="360"/>
      <c r="P49" s="360"/>
      <c r="Q49" s="360"/>
      <c r="R49" s="361"/>
      <c r="S49" s="357"/>
    </row>
    <row r="50" spans="1:19" s="358" customFormat="1">
      <c r="A50" s="353"/>
      <c r="B50" s="19"/>
      <c r="C50" s="20"/>
      <c r="D50" s="360"/>
      <c r="E50" s="360"/>
      <c r="F50" s="22"/>
      <c r="G50" s="357"/>
      <c r="H50" s="19"/>
      <c r="I50" s="20"/>
      <c r="J50" s="20"/>
      <c r="K50" s="20"/>
      <c r="L50" s="22"/>
      <c r="M50" s="357"/>
      <c r="N50" s="19"/>
      <c r="O50" s="20"/>
      <c r="P50" s="20"/>
      <c r="Q50" s="20"/>
      <c r="R50" s="22"/>
      <c r="S50" s="357"/>
    </row>
    <row r="51" spans="1:19" s="358" customFormat="1">
      <c r="A51" s="353"/>
      <c r="B51" s="359"/>
      <c r="C51" s="360"/>
      <c r="D51" s="360"/>
      <c r="E51" s="360"/>
      <c r="F51" s="365"/>
      <c r="G51" s="357"/>
      <c r="H51" s="359"/>
      <c r="I51" s="360"/>
      <c r="J51" s="360"/>
      <c r="K51" s="360"/>
      <c r="L51" s="361"/>
      <c r="M51" s="357"/>
      <c r="N51" s="19"/>
      <c r="O51" s="360"/>
      <c r="P51" s="360"/>
      <c r="Q51" s="360"/>
      <c r="R51" s="22"/>
      <c r="S51" s="357"/>
    </row>
    <row r="52" spans="1:19" s="358" customFormat="1">
      <c r="A52" s="353"/>
      <c r="B52" s="359"/>
      <c r="C52" s="20"/>
      <c r="D52" s="20"/>
      <c r="E52" s="20"/>
      <c r="F52" s="361"/>
      <c r="G52" s="357"/>
      <c r="H52" s="19"/>
      <c r="I52" s="20"/>
      <c r="J52" s="20"/>
      <c r="K52" s="20"/>
      <c r="L52" s="22"/>
      <c r="M52" s="357"/>
      <c r="N52" s="19"/>
      <c r="O52" s="20"/>
      <c r="P52" s="20"/>
      <c r="Q52" s="20"/>
      <c r="R52" s="22"/>
      <c r="S52" s="357"/>
    </row>
    <row r="53" spans="1:19" s="358" customFormat="1">
      <c r="A53" s="353"/>
      <c r="B53" s="19"/>
      <c r="C53" s="360"/>
      <c r="D53" s="360"/>
      <c r="E53" s="360"/>
      <c r="F53" s="22"/>
      <c r="G53" s="357"/>
      <c r="H53" s="359"/>
      <c r="I53" s="360"/>
      <c r="J53" s="360"/>
      <c r="K53" s="360"/>
      <c r="L53" s="361"/>
      <c r="M53" s="357"/>
      <c r="N53" s="359"/>
      <c r="O53" s="360"/>
      <c r="P53" s="360"/>
      <c r="Q53" s="360"/>
      <c r="R53" s="361"/>
      <c r="S53" s="357"/>
    </row>
    <row r="54" spans="1:19" s="358" customFormat="1">
      <c r="A54" s="353"/>
      <c r="B54" s="19"/>
      <c r="C54" s="20"/>
      <c r="D54" s="20"/>
      <c r="E54" s="20"/>
      <c r="F54" s="22"/>
      <c r="G54" s="357"/>
      <c r="H54" s="19"/>
      <c r="I54" s="20"/>
      <c r="J54" s="20"/>
      <c r="K54" s="20"/>
      <c r="L54" s="22"/>
      <c r="M54" s="357"/>
      <c r="N54" s="19"/>
      <c r="O54" s="20"/>
      <c r="P54" s="20"/>
      <c r="Q54" s="20"/>
      <c r="R54" s="22"/>
      <c r="S54" s="357"/>
    </row>
    <row r="55" spans="1:19" s="358" customFormat="1">
      <c r="A55" s="353"/>
      <c r="B55" s="359"/>
      <c r="C55" s="360"/>
      <c r="D55" s="360"/>
      <c r="E55" s="360"/>
      <c r="F55" s="361"/>
      <c r="G55" s="357"/>
      <c r="H55" s="359"/>
      <c r="I55" s="360"/>
      <c r="J55" s="360"/>
      <c r="K55" s="360"/>
      <c r="L55" s="361"/>
      <c r="M55" s="357"/>
      <c r="N55" s="359"/>
      <c r="O55" s="360"/>
      <c r="P55" s="360"/>
      <c r="Q55" s="360"/>
      <c r="R55" s="361"/>
      <c r="S55" s="357"/>
    </row>
    <row r="56" spans="1:19" s="358" customFormat="1">
      <c r="A56" s="353"/>
      <c r="B56" s="19"/>
      <c r="C56" s="20"/>
      <c r="D56" s="20"/>
      <c r="E56" s="20"/>
      <c r="F56" s="22"/>
      <c r="G56" s="357"/>
      <c r="H56" s="19"/>
      <c r="I56" s="20"/>
      <c r="J56" s="20"/>
      <c r="K56" s="20"/>
      <c r="L56" s="22"/>
      <c r="M56" s="357"/>
      <c r="N56" s="19"/>
      <c r="O56" s="20"/>
      <c r="P56" s="20"/>
      <c r="Q56" s="20"/>
      <c r="R56" s="22"/>
      <c r="S56" s="357"/>
    </row>
    <row r="57" spans="1:19" s="358" customFormat="1">
      <c r="A57" s="353"/>
      <c r="B57" s="359"/>
      <c r="C57" s="360"/>
      <c r="D57" s="360"/>
      <c r="E57" s="360"/>
      <c r="F57" s="361"/>
      <c r="G57" s="357"/>
      <c r="H57" s="359"/>
      <c r="I57" s="360"/>
      <c r="J57" s="360"/>
      <c r="K57" s="360"/>
      <c r="L57" s="361"/>
      <c r="M57" s="357"/>
      <c r="N57" s="359"/>
      <c r="O57" s="360"/>
      <c r="P57" s="360"/>
      <c r="Q57" s="360"/>
      <c r="R57" s="361"/>
      <c r="S57" s="357"/>
    </row>
    <row r="58" spans="1:19" s="358" customFormat="1">
      <c r="A58" s="353"/>
      <c r="B58" s="19"/>
      <c r="C58" s="21"/>
      <c r="D58" s="21"/>
      <c r="E58" s="21"/>
      <c r="F58" s="22"/>
      <c r="G58" s="357"/>
      <c r="H58" s="19"/>
      <c r="I58" s="21"/>
      <c r="J58" s="21"/>
      <c r="K58" s="21"/>
      <c r="L58" s="22"/>
      <c r="M58" s="357"/>
      <c r="N58" s="19"/>
      <c r="O58" s="21"/>
      <c r="P58" s="21"/>
      <c r="Q58" s="21"/>
      <c r="R58" s="22"/>
      <c r="S58" s="357"/>
    </row>
    <row r="59" spans="1:19" s="358" customFormat="1" ht="12" thickBot="1">
      <c r="A59" s="353"/>
      <c r="B59" s="362"/>
      <c r="C59" s="363"/>
      <c r="D59" s="363"/>
      <c r="E59" s="363"/>
      <c r="F59" s="364"/>
      <c r="G59" s="357"/>
      <c r="H59" s="362"/>
      <c r="I59" s="363"/>
      <c r="J59" s="363"/>
      <c r="K59" s="363"/>
      <c r="L59" s="364"/>
      <c r="M59" s="357"/>
      <c r="N59" s="362"/>
      <c r="O59" s="363"/>
      <c r="P59" s="363"/>
      <c r="Q59" s="363"/>
      <c r="R59" s="364"/>
      <c r="S59" s="357"/>
    </row>
    <row r="60" spans="1:19" ht="12" thickBot="1">
      <c r="B60" s="325" t="s">
        <v>157</v>
      </c>
      <c r="C60" s="326"/>
      <c r="D60" s="326"/>
      <c r="E60" s="326"/>
      <c r="F60" s="327"/>
      <c r="H60" s="319" t="s">
        <v>157</v>
      </c>
      <c r="I60" s="320"/>
      <c r="J60" s="320"/>
      <c r="K60" s="320"/>
      <c r="L60" s="321"/>
      <c r="N60" s="316" t="s">
        <v>157</v>
      </c>
      <c r="O60" s="317"/>
      <c r="P60" s="317"/>
      <c r="Q60" s="317"/>
      <c r="R60" s="318"/>
    </row>
    <row r="61" spans="1:19" s="358" customFormat="1" ht="22.5" customHeight="1" thickBot="1">
      <c r="A61" s="353"/>
      <c r="B61" s="310"/>
      <c r="C61" s="311"/>
      <c r="D61" s="311"/>
      <c r="E61" s="311"/>
      <c r="F61" s="312"/>
      <c r="G61" s="357"/>
      <c r="H61" s="310"/>
      <c r="I61" s="311"/>
      <c r="J61" s="311"/>
      <c r="K61" s="311"/>
      <c r="L61" s="312"/>
      <c r="M61" s="357"/>
      <c r="N61" s="310"/>
      <c r="O61" s="311"/>
      <c r="P61" s="311"/>
      <c r="Q61" s="311"/>
      <c r="R61" s="312"/>
      <c r="S61" s="357"/>
    </row>
    <row r="62" spans="1:19" ht="12" thickBot="1"/>
    <row r="63" spans="1:19" ht="12" thickBot="1">
      <c r="B63" s="328">
        <f>B43+1</f>
        <v>44391</v>
      </c>
      <c r="C63" s="329"/>
      <c r="D63" s="329"/>
      <c r="E63" s="329"/>
      <c r="F63" s="330"/>
      <c r="H63" s="322">
        <f>H43+1</f>
        <v>44398</v>
      </c>
      <c r="I63" s="323"/>
      <c r="J63" s="323"/>
      <c r="K63" s="323"/>
      <c r="L63" s="324"/>
      <c r="N63" s="313">
        <f>N43+1</f>
        <v>44405</v>
      </c>
      <c r="O63" s="314"/>
      <c r="P63" s="314"/>
      <c r="Q63" s="314"/>
      <c r="R63" s="315"/>
    </row>
    <row r="64" spans="1:19" ht="12" thickBot="1">
      <c r="B64" s="218" t="s">
        <v>159</v>
      </c>
      <c r="C64" s="219" t="s">
        <v>151</v>
      </c>
      <c r="D64" s="219" t="s">
        <v>150</v>
      </c>
      <c r="E64" s="220" t="s">
        <v>158</v>
      </c>
      <c r="F64" s="221" t="s">
        <v>156</v>
      </c>
      <c r="H64" s="222" t="s">
        <v>159</v>
      </c>
      <c r="I64" s="223" t="s">
        <v>151</v>
      </c>
      <c r="J64" s="223" t="s">
        <v>150</v>
      </c>
      <c r="K64" s="224" t="s">
        <v>158</v>
      </c>
      <c r="L64" s="225" t="s">
        <v>156</v>
      </c>
      <c r="N64" s="226" t="s">
        <v>159</v>
      </c>
      <c r="O64" s="227" t="s">
        <v>151</v>
      </c>
      <c r="P64" s="227" t="s">
        <v>150</v>
      </c>
      <c r="Q64" s="228" t="s">
        <v>158</v>
      </c>
      <c r="R64" s="229" t="s">
        <v>156</v>
      </c>
    </row>
    <row r="65" spans="1:19" s="358" customFormat="1">
      <c r="A65" s="353"/>
      <c r="B65" s="354"/>
      <c r="C65" s="355"/>
      <c r="D65" s="355"/>
      <c r="E65" s="355"/>
      <c r="F65" s="356"/>
      <c r="G65" s="357"/>
      <c r="H65" s="354"/>
      <c r="I65" s="355"/>
      <c r="J65" s="355"/>
      <c r="K65" s="355"/>
      <c r="L65" s="356"/>
      <c r="M65" s="357"/>
      <c r="N65" s="354"/>
      <c r="O65" s="355"/>
      <c r="P65" s="355"/>
      <c r="Q65" s="355"/>
      <c r="R65" s="356"/>
      <c r="S65" s="357"/>
    </row>
    <row r="66" spans="1:19" s="358" customFormat="1">
      <c r="A66" s="353"/>
      <c r="B66" s="19"/>
      <c r="C66" s="20"/>
      <c r="D66" s="20"/>
      <c r="E66" s="20"/>
      <c r="F66" s="22"/>
      <c r="G66" s="357"/>
      <c r="H66" s="19"/>
      <c r="I66" s="20"/>
      <c r="J66" s="20"/>
      <c r="K66" s="20"/>
      <c r="L66" s="22"/>
      <c r="M66" s="357"/>
      <c r="N66" s="354"/>
      <c r="O66" s="355"/>
      <c r="P66" s="355"/>
      <c r="Q66" s="355"/>
      <c r="R66" s="22"/>
      <c r="S66" s="357"/>
    </row>
    <row r="67" spans="1:19" s="358" customFormat="1">
      <c r="A67" s="353"/>
      <c r="B67" s="359"/>
      <c r="C67" s="360"/>
      <c r="D67" s="360"/>
      <c r="E67" s="360"/>
      <c r="F67" s="361"/>
      <c r="G67" s="357"/>
      <c r="H67" s="359"/>
      <c r="I67" s="360"/>
      <c r="J67" s="360"/>
      <c r="K67" s="360"/>
      <c r="L67" s="361"/>
      <c r="M67" s="357"/>
      <c r="N67" s="19"/>
      <c r="O67" s="20"/>
      <c r="P67" s="20"/>
      <c r="Q67" s="20"/>
      <c r="R67" s="361"/>
      <c r="S67" s="357"/>
    </row>
    <row r="68" spans="1:19" s="358" customFormat="1">
      <c r="A68" s="353"/>
      <c r="B68" s="19"/>
      <c r="C68" s="20"/>
      <c r="D68" s="20"/>
      <c r="E68" s="20"/>
      <c r="F68" s="22"/>
      <c r="G68" s="357"/>
      <c r="H68" s="19"/>
      <c r="I68" s="20"/>
      <c r="J68" s="20"/>
      <c r="K68" s="20"/>
      <c r="L68" s="22"/>
      <c r="M68" s="357"/>
      <c r="N68" s="359"/>
      <c r="O68" s="360"/>
      <c r="P68" s="360"/>
      <c r="Q68" s="360"/>
      <c r="R68" s="22"/>
      <c r="S68" s="357"/>
    </row>
    <row r="69" spans="1:19" s="358" customFormat="1">
      <c r="A69" s="353"/>
      <c r="B69" s="359"/>
      <c r="C69" s="360"/>
      <c r="D69" s="360"/>
      <c r="E69" s="360"/>
      <c r="F69" s="22"/>
      <c r="G69" s="357"/>
      <c r="H69" s="359"/>
      <c r="I69" s="360"/>
      <c r="J69" s="360"/>
      <c r="K69" s="360"/>
      <c r="L69" s="361"/>
      <c r="M69" s="357"/>
      <c r="N69" s="359"/>
      <c r="O69" s="360"/>
      <c r="P69" s="360"/>
      <c r="Q69" s="360"/>
      <c r="R69" s="361"/>
      <c r="S69" s="357"/>
    </row>
    <row r="70" spans="1:19" s="358" customFormat="1">
      <c r="A70" s="353"/>
      <c r="B70" s="359"/>
      <c r="C70" s="20"/>
      <c r="D70" s="20"/>
      <c r="E70" s="20"/>
      <c r="F70" s="22"/>
      <c r="G70" s="357"/>
      <c r="H70" s="19"/>
      <c r="I70" s="20"/>
      <c r="J70" s="20"/>
      <c r="K70" s="20"/>
      <c r="L70" s="22"/>
      <c r="M70" s="357"/>
      <c r="N70" s="19"/>
      <c r="O70" s="20"/>
      <c r="P70" s="20"/>
      <c r="Q70" s="20"/>
      <c r="R70" s="22"/>
      <c r="S70" s="357"/>
    </row>
    <row r="71" spans="1:19" s="358" customFormat="1">
      <c r="A71" s="353"/>
      <c r="B71" s="19"/>
      <c r="C71" s="360"/>
      <c r="D71" s="360"/>
      <c r="E71" s="360"/>
      <c r="F71" s="361"/>
      <c r="G71" s="357"/>
      <c r="H71" s="359"/>
      <c r="I71" s="360"/>
      <c r="J71" s="360"/>
      <c r="K71" s="360"/>
      <c r="L71" s="361"/>
      <c r="M71" s="357"/>
      <c r="N71" s="359"/>
      <c r="O71" s="360"/>
      <c r="P71" s="360"/>
      <c r="Q71" s="360"/>
      <c r="R71" s="361"/>
      <c r="S71" s="357"/>
    </row>
    <row r="72" spans="1:19" s="358" customFormat="1">
      <c r="A72" s="353"/>
      <c r="B72" s="359"/>
      <c r="C72" s="20"/>
      <c r="D72" s="20"/>
      <c r="E72" s="20"/>
      <c r="F72" s="22"/>
      <c r="G72" s="357"/>
      <c r="H72" s="19"/>
      <c r="I72" s="20"/>
      <c r="J72" s="20"/>
      <c r="K72" s="20"/>
      <c r="L72" s="22"/>
      <c r="M72" s="357"/>
      <c r="N72" s="19"/>
      <c r="O72" s="20"/>
      <c r="P72" s="20"/>
      <c r="Q72" s="20"/>
      <c r="R72" s="22"/>
      <c r="S72" s="357"/>
    </row>
    <row r="73" spans="1:19" s="358" customFormat="1">
      <c r="A73" s="353"/>
      <c r="B73" s="19"/>
      <c r="C73" s="360"/>
      <c r="D73" s="360"/>
      <c r="E73" s="360"/>
      <c r="F73" s="361"/>
      <c r="G73" s="357"/>
      <c r="H73" s="359"/>
      <c r="I73" s="360"/>
      <c r="J73" s="360"/>
      <c r="K73" s="360"/>
      <c r="L73" s="361"/>
      <c r="M73" s="357"/>
      <c r="N73" s="359"/>
      <c r="O73" s="360"/>
      <c r="P73" s="360"/>
      <c r="Q73" s="360"/>
      <c r="R73" s="361"/>
      <c r="S73" s="357"/>
    </row>
    <row r="74" spans="1:19" s="358" customFormat="1">
      <c r="A74" s="353"/>
      <c r="B74" s="359"/>
      <c r="C74" s="20"/>
      <c r="D74" s="20"/>
      <c r="E74" s="20"/>
      <c r="F74" s="22"/>
      <c r="G74" s="357"/>
      <c r="H74" s="19"/>
      <c r="I74" s="20"/>
      <c r="J74" s="20"/>
      <c r="K74" s="20"/>
      <c r="L74" s="22"/>
      <c r="M74" s="357"/>
      <c r="N74" s="19"/>
      <c r="O74" s="20"/>
      <c r="P74" s="20"/>
      <c r="Q74" s="20"/>
      <c r="R74" s="22"/>
      <c r="S74" s="357"/>
    </row>
    <row r="75" spans="1:19" s="358" customFormat="1">
      <c r="A75" s="353"/>
      <c r="B75" s="359"/>
      <c r="C75" s="360"/>
      <c r="D75" s="360"/>
      <c r="E75" s="360"/>
      <c r="F75" s="361"/>
      <c r="G75" s="357"/>
      <c r="H75" s="359"/>
      <c r="I75" s="360"/>
      <c r="J75" s="360"/>
      <c r="K75" s="360"/>
      <c r="L75" s="361"/>
      <c r="M75" s="357"/>
      <c r="N75" s="359"/>
      <c r="O75" s="360"/>
      <c r="P75" s="360"/>
      <c r="Q75" s="360"/>
      <c r="R75" s="361"/>
      <c r="S75" s="357"/>
    </row>
    <row r="76" spans="1:19" s="358" customFormat="1">
      <c r="A76" s="353"/>
      <c r="B76" s="19"/>
      <c r="C76" s="20"/>
      <c r="D76" s="20"/>
      <c r="E76" s="20"/>
      <c r="F76" s="361"/>
      <c r="G76" s="357"/>
      <c r="H76" s="19"/>
      <c r="I76" s="20"/>
      <c r="J76" s="20"/>
      <c r="K76" s="20"/>
      <c r="L76" s="22"/>
      <c r="M76" s="357"/>
      <c r="N76" s="19"/>
      <c r="O76" s="20"/>
      <c r="P76" s="20"/>
      <c r="Q76" s="20"/>
      <c r="R76" s="22"/>
      <c r="S76" s="357"/>
    </row>
    <row r="77" spans="1:19" s="358" customFormat="1">
      <c r="A77" s="353"/>
      <c r="B77" s="359"/>
      <c r="C77" s="360"/>
      <c r="D77" s="360"/>
      <c r="E77" s="360"/>
      <c r="F77" s="361"/>
      <c r="G77" s="357"/>
      <c r="H77" s="359"/>
      <c r="I77" s="360"/>
      <c r="J77" s="360"/>
      <c r="K77" s="360"/>
      <c r="L77" s="361"/>
      <c r="M77" s="357"/>
      <c r="N77" s="359"/>
      <c r="O77" s="360"/>
      <c r="P77" s="360"/>
      <c r="Q77" s="360"/>
      <c r="R77" s="361"/>
      <c r="S77" s="357"/>
    </row>
    <row r="78" spans="1:19" s="358" customFormat="1">
      <c r="A78" s="353"/>
      <c r="B78" s="19"/>
      <c r="C78" s="21"/>
      <c r="D78" s="21"/>
      <c r="E78" s="21"/>
      <c r="F78" s="361"/>
      <c r="G78" s="357"/>
      <c r="H78" s="19"/>
      <c r="I78" s="21"/>
      <c r="J78" s="21"/>
      <c r="K78" s="21"/>
      <c r="L78" s="22"/>
      <c r="M78" s="357"/>
      <c r="N78" s="19"/>
      <c r="O78" s="21"/>
      <c r="P78" s="21"/>
      <c r="Q78" s="21"/>
      <c r="R78" s="22"/>
      <c r="S78" s="357"/>
    </row>
    <row r="79" spans="1:19" s="358" customFormat="1" ht="12" thickBot="1">
      <c r="A79" s="353"/>
      <c r="B79" s="359"/>
      <c r="C79" s="363"/>
      <c r="D79" s="363"/>
      <c r="E79" s="363"/>
      <c r="F79" s="361"/>
      <c r="G79" s="357"/>
      <c r="H79" s="362"/>
      <c r="I79" s="363"/>
      <c r="J79" s="363"/>
      <c r="K79" s="363"/>
      <c r="L79" s="364"/>
      <c r="M79" s="357"/>
      <c r="N79" s="362"/>
      <c r="O79" s="363"/>
      <c r="P79" s="363"/>
      <c r="Q79" s="363"/>
      <c r="R79" s="364"/>
      <c r="S79" s="357"/>
    </row>
    <row r="80" spans="1:19" ht="12" thickBot="1">
      <c r="B80" s="325" t="s">
        <v>157</v>
      </c>
      <c r="C80" s="326"/>
      <c r="D80" s="326"/>
      <c r="E80" s="326"/>
      <c r="F80" s="327"/>
      <c r="H80" s="319" t="s">
        <v>157</v>
      </c>
      <c r="I80" s="320"/>
      <c r="J80" s="320"/>
      <c r="K80" s="320"/>
      <c r="L80" s="321"/>
      <c r="N80" s="316" t="s">
        <v>157</v>
      </c>
      <c r="O80" s="317"/>
      <c r="P80" s="317"/>
      <c r="Q80" s="317"/>
      <c r="R80" s="318"/>
    </row>
    <row r="81" spans="1:19" s="358" customFormat="1" ht="22.5" customHeight="1" thickBot="1">
      <c r="A81" s="353"/>
      <c r="B81" s="310"/>
      <c r="C81" s="311"/>
      <c r="D81" s="311"/>
      <c r="E81" s="311"/>
      <c r="F81" s="312"/>
      <c r="G81" s="357"/>
      <c r="H81" s="310"/>
      <c r="I81" s="311"/>
      <c r="J81" s="311"/>
      <c r="K81" s="311"/>
      <c r="L81" s="312"/>
      <c r="M81" s="357"/>
      <c r="N81" s="310"/>
      <c r="O81" s="311"/>
      <c r="P81" s="311"/>
      <c r="Q81" s="311"/>
      <c r="R81" s="312"/>
      <c r="S81" s="357"/>
    </row>
    <row r="82" spans="1:19" ht="12" thickBot="1"/>
    <row r="83" spans="1:19" ht="12" thickBot="1">
      <c r="B83" s="328">
        <f>B63+1</f>
        <v>44392</v>
      </c>
      <c r="C83" s="329"/>
      <c r="D83" s="329"/>
      <c r="E83" s="329"/>
      <c r="F83" s="330"/>
      <c r="H83" s="322">
        <f>H63+1</f>
        <v>44399</v>
      </c>
      <c r="I83" s="323"/>
      <c r="J83" s="323"/>
      <c r="K83" s="323"/>
      <c r="L83" s="324"/>
      <c r="N83" s="313">
        <f>N63+1</f>
        <v>44406</v>
      </c>
      <c r="O83" s="314"/>
      <c r="P83" s="314"/>
      <c r="Q83" s="314"/>
      <c r="R83" s="315"/>
    </row>
    <row r="84" spans="1:19" ht="12" thickBot="1">
      <c r="B84" s="218" t="s">
        <v>159</v>
      </c>
      <c r="C84" s="219" t="s">
        <v>151</v>
      </c>
      <c r="D84" s="219" t="s">
        <v>150</v>
      </c>
      <c r="E84" s="220" t="s">
        <v>158</v>
      </c>
      <c r="F84" s="221" t="s">
        <v>156</v>
      </c>
      <c r="H84" s="222" t="s">
        <v>159</v>
      </c>
      <c r="I84" s="223" t="s">
        <v>151</v>
      </c>
      <c r="J84" s="223" t="s">
        <v>150</v>
      </c>
      <c r="K84" s="224" t="s">
        <v>158</v>
      </c>
      <c r="L84" s="225" t="s">
        <v>156</v>
      </c>
      <c r="N84" s="226" t="s">
        <v>159</v>
      </c>
      <c r="O84" s="227" t="s">
        <v>151</v>
      </c>
      <c r="P84" s="227" t="s">
        <v>150</v>
      </c>
      <c r="Q84" s="228" t="s">
        <v>158</v>
      </c>
      <c r="R84" s="229" t="s">
        <v>156</v>
      </c>
    </row>
    <row r="85" spans="1:19" s="358" customFormat="1">
      <c r="A85" s="353"/>
      <c r="B85" s="354"/>
      <c r="C85" s="355"/>
      <c r="D85" s="355"/>
      <c r="E85" s="355"/>
      <c r="F85" s="356"/>
      <c r="G85" s="357"/>
      <c r="H85" s="354"/>
      <c r="I85" s="355"/>
      <c r="J85" s="355"/>
      <c r="K85" s="355"/>
      <c r="L85" s="356"/>
      <c r="M85" s="357"/>
      <c r="N85" s="354"/>
      <c r="O85" s="355"/>
      <c r="P85" s="355"/>
      <c r="Q85" s="355"/>
      <c r="R85" s="356"/>
      <c r="S85" s="357"/>
    </row>
    <row r="86" spans="1:19" s="358" customFormat="1">
      <c r="A86" s="353"/>
      <c r="B86" s="359"/>
      <c r="C86" s="20"/>
      <c r="D86" s="20"/>
      <c r="E86" s="20"/>
      <c r="F86" s="22"/>
      <c r="G86" s="357"/>
      <c r="H86" s="19"/>
      <c r="I86" s="20"/>
      <c r="J86" s="20"/>
      <c r="K86" s="20"/>
      <c r="L86" s="22"/>
      <c r="M86" s="357"/>
      <c r="N86" s="19"/>
      <c r="O86" s="20"/>
      <c r="P86" s="20"/>
      <c r="Q86" s="20"/>
      <c r="R86" s="22"/>
      <c r="S86" s="357"/>
    </row>
    <row r="87" spans="1:19" s="358" customFormat="1">
      <c r="A87" s="353"/>
      <c r="B87" s="19"/>
      <c r="C87" s="360"/>
      <c r="D87" s="360"/>
      <c r="E87" s="360"/>
      <c r="F87" s="361"/>
      <c r="G87" s="357"/>
      <c r="H87" s="359"/>
      <c r="I87" s="360"/>
      <c r="J87" s="360"/>
      <c r="K87" s="360"/>
      <c r="L87" s="361"/>
      <c r="M87" s="357"/>
      <c r="N87" s="359"/>
      <c r="O87" s="360"/>
      <c r="P87" s="360"/>
      <c r="Q87" s="360"/>
      <c r="R87" s="361"/>
      <c r="S87" s="357"/>
    </row>
    <row r="88" spans="1:19" s="358" customFormat="1">
      <c r="A88" s="353"/>
      <c r="B88" s="359"/>
      <c r="C88" s="20"/>
      <c r="D88" s="20"/>
      <c r="E88" s="20"/>
      <c r="F88" s="22"/>
      <c r="G88" s="357"/>
      <c r="H88" s="19"/>
      <c r="I88" s="20"/>
      <c r="J88" s="20"/>
      <c r="K88" s="20"/>
      <c r="L88" s="22"/>
      <c r="M88" s="357"/>
      <c r="N88" s="19"/>
      <c r="O88" s="20"/>
      <c r="P88" s="20"/>
      <c r="Q88" s="20"/>
      <c r="R88" s="22"/>
      <c r="S88" s="357"/>
    </row>
    <row r="89" spans="1:19" s="358" customFormat="1">
      <c r="A89" s="353"/>
      <c r="B89" s="359"/>
      <c r="C89" s="360"/>
      <c r="D89" s="360"/>
      <c r="E89" s="360"/>
      <c r="F89" s="361"/>
      <c r="G89" s="357"/>
      <c r="H89" s="359"/>
      <c r="I89" s="360"/>
      <c r="J89" s="360"/>
      <c r="K89" s="360"/>
      <c r="L89" s="361"/>
      <c r="M89" s="357"/>
      <c r="N89" s="359"/>
      <c r="O89" s="360"/>
      <c r="P89" s="360"/>
      <c r="Q89" s="360"/>
      <c r="R89" s="361"/>
      <c r="S89" s="357"/>
    </row>
    <row r="90" spans="1:19" s="358" customFormat="1">
      <c r="A90" s="353"/>
      <c r="B90" s="19"/>
      <c r="C90" s="20"/>
      <c r="D90" s="20"/>
      <c r="E90" s="20"/>
      <c r="F90" s="22"/>
      <c r="G90" s="357"/>
      <c r="H90" s="19"/>
      <c r="I90" s="20"/>
      <c r="J90" s="20"/>
      <c r="K90" s="20"/>
      <c r="L90" s="22"/>
      <c r="M90" s="357"/>
      <c r="N90" s="19"/>
      <c r="O90" s="20"/>
      <c r="P90" s="20"/>
      <c r="Q90" s="20"/>
      <c r="R90" s="22"/>
      <c r="S90" s="357"/>
    </row>
    <row r="91" spans="1:19" s="358" customFormat="1">
      <c r="A91" s="353"/>
      <c r="B91" s="359"/>
      <c r="C91" s="360"/>
      <c r="D91" s="360"/>
      <c r="E91" s="360"/>
      <c r="F91" s="361"/>
      <c r="G91" s="357"/>
      <c r="H91" s="359"/>
      <c r="I91" s="360"/>
      <c r="J91" s="360"/>
      <c r="K91" s="360"/>
      <c r="L91" s="361"/>
      <c r="M91" s="357"/>
      <c r="N91" s="359"/>
      <c r="O91" s="360"/>
      <c r="P91" s="360"/>
      <c r="Q91" s="360"/>
      <c r="R91" s="361"/>
      <c r="S91" s="357"/>
    </row>
    <row r="92" spans="1:19" s="358" customFormat="1">
      <c r="A92" s="353"/>
      <c r="B92" s="19"/>
      <c r="C92" s="20"/>
      <c r="D92" s="20"/>
      <c r="E92" s="20"/>
      <c r="F92" s="22"/>
      <c r="G92" s="357"/>
      <c r="H92" s="19"/>
      <c r="I92" s="20"/>
      <c r="J92" s="20"/>
      <c r="K92" s="20"/>
      <c r="L92" s="22"/>
      <c r="M92" s="357"/>
      <c r="N92" s="19"/>
      <c r="O92" s="20"/>
      <c r="P92" s="20"/>
      <c r="Q92" s="20"/>
      <c r="R92" s="22"/>
      <c r="S92" s="357"/>
    </row>
    <row r="93" spans="1:19" s="358" customFormat="1">
      <c r="A93" s="353"/>
      <c r="B93" s="359"/>
      <c r="C93" s="360"/>
      <c r="D93" s="360"/>
      <c r="E93" s="360"/>
      <c r="F93" s="361"/>
      <c r="G93" s="357"/>
      <c r="H93" s="359"/>
      <c r="I93" s="360"/>
      <c r="J93" s="360"/>
      <c r="K93" s="360"/>
      <c r="L93" s="361"/>
      <c r="M93" s="357"/>
      <c r="N93" s="359"/>
      <c r="O93" s="360"/>
      <c r="P93" s="360"/>
      <c r="Q93" s="360"/>
      <c r="R93" s="361"/>
      <c r="S93" s="357"/>
    </row>
    <row r="94" spans="1:19" s="358" customFormat="1">
      <c r="A94" s="353"/>
      <c r="B94" s="19"/>
      <c r="C94" s="20"/>
      <c r="D94" s="20"/>
      <c r="E94" s="20"/>
      <c r="F94" s="22"/>
      <c r="G94" s="357"/>
      <c r="H94" s="19"/>
      <c r="I94" s="20"/>
      <c r="J94" s="20"/>
      <c r="K94" s="20"/>
      <c r="L94" s="22"/>
      <c r="M94" s="357"/>
      <c r="N94" s="19"/>
      <c r="O94" s="20"/>
      <c r="P94" s="20"/>
      <c r="Q94" s="20"/>
      <c r="R94" s="22"/>
      <c r="S94" s="357"/>
    </row>
    <row r="95" spans="1:19" s="358" customFormat="1">
      <c r="A95" s="353"/>
      <c r="B95" s="359"/>
      <c r="C95" s="360"/>
      <c r="D95" s="360"/>
      <c r="E95" s="360"/>
      <c r="F95" s="361"/>
      <c r="G95" s="357"/>
      <c r="H95" s="359"/>
      <c r="I95" s="360"/>
      <c r="J95" s="360"/>
      <c r="K95" s="360"/>
      <c r="L95" s="361"/>
      <c r="M95" s="357"/>
      <c r="N95" s="359"/>
      <c r="O95" s="360"/>
      <c r="P95" s="360"/>
      <c r="Q95" s="360"/>
      <c r="R95" s="361"/>
      <c r="S95" s="357"/>
    </row>
    <row r="96" spans="1:19" s="358" customFormat="1">
      <c r="A96" s="353"/>
      <c r="B96" s="19"/>
      <c r="C96" s="20"/>
      <c r="D96" s="20"/>
      <c r="E96" s="20"/>
      <c r="F96" s="22"/>
      <c r="G96" s="357"/>
      <c r="H96" s="19"/>
      <c r="I96" s="20"/>
      <c r="J96" s="20"/>
      <c r="K96" s="20"/>
      <c r="L96" s="22"/>
      <c r="M96" s="357"/>
      <c r="N96" s="19"/>
      <c r="O96" s="20"/>
      <c r="P96" s="20"/>
      <c r="Q96" s="20"/>
      <c r="R96" s="22"/>
      <c r="S96" s="357"/>
    </row>
    <row r="97" spans="1:19" s="358" customFormat="1">
      <c r="A97" s="353"/>
      <c r="B97" s="359"/>
      <c r="C97" s="360"/>
      <c r="D97" s="360"/>
      <c r="E97" s="360"/>
      <c r="F97" s="361"/>
      <c r="G97" s="357"/>
      <c r="H97" s="359"/>
      <c r="I97" s="360"/>
      <c r="J97" s="360"/>
      <c r="K97" s="360"/>
      <c r="L97" s="361"/>
      <c r="M97" s="357"/>
      <c r="N97" s="359"/>
      <c r="O97" s="360"/>
      <c r="P97" s="360"/>
      <c r="Q97" s="360"/>
      <c r="R97" s="361"/>
      <c r="S97" s="357"/>
    </row>
    <row r="98" spans="1:19" s="358" customFormat="1">
      <c r="A98" s="353"/>
      <c r="B98" s="19"/>
      <c r="C98" s="21"/>
      <c r="D98" s="21"/>
      <c r="E98" s="21"/>
      <c r="F98" s="22"/>
      <c r="G98" s="357"/>
      <c r="H98" s="19"/>
      <c r="I98" s="21"/>
      <c r="J98" s="21"/>
      <c r="K98" s="21"/>
      <c r="L98" s="22"/>
      <c r="M98" s="357"/>
      <c r="N98" s="19"/>
      <c r="O98" s="21"/>
      <c r="P98" s="21"/>
      <c r="Q98" s="21"/>
      <c r="R98" s="22"/>
      <c r="S98" s="357"/>
    </row>
    <row r="99" spans="1:19" s="358" customFormat="1" ht="12" thickBot="1">
      <c r="A99" s="353"/>
      <c r="B99" s="362"/>
      <c r="C99" s="363"/>
      <c r="D99" s="363"/>
      <c r="E99" s="363"/>
      <c r="F99" s="364"/>
      <c r="G99" s="357"/>
      <c r="H99" s="362"/>
      <c r="I99" s="363"/>
      <c r="J99" s="363"/>
      <c r="K99" s="363"/>
      <c r="L99" s="364"/>
      <c r="M99" s="357"/>
      <c r="N99" s="362"/>
      <c r="O99" s="363"/>
      <c r="P99" s="363"/>
      <c r="Q99" s="363"/>
      <c r="R99" s="364"/>
      <c r="S99" s="357"/>
    </row>
    <row r="100" spans="1:19" ht="12" thickBot="1">
      <c r="B100" s="325" t="s">
        <v>157</v>
      </c>
      <c r="C100" s="326"/>
      <c r="D100" s="326"/>
      <c r="E100" s="326"/>
      <c r="F100" s="327"/>
      <c r="H100" s="319" t="s">
        <v>157</v>
      </c>
      <c r="I100" s="320"/>
      <c r="J100" s="320"/>
      <c r="K100" s="320"/>
      <c r="L100" s="321"/>
      <c r="N100" s="316" t="s">
        <v>157</v>
      </c>
      <c r="O100" s="317"/>
      <c r="P100" s="317"/>
      <c r="Q100" s="317"/>
      <c r="R100" s="318"/>
    </row>
    <row r="101" spans="1:19" s="358" customFormat="1" ht="22.5" customHeight="1" thickBot="1">
      <c r="A101" s="353"/>
      <c r="B101" s="310"/>
      <c r="C101" s="311"/>
      <c r="D101" s="311"/>
      <c r="E101" s="311"/>
      <c r="F101" s="312"/>
      <c r="G101" s="357"/>
      <c r="H101" s="310"/>
      <c r="I101" s="311"/>
      <c r="J101" s="311"/>
      <c r="K101" s="311"/>
      <c r="L101" s="312"/>
      <c r="M101" s="357"/>
      <c r="N101" s="310"/>
      <c r="O101" s="311"/>
      <c r="P101" s="311"/>
      <c r="Q101" s="311"/>
      <c r="R101" s="312"/>
      <c r="S101" s="357"/>
    </row>
    <row r="102" spans="1:19" ht="12" thickBot="1"/>
    <row r="103" spans="1:19" ht="12" thickBot="1">
      <c r="B103" s="328">
        <f>B83+1</f>
        <v>44393</v>
      </c>
      <c r="C103" s="329"/>
      <c r="D103" s="329"/>
      <c r="E103" s="329"/>
      <c r="F103" s="330"/>
      <c r="H103" s="322">
        <f>H83+1</f>
        <v>44400</v>
      </c>
      <c r="I103" s="323"/>
      <c r="J103" s="323"/>
      <c r="K103" s="323"/>
      <c r="L103" s="324"/>
      <c r="N103" s="313">
        <f>N83+1</f>
        <v>44407</v>
      </c>
      <c r="O103" s="314"/>
      <c r="P103" s="314"/>
      <c r="Q103" s="314"/>
      <c r="R103" s="315"/>
    </row>
    <row r="104" spans="1:19" ht="12" thickBot="1">
      <c r="B104" s="218" t="s">
        <v>159</v>
      </c>
      <c r="C104" s="219" t="s">
        <v>151</v>
      </c>
      <c r="D104" s="219" t="s">
        <v>150</v>
      </c>
      <c r="E104" s="220" t="s">
        <v>158</v>
      </c>
      <c r="F104" s="221" t="s">
        <v>156</v>
      </c>
      <c r="H104" s="222" t="s">
        <v>159</v>
      </c>
      <c r="I104" s="223" t="s">
        <v>151</v>
      </c>
      <c r="J104" s="223" t="s">
        <v>150</v>
      </c>
      <c r="K104" s="224" t="s">
        <v>158</v>
      </c>
      <c r="L104" s="225" t="s">
        <v>156</v>
      </c>
      <c r="N104" s="226" t="s">
        <v>159</v>
      </c>
      <c r="O104" s="227" t="s">
        <v>151</v>
      </c>
      <c r="P104" s="227" t="s">
        <v>150</v>
      </c>
      <c r="Q104" s="228" t="s">
        <v>158</v>
      </c>
      <c r="R104" s="229" t="s">
        <v>156</v>
      </c>
    </row>
    <row r="105" spans="1:19" s="358" customFormat="1">
      <c r="A105" s="353"/>
      <c r="B105" s="359"/>
      <c r="C105" s="20"/>
      <c r="D105" s="20"/>
      <c r="E105" s="20"/>
      <c r="F105" s="356"/>
      <c r="G105" s="357"/>
      <c r="H105" s="354"/>
      <c r="I105" s="355"/>
      <c r="J105" s="355"/>
      <c r="K105" s="355"/>
      <c r="L105" s="356"/>
      <c r="M105" s="357"/>
      <c r="N105" s="354"/>
      <c r="O105" s="355"/>
      <c r="P105" s="355"/>
      <c r="Q105" s="355"/>
      <c r="R105" s="22"/>
      <c r="S105" s="357"/>
    </row>
    <row r="106" spans="1:19" s="358" customFormat="1">
      <c r="A106" s="353"/>
      <c r="B106" s="19"/>
      <c r="C106" s="360"/>
      <c r="D106" s="360"/>
      <c r="E106" s="360"/>
      <c r="F106" s="356"/>
      <c r="G106" s="357"/>
      <c r="H106" s="19"/>
      <c r="I106" s="20"/>
      <c r="J106" s="20"/>
      <c r="K106" s="20"/>
      <c r="L106" s="22"/>
      <c r="M106" s="357"/>
      <c r="N106" s="354"/>
      <c r="O106" s="355"/>
      <c r="P106" s="355"/>
      <c r="Q106" s="355"/>
      <c r="R106" s="22"/>
      <c r="S106" s="357"/>
    </row>
    <row r="107" spans="1:19" s="358" customFormat="1">
      <c r="A107" s="353"/>
      <c r="B107" s="359"/>
      <c r="C107" s="360"/>
      <c r="D107" s="360"/>
      <c r="E107" s="360"/>
      <c r="F107" s="361"/>
      <c r="G107" s="357"/>
      <c r="H107" s="359"/>
      <c r="I107" s="360"/>
      <c r="J107" s="360"/>
      <c r="K107" s="360"/>
      <c r="L107" s="361"/>
      <c r="M107" s="357"/>
      <c r="N107" s="19"/>
      <c r="O107" s="20"/>
      <c r="P107" s="20"/>
      <c r="Q107" s="20"/>
      <c r="R107" s="22"/>
      <c r="S107" s="357"/>
    </row>
    <row r="108" spans="1:19" s="358" customFormat="1">
      <c r="A108" s="353"/>
      <c r="B108" s="19"/>
      <c r="C108" s="20"/>
      <c r="D108" s="20"/>
      <c r="E108" s="20"/>
      <c r="F108" s="22"/>
      <c r="G108" s="357"/>
      <c r="H108" s="19"/>
      <c r="I108" s="20"/>
      <c r="J108" s="20"/>
      <c r="K108" s="20"/>
      <c r="L108" s="22"/>
      <c r="M108" s="357"/>
      <c r="N108" s="359"/>
      <c r="O108" s="360"/>
      <c r="P108" s="360"/>
      <c r="Q108" s="360"/>
      <c r="R108" s="22"/>
      <c r="S108" s="357"/>
    </row>
    <row r="109" spans="1:19" s="358" customFormat="1">
      <c r="A109" s="353"/>
      <c r="B109" s="359"/>
      <c r="C109" s="360"/>
      <c r="D109" s="360"/>
      <c r="E109" s="360"/>
      <c r="F109" s="361"/>
      <c r="G109" s="357"/>
      <c r="H109" s="359"/>
      <c r="I109" s="360"/>
      <c r="J109" s="360"/>
      <c r="K109" s="360"/>
      <c r="L109" s="361"/>
      <c r="M109" s="357"/>
      <c r="N109" s="359"/>
      <c r="O109" s="360"/>
      <c r="P109" s="360"/>
      <c r="Q109" s="360"/>
      <c r="R109" s="361"/>
      <c r="S109" s="357"/>
    </row>
    <row r="110" spans="1:19" s="358" customFormat="1">
      <c r="A110" s="353"/>
      <c r="B110" s="19"/>
      <c r="C110" s="20"/>
      <c r="D110" s="20"/>
      <c r="E110" s="20"/>
      <c r="F110" s="22"/>
      <c r="G110" s="357"/>
      <c r="H110" s="19"/>
      <c r="I110" s="20"/>
      <c r="J110" s="20"/>
      <c r="K110" s="20"/>
      <c r="L110" s="22"/>
      <c r="M110" s="357"/>
      <c r="N110" s="19"/>
      <c r="O110" s="20"/>
      <c r="P110" s="20"/>
      <c r="Q110" s="20"/>
      <c r="R110" s="22"/>
      <c r="S110" s="357"/>
    </row>
    <row r="111" spans="1:19" s="358" customFormat="1">
      <c r="A111" s="353"/>
      <c r="B111" s="359"/>
      <c r="C111" s="360"/>
      <c r="D111" s="360"/>
      <c r="E111" s="360"/>
      <c r="F111" s="361"/>
      <c r="G111" s="357"/>
      <c r="H111" s="359"/>
      <c r="I111" s="360"/>
      <c r="J111" s="360"/>
      <c r="K111" s="360"/>
      <c r="L111" s="361"/>
      <c r="M111" s="357"/>
      <c r="N111" s="359"/>
      <c r="O111" s="360"/>
      <c r="P111" s="360"/>
      <c r="Q111" s="360"/>
      <c r="R111" s="22"/>
      <c r="S111" s="357"/>
    </row>
    <row r="112" spans="1:19" s="358" customFormat="1">
      <c r="A112" s="353"/>
      <c r="B112" s="19"/>
      <c r="C112" s="20"/>
      <c r="D112" s="20"/>
      <c r="E112" s="20"/>
      <c r="F112" s="22"/>
      <c r="G112" s="357"/>
      <c r="H112" s="19"/>
      <c r="I112" s="20"/>
      <c r="J112" s="20"/>
      <c r="K112" s="20"/>
      <c r="L112" s="22"/>
      <c r="M112" s="357"/>
      <c r="N112" s="19"/>
      <c r="O112" s="20"/>
      <c r="P112" s="20"/>
      <c r="Q112" s="20"/>
      <c r="R112" s="22"/>
      <c r="S112" s="357"/>
    </row>
    <row r="113" spans="1:19" s="358" customFormat="1">
      <c r="A113" s="353"/>
      <c r="B113" s="359"/>
      <c r="C113" s="360"/>
      <c r="D113" s="360"/>
      <c r="E113" s="360"/>
      <c r="F113" s="361"/>
      <c r="G113" s="357"/>
      <c r="H113" s="359"/>
      <c r="I113" s="360"/>
      <c r="J113" s="360"/>
      <c r="K113" s="360"/>
      <c r="L113" s="361"/>
      <c r="M113" s="357"/>
      <c r="N113" s="359"/>
      <c r="O113" s="360"/>
      <c r="P113" s="360"/>
      <c r="Q113" s="360"/>
      <c r="R113" s="361"/>
      <c r="S113" s="357"/>
    </row>
    <row r="114" spans="1:19" s="358" customFormat="1">
      <c r="A114" s="353"/>
      <c r="B114" s="19"/>
      <c r="C114" s="20"/>
      <c r="D114" s="20"/>
      <c r="E114" s="20"/>
      <c r="F114" s="22"/>
      <c r="G114" s="357"/>
      <c r="H114" s="19"/>
      <c r="I114" s="20"/>
      <c r="J114" s="20"/>
      <c r="K114" s="20"/>
      <c r="L114" s="22"/>
      <c r="M114" s="357"/>
      <c r="N114" s="19"/>
      <c r="O114" s="20"/>
      <c r="P114" s="20"/>
      <c r="Q114" s="20"/>
      <c r="R114" s="22"/>
      <c r="S114" s="357"/>
    </row>
    <row r="115" spans="1:19" s="358" customFormat="1">
      <c r="A115" s="353"/>
      <c r="B115" s="359"/>
      <c r="C115" s="360"/>
      <c r="D115" s="360"/>
      <c r="E115" s="360"/>
      <c r="F115" s="361"/>
      <c r="G115" s="357"/>
      <c r="H115" s="359"/>
      <c r="I115" s="360"/>
      <c r="J115" s="360"/>
      <c r="K115" s="360"/>
      <c r="L115" s="361"/>
      <c r="M115" s="357"/>
      <c r="N115" s="359"/>
      <c r="O115" s="360"/>
      <c r="P115" s="360"/>
      <c r="Q115" s="360"/>
      <c r="R115" s="361"/>
      <c r="S115" s="357"/>
    </row>
    <row r="116" spans="1:19" s="358" customFormat="1">
      <c r="A116" s="353"/>
      <c r="B116" s="19"/>
      <c r="C116" s="20"/>
      <c r="D116" s="20"/>
      <c r="E116" s="20"/>
      <c r="F116" s="22"/>
      <c r="G116" s="357"/>
      <c r="H116" s="19"/>
      <c r="I116" s="20"/>
      <c r="J116" s="20"/>
      <c r="K116" s="20"/>
      <c r="L116" s="22"/>
      <c r="M116" s="357"/>
      <c r="N116" s="19"/>
      <c r="O116" s="20"/>
      <c r="P116" s="20"/>
      <c r="Q116" s="20"/>
      <c r="R116" s="22"/>
      <c r="S116" s="357"/>
    </row>
    <row r="117" spans="1:19" s="358" customFormat="1">
      <c r="A117" s="353"/>
      <c r="B117" s="359"/>
      <c r="C117" s="360"/>
      <c r="D117" s="360"/>
      <c r="E117" s="360"/>
      <c r="F117" s="361"/>
      <c r="G117" s="357"/>
      <c r="H117" s="359"/>
      <c r="I117" s="360"/>
      <c r="J117" s="360"/>
      <c r="K117" s="360"/>
      <c r="L117" s="361"/>
      <c r="M117" s="357"/>
      <c r="N117" s="359"/>
      <c r="O117" s="360"/>
      <c r="P117" s="360"/>
      <c r="Q117" s="360"/>
      <c r="R117" s="361"/>
      <c r="S117" s="357"/>
    </row>
    <row r="118" spans="1:19" s="358" customFormat="1">
      <c r="A118" s="353"/>
      <c r="B118" s="19"/>
      <c r="C118" s="21"/>
      <c r="D118" s="21"/>
      <c r="E118" s="21"/>
      <c r="F118" s="22"/>
      <c r="G118" s="357"/>
      <c r="H118" s="19"/>
      <c r="I118" s="21"/>
      <c r="J118" s="21"/>
      <c r="K118" s="21"/>
      <c r="L118" s="22"/>
      <c r="M118" s="357"/>
      <c r="N118" s="19"/>
      <c r="O118" s="21"/>
      <c r="P118" s="21"/>
      <c r="Q118" s="21"/>
      <c r="R118" s="22"/>
      <c r="S118" s="357"/>
    </row>
    <row r="119" spans="1:19" s="358" customFormat="1" ht="12" thickBot="1">
      <c r="A119" s="353"/>
      <c r="B119" s="362"/>
      <c r="C119" s="363"/>
      <c r="D119" s="363"/>
      <c r="E119" s="363"/>
      <c r="F119" s="364"/>
      <c r="G119" s="357"/>
      <c r="H119" s="362"/>
      <c r="I119" s="363"/>
      <c r="J119" s="363"/>
      <c r="K119" s="363"/>
      <c r="L119" s="364"/>
      <c r="M119" s="357"/>
      <c r="N119" s="362"/>
      <c r="O119" s="363"/>
      <c r="P119" s="363"/>
      <c r="Q119" s="363"/>
      <c r="R119" s="364"/>
      <c r="S119" s="357"/>
    </row>
    <row r="120" spans="1:19" ht="12" thickBot="1">
      <c r="B120" s="325" t="s">
        <v>157</v>
      </c>
      <c r="C120" s="326"/>
      <c r="D120" s="326"/>
      <c r="E120" s="326"/>
      <c r="F120" s="327"/>
      <c r="H120" s="319" t="s">
        <v>157</v>
      </c>
      <c r="I120" s="320"/>
      <c r="J120" s="320"/>
      <c r="K120" s="320"/>
      <c r="L120" s="321"/>
      <c r="N120" s="316" t="s">
        <v>157</v>
      </c>
      <c r="O120" s="317"/>
      <c r="P120" s="317"/>
      <c r="Q120" s="317"/>
      <c r="R120" s="318"/>
    </row>
    <row r="121" spans="1:19" s="358" customFormat="1" ht="22.5" customHeight="1" thickBot="1">
      <c r="A121" s="353"/>
      <c r="B121" s="310"/>
      <c r="C121" s="311"/>
      <c r="D121" s="311"/>
      <c r="E121" s="311"/>
      <c r="F121" s="312"/>
      <c r="G121" s="357"/>
      <c r="H121" s="310"/>
      <c r="I121" s="311"/>
      <c r="J121" s="311"/>
      <c r="K121" s="311"/>
      <c r="L121" s="312"/>
      <c r="M121" s="357"/>
      <c r="N121" s="310"/>
      <c r="O121" s="311"/>
      <c r="P121" s="311"/>
      <c r="Q121" s="311"/>
      <c r="R121" s="312"/>
      <c r="S121" s="357"/>
    </row>
    <row r="122" spans="1:19" ht="12" thickBot="1"/>
    <row r="123" spans="1:19" ht="12" thickBot="1">
      <c r="B123" s="328">
        <f>B103+1</f>
        <v>44394</v>
      </c>
      <c r="C123" s="329"/>
      <c r="D123" s="329"/>
      <c r="E123" s="329"/>
      <c r="F123" s="330"/>
      <c r="H123" s="322">
        <f>H103+1</f>
        <v>44401</v>
      </c>
      <c r="I123" s="323"/>
      <c r="J123" s="323"/>
      <c r="K123" s="323"/>
      <c r="L123" s="324"/>
      <c r="N123" s="313">
        <f>N103+1</f>
        <v>44408</v>
      </c>
      <c r="O123" s="314"/>
      <c r="P123" s="314"/>
      <c r="Q123" s="314"/>
      <c r="R123" s="315"/>
    </row>
    <row r="124" spans="1:19" ht="12" thickBot="1">
      <c r="B124" s="218" t="s">
        <v>159</v>
      </c>
      <c r="C124" s="219" t="s">
        <v>151</v>
      </c>
      <c r="D124" s="219" t="s">
        <v>150</v>
      </c>
      <c r="E124" s="220" t="s">
        <v>158</v>
      </c>
      <c r="F124" s="221" t="s">
        <v>156</v>
      </c>
      <c r="H124" s="222" t="s">
        <v>159</v>
      </c>
      <c r="I124" s="223" t="s">
        <v>151</v>
      </c>
      <c r="J124" s="223" t="s">
        <v>150</v>
      </c>
      <c r="K124" s="224" t="s">
        <v>158</v>
      </c>
      <c r="L124" s="225" t="s">
        <v>156</v>
      </c>
      <c r="N124" s="226" t="s">
        <v>159</v>
      </c>
      <c r="O124" s="227" t="s">
        <v>151</v>
      </c>
      <c r="P124" s="227" t="s">
        <v>150</v>
      </c>
      <c r="Q124" s="228" t="s">
        <v>158</v>
      </c>
      <c r="R124" s="229" t="s">
        <v>156</v>
      </c>
    </row>
    <row r="125" spans="1:19" s="358" customFormat="1">
      <c r="A125" s="353"/>
      <c r="B125" s="359"/>
      <c r="C125" s="20"/>
      <c r="D125" s="355"/>
      <c r="E125" s="355"/>
      <c r="F125" s="356"/>
      <c r="G125" s="357"/>
      <c r="H125" s="359"/>
      <c r="I125" s="355"/>
      <c r="J125" s="355"/>
      <c r="K125" s="355"/>
      <c r="L125" s="356"/>
      <c r="M125" s="357"/>
      <c r="N125" s="354"/>
      <c r="O125" s="355"/>
      <c r="P125" s="355"/>
      <c r="Q125" s="355"/>
      <c r="R125" s="356"/>
      <c r="S125" s="357"/>
    </row>
    <row r="126" spans="1:19" s="358" customFormat="1">
      <c r="A126" s="353"/>
      <c r="B126" s="19"/>
      <c r="C126" s="360"/>
      <c r="D126" s="20"/>
      <c r="E126" s="20"/>
      <c r="F126" s="22"/>
      <c r="G126" s="357"/>
      <c r="H126" s="19"/>
      <c r="I126" s="20"/>
      <c r="J126" s="20"/>
      <c r="K126" s="20"/>
      <c r="L126" s="22"/>
      <c r="M126" s="357"/>
      <c r="N126" s="19"/>
      <c r="O126" s="20"/>
      <c r="P126" s="20"/>
      <c r="Q126" s="20"/>
      <c r="R126" s="22"/>
      <c r="S126" s="357"/>
    </row>
    <row r="127" spans="1:19" s="358" customFormat="1">
      <c r="A127" s="353"/>
      <c r="B127" s="359"/>
      <c r="C127" s="360"/>
      <c r="D127" s="360"/>
      <c r="E127" s="360"/>
      <c r="F127" s="361"/>
      <c r="G127" s="357"/>
      <c r="H127" s="354"/>
      <c r="I127" s="360"/>
      <c r="J127" s="360"/>
      <c r="K127" s="360"/>
      <c r="L127" s="361"/>
      <c r="M127" s="357"/>
      <c r="N127" s="359"/>
      <c r="O127" s="360"/>
      <c r="P127" s="360"/>
      <c r="Q127" s="360"/>
      <c r="R127" s="361"/>
      <c r="S127" s="357"/>
    </row>
    <row r="128" spans="1:19" s="358" customFormat="1">
      <c r="A128" s="353"/>
      <c r="B128" s="19"/>
      <c r="C128" s="20"/>
      <c r="D128" s="20"/>
      <c r="E128" s="20"/>
      <c r="F128" s="22"/>
      <c r="G128" s="357"/>
      <c r="H128" s="19"/>
      <c r="I128" s="20"/>
      <c r="J128" s="20"/>
      <c r="K128" s="20"/>
      <c r="L128" s="22"/>
      <c r="M128" s="357"/>
      <c r="N128" s="19"/>
      <c r="O128" s="20"/>
      <c r="P128" s="20"/>
      <c r="Q128" s="20"/>
      <c r="R128" s="22"/>
      <c r="S128" s="357"/>
    </row>
    <row r="129" spans="1:19" s="358" customFormat="1">
      <c r="A129" s="353"/>
      <c r="B129" s="359"/>
      <c r="C129" s="360"/>
      <c r="D129" s="360"/>
      <c r="E129" s="360"/>
      <c r="F129" s="361"/>
      <c r="G129" s="357"/>
      <c r="H129" s="359"/>
      <c r="I129" s="360"/>
      <c r="J129" s="360"/>
      <c r="K129" s="360"/>
      <c r="L129" s="361"/>
      <c r="M129" s="357"/>
      <c r="N129" s="359"/>
      <c r="O129" s="360"/>
      <c r="P129" s="360"/>
      <c r="Q129" s="360"/>
      <c r="R129" s="361"/>
      <c r="S129" s="357"/>
    </row>
    <row r="130" spans="1:19" s="358" customFormat="1">
      <c r="A130" s="353"/>
      <c r="B130" s="19"/>
      <c r="C130" s="20"/>
      <c r="D130" s="20"/>
      <c r="E130" s="20"/>
      <c r="F130" s="22"/>
      <c r="G130" s="357"/>
      <c r="H130" s="19"/>
      <c r="I130" s="20"/>
      <c r="J130" s="20"/>
      <c r="K130" s="20"/>
      <c r="L130" s="22"/>
      <c r="M130" s="357"/>
      <c r="N130" s="19"/>
      <c r="O130" s="20"/>
      <c r="P130" s="20"/>
      <c r="Q130" s="20"/>
      <c r="R130" s="22"/>
      <c r="S130" s="357"/>
    </row>
    <row r="131" spans="1:19" s="358" customFormat="1">
      <c r="A131" s="353"/>
      <c r="B131" s="359"/>
      <c r="C131" s="360"/>
      <c r="D131" s="360"/>
      <c r="E131" s="360"/>
      <c r="F131" s="361"/>
      <c r="G131" s="357"/>
      <c r="H131" s="359"/>
      <c r="I131" s="360"/>
      <c r="J131" s="360"/>
      <c r="K131" s="360"/>
      <c r="L131" s="361"/>
      <c r="M131" s="357"/>
      <c r="N131" s="359"/>
      <c r="O131" s="360"/>
      <c r="P131" s="360"/>
      <c r="Q131" s="360"/>
      <c r="R131" s="361"/>
      <c r="S131" s="357"/>
    </row>
    <row r="132" spans="1:19" s="358" customFormat="1">
      <c r="A132" s="353"/>
      <c r="B132" s="19"/>
      <c r="C132" s="20"/>
      <c r="D132" s="20"/>
      <c r="E132" s="20"/>
      <c r="F132" s="22"/>
      <c r="G132" s="357"/>
      <c r="H132" s="19"/>
      <c r="I132" s="20"/>
      <c r="J132" s="20"/>
      <c r="K132" s="20"/>
      <c r="L132" s="22"/>
      <c r="M132" s="357"/>
      <c r="N132" s="19"/>
      <c r="O132" s="20"/>
      <c r="P132" s="20"/>
      <c r="Q132" s="20"/>
      <c r="R132" s="22"/>
      <c r="S132" s="357"/>
    </row>
    <row r="133" spans="1:19" s="358" customFormat="1">
      <c r="A133" s="353"/>
      <c r="B133" s="359"/>
      <c r="C133" s="360"/>
      <c r="D133" s="360"/>
      <c r="E133" s="360"/>
      <c r="F133" s="361"/>
      <c r="G133" s="357"/>
      <c r="H133" s="359"/>
      <c r="I133" s="360"/>
      <c r="J133" s="360"/>
      <c r="K133" s="360"/>
      <c r="L133" s="361"/>
      <c r="M133" s="357"/>
      <c r="N133" s="359"/>
      <c r="O133" s="360"/>
      <c r="P133" s="360"/>
      <c r="Q133" s="360"/>
      <c r="R133" s="361"/>
      <c r="S133" s="357"/>
    </row>
    <row r="134" spans="1:19" s="358" customFormat="1">
      <c r="A134" s="353"/>
      <c r="B134" s="19"/>
      <c r="C134" s="20"/>
      <c r="D134" s="20"/>
      <c r="E134" s="20"/>
      <c r="F134" s="22"/>
      <c r="G134" s="357"/>
      <c r="H134" s="19"/>
      <c r="I134" s="20"/>
      <c r="J134" s="20"/>
      <c r="K134" s="20"/>
      <c r="L134" s="22"/>
      <c r="M134" s="357"/>
      <c r="N134" s="19"/>
      <c r="O134" s="20"/>
      <c r="P134" s="20"/>
      <c r="Q134" s="20"/>
      <c r="R134" s="22"/>
      <c r="S134" s="357"/>
    </row>
    <row r="135" spans="1:19" s="358" customFormat="1">
      <c r="A135" s="353"/>
      <c r="B135" s="359"/>
      <c r="C135" s="360"/>
      <c r="D135" s="360"/>
      <c r="E135" s="360"/>
      <c r="F135" s="361"/>
      <c r="G135" s="357"/>
      <c r="H135" s="359"/>
      <c r="I135" s="360"/>
      <c r="J135" s="360"/>
      <c r="K135" s="360"/>
      <c r="L135" s="361"/>
      <c r="M135" s="357"/>
      <c r="N135" s="359"/>
      <c r="O135" s="360"/>
      <c r="P135" s="360"/>
      <c r="Q135" s="360"/>
      <c r="R135" s="361"/>
      <c r="S135" s="357"/>
    </row>
    <row r="136" spans="1:19" s="358" customFormat="1">
      <c r="A136" s="353"/>
      <c r="B136" s="19"/>
      <c r="C136" s="20"/>
      <c r="D136" s="20"/>
      <c r="E136" s="20"/>
      <c r="F136" s="22"/>
      <c r="G136" s="357"/>
      <c r="H136" s="19"/>
      <c r="I136" s="20"/>
      <c r="J136" s="20"/>
      <c r="K136" s="20"/>
      <c r="L136" s="22"/>
      <c r="M136" s="357"/>
      <c r="N136" s="19"/>
      <c r="O136" s="20"/>
      <c r="P136" s="20"/>
      <c r="Q136" s="20"/>
      <c r="R136" s="22"/>
      <c r="S136" s="357"/>
    </row>
    <row r="137" spans="1:19" s="358" customFormat="1">
      <c r="A137" s="353"/>
      <c r="B137" s="359"/>
      <c r="C137" s="360"/>
      <c r="D137" s="360"/>
      <c r="E137" s="360"/>
      <c r="F137" s="361"/>
      <c r="G137" s="357"/>
      <c r="H137" s="359"/>
      <c r="I137" s="360"/>
      <c r="J137" s="360"/>
      <c r="K137" s="360"/>
      <c r="L137" s="361"/>
      <c r="M137" s="357"/>
      <c r="N137" s="359"/>
      <c r="O137" s="360"/>
      <c r="P137" s="360"/>
      <c r="Q137" s="360"/>
      <c r="R137" s="361"/>
      <c r="S137" s="357"/>
    </row>
    <row r="138" spans="1:19" s="358" customFormat="1">
      <c r="A138" s="353"/>
      <c r="B138" s="19"/>
      <c r="C138" s="21"/>
      <c r="D138" s="21"/>
      <c r="E138" s="21"/>
      <c r="F138" s="22"/>
      <c r="G138" s="357"/>
      <c r="H138" s="19"/>
      <c r="I138" s="21"/>
      <c r="J138" s="21"/>
      <c r="K138" s="21"/>
      <c r="L138" s="22"/>
      <c r="M138" s="357"/>
      <c r="N138" s="19"/>
      <c r="O138" s="21"/>
      <c r="P138" s="21"/>
      <c r="Q138" s="21"/>
      <c r="R138" s="22"/>
      <c r="S138" s="357"/>
    </row>
    <row r="139" spans="1:19" s="358" customFormat="1" ht="12" thickBot="1">
      <c r="A139" s="353"/>
      <c r="B139" s="362"/>
      <c r="C139" s="363"/>
      <c r="D139" s="363"/>
      <c r="E139" s="363"/>
      <c r="F139" s="364"/>
      <c r="G139" s="357"/>
      <c r="H139" s="362"/>
      <c r="I139" s="363"/>
      <c r="J139" s="363"/>
      <c r="K139" s="363"/>
      <c r="L139" s="364"/>
      <c r="M139" s="357"/>
      <c r="N139" s="362"/>
      <c r="O139" s="363"/>
      <c r="P139" s="363"/>
      <c r="Q139" s="363"/>
      <c r="R139" s="364"/>
      <c r="S139" s="357"/>
    </row>
    <row r="140" spans="1:19" ht="12" thickBot="1">
      <c r="B140" s="325" t="s">
        <v>157</v>
      </c>
      <c r="C140" s="326"/>
      <c r="D140" s="326"/>
      <c r="E140" s="326"/>
      <c r="F140" s="327"/>
      <c r="H140" s="319" t="s">
        <v>157</v>
      </c>
      <c r="I140" s="320"/>
      <c r="J140" s="320"/>
      <c r="K140" s="320"/>
      <c r="L140" s="321"/>
      <c r="N140" s="316" t="s">
        <v>157</v>
      </c>
      <c r="O140" s="317"/>
      <c r="P140" s="317"/>
      <c r="Q140" s="317"/>
      <c r="R140" s="318"/>
    </row>
    <row r="141" spans="1:19" s="358" customFormat="1" ht="22.5" customHeight="1" thickBot="1">
      <c r="A141" s="353"/>
      <c r="B141" s="310"/>
      <c r="C141" s="311"/>
      <c r="D141" s="311"/>
      <c r="E141" s="311"/>
      <c r="F141" s="312"/>
      <c r="G141" s="357"/>
      <c r="H141" s="310"/>
      <c r="I141" s="311"/>
      <c r="J141" s="311"/>
      <c r="K141" s="311"/>
      <c r="L141" s="312"/>
      <c r="M141" s="357"/>
      <c r="N141" s="310"/>
      <c r="O141" s="311"/>
      <c r="P141" s="311"/>
      <c r="Q141" s="311"/>
      <c r="R141" s="312"/>
      <c r="S141" s="357"/>
    </row>
  </sheetData>
  <sheetProtection sheet="1" objects="1" scenarios="1" selectLockedCells="1"/>
  <mergeCells count="66">
    <mergeCell ref="B140:F140"/>
    <mergeCell ref="H140:L140"/>
    <mergeCell ref="N140:R140"/>
    <mergeCell ref="B141:F141"/>
    <mergeCell ref="H141:L141"/>
    <mergeCell ref="N141:R141"/>
    <mergeCell ref="B121:F121"/>
    <mergeCell ref="H121:L121"/>
    <mergeCell ref="N121:R121"/>
    <mergeCell ref="B123:F123"/>
    <mergeCell ref="H123:L123"/>
    <mergeCell ref="N123:R123"/>
    <mergeCell ref="B103:F103"/>
    <mergeCell ref="H103:L103"/>
    <mergeCell ref="N103:R103"/>
    <mergeCell ref="B120:F120"/>
    <mergeCell ref="H120:L120"/>
    <mergeCell ref="N120:R120"/>
    <mergeCell ref="B100:F100"/>
    <mergeCell ref="H100:L100"/>
    <mergeCell ref="N100:R100"/>
    <mergeCell ref="B101:F101"/>
    <mergeCell ref="H101:L101"/>
    <mergeCell ref="N101:R101"/>
    <mergeCell ref="B81:F81"/>
    <mergeCell ref="H81:L81"/>
    <mergeCell ref="N81:R81"/>
    <mergeCell ref="B83:F83"/>
    <mergeCell ref="H83:L83"/>
    <mergeCell ref="N83:R83"/>
    <mergeCell ref="B63:F63"/>
    <mergeCell ref="H63:L63"/>
    <mergeCell ref="N63:R63"/>
    <mergeCell ref="B80:F80"/>
    <mergeCell ref="H80:L80"/>
    <mergeCell ref="N80:R80"/>
    <mergeCell ref="B60:F60"/>
    <mergeCell ref="H60:L60"/>
    <mergeCell ref="N60:R60"/>
    <mergeCell ref="B61:F61"/>
    <mergeCell ref="H61:L61"/>
    <mergeCell ref="N61:R61"/>
    <mergeCell ref="B41:F41"/>
    <mergeCell ref="H41:L41"/>
    <mergeCell ref="N41:R41"/>
    <mergeCell ref="B43:F43"/>
    <mergeCell ref="H43:L43"/>
    <mergeCell ref="N43:R43"/>
    <mergeCell ref="B23:F23"/>
    <mergeCell ref="H23:L23"/>
    <mergeCell ref="N23:R23"/>
    <mergeCell ref="B40:F40"/>
    <mergeCell ref="H40:L40"/>
    <mergeCell ref="N40:R40"/>
    <mergeCell ref="B20:F20"/>
    <mergeCell ref="H20:L20"/>
    <mergeCell ref="N20:R20"/>
    <mergeCell ref="B21:F21"/>
    <mergeCell ref="H21:L21"/>
    <mergeCell ref="N21:R21"/>
    <mergeCell ref="D2:F2"/>
    <mergeCell ref="J2:L2"/>
    <mergeCell ref="P2:R2"/>
    <mergeCell ref="B3:F3"/>
    <mergeCell ref="H3:L3"/>
    <mergeCell ref="N3:R3"/>
  </mergeCells>
  <dataValidations count="2">
    <dataValidation type="list" allowBlank="1" showInputMessage="1" showErrorMessage="1" sqref="B5:B19 B25:B39 B45:B59 B65:B79 B85:B99 B105:B119 H25:H39 H45:H59 H125:H139 N5:N19 N25:N39 N65:N79 N125:N139 N105:N119 N45:N48 N50:N59 N86:N99 H5:H19 B128:B139 H85:H99 H73:H79 H105:H119 H65:H69" xr:uid="{D6765019-17DF-4434-A63F-183DA8A7106B}">
      <formula1>CellSampleNames</formula1>
    </dataValidation>
    <dataValidation type="list" allowBlank="1" showInputMessage="1" showErrorMessage="1" sqref="C5:C19 C25:C39 C45:C59 C65:C79 C85:C99 C105:C119 I25:I39 I45:I59 I125:I139 O5:O19 O25:O39 O65:O79 O125:O139 O105:O119 O86:O99 O45:O48 O50:O59 I65:I69 C128:C139 I85:I99 I73:I79 I105:I119 I5:I19" xr:uid="{9F639DF5-4D3D-4C3B-A927-F6CA079BD8FC}">
      <formula1>Activities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Save1">
              <controlPr defaultSize="0" print="0" autoFill="0" autoPict="0" macro="[2]!SaveData">
                <anchor moveWithCells="1" sizeWithCells="1">
                  <from>
                    <xdr:col>1</xdr:col>
                    <xdr:colOff>19050</xdr:colOff>
                    <xdr:row>2</xdr:row>
                    <xdr:rowOff>19050</xdr:rowOff>
                  </from>
                  <to>
                    <xdr:col>2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Save2">
              <controlPr defaultSize="0" print="0" autoFill="0" autoPict="0" macro="[2]!SaveData">
                <anchor moveWithCells="1" sizeWithCells="1">
                  <from>
                    <xdr:col>1</xdr:col>
                    <xdr:colOff>19050</xdr:colOff>
                    <xdr:row>22</xdr:row>
                    <xdr:rowOff>19050</xdr:rowOff>
                  </from>
                  <to>
                    <xdr:col>2</xdr:col>
                    <xdr:colOff>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Save3">
              <controlPr defaultSize="0" print="0" autoFill="0" autoPict="0" macro="[2]!SaveData">
                <anchor moveWithCells="1" sizeWithCells="1">
                  <from>
                    <xdr:col>1</xdr:col>
                    <xdr:colOff>19050</xdr:colOff>
                    <xdr:row>42</xdr:row>
                    <xdr:rowOff>19050</xdr:rowOff>
                  </from>
                  <to>
                    <xdr:col>2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Save4">
              <controlPr defaultSize="0" print="0" autoFill="0" autoPict="0" macro="[2]!SaveData">
                <anchor moveWithCells="1" sizeWithCells="1">
                  <from>
                    <xdr:col>1</xdr:col>
                    <xdr:colOff>19050</xdr:colOff>
                    <xdr:row>62</xdr:row>
                    <xdr:rowOff>19050</xdr:rowOff>
                  </from>
                  <to>
                    <xdr:col>2</xdr:col>
                    <xdr:colOff>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Save5">
              <controlPr defaultSize="0" print="0" autoFill="0" autoPict="0" macro="[2]!SaveData">
                <anchor moveWithCells="1" sizeWithCells="1">
                  <from>
                    <xdr:col>1</xdr:col>
                    <xdr:colOff>19050</xdr:colOff>
                    <xdr:row>82</xdr:row>
                    <xdr:rowOff>19050</xdr:rowOff>
                  </from>
                  <to>
                    <xdr:col>2</xdr:col>
                    <xdr:colOff>0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Save6">
              <controlPr defaultSize="0" print="0" autoFill="0" autoPict="0" macro="[2]!SaveData">
                <anchor moveWithCells="1" sizeWithCells="1">
                  <from>
                    <xdr:col>1</xdr:col>
                    <xdr:colOff>19050</xdr:colOff>
                    <xdr:row>102</xdr:row>
                    <xdr:rowOff>19050</xdr:rowOff>
                  </from>
                  <to>
                    <xdr:col>2</xdr:col>
                    <xdr:colOff>0</xdr:colOff>
                    <xdr:row>102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Save7">
              <controlPr defaultSize="0" print="0" autoFill="0" autoPict="0" macro="[2]!SaveData">
                <anchor moveWithCells="1" sizeWithCells="1">
                  <from>
                    <xdr:col>1</xdr:col>
                    <xdr:colOff>19050</xdr:colOff>
                    <xdr:row>122</xdr:row>
                    <xdr:rowOff>19050</xdr:rowOff>
                  </from>
                  <to>
                    <xdr:col>2</xdr:col>
                    <xdr:colOff>0</xdr:colOff>
                    <xdr:row>122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Save14">
              <controlPr defaultSize="0" print="0" autoFill="0" autoPict="0" macro="[2]!SaveData">
                <anchor moveWithCells="1" sizeWithCells="1">
                  <from>
                    <xdr:col>7</xdr:col>
                    <xdr:colOff>19050</xdr:colOff>
                    <xdr:row>122</xdr:row>
                    <xdr:rowOff>19050</xdr:rowOff>
                  </from>
                  <to>
                    <xdr:col>8</xdr:col>
                    <xdr:colOff>0</xdr:colOff>
                    <xdr:row>122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Save21">
              <controlPr defaultSize="0" print="0" autoFill="0" autoPict="0" macro="[2]!SaveData">
                <anchor moveWithCells="1" sizeWithCells="1">
                  <from>
                    <xdr:col>13</xdr:col>
                    <xdr:colOff>19050</xdr:colOff>
                    <xdr:row>122</xdr:row>
                    <xdr:rowOff>19050</xdr:rowOff>
                  </from>
                  <to>
                    <xdr:col>14</xdr:col>
                    <xdr:colOff>0</xdr:colOff>
                    <xdr:row>122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Save13">
              <controlPr defaultSize="0" print="0" autoFill="0" autoPict="0" macro="[2]!SaveData">
                <anchor moveWithCells="1" sizeWithCells="1">
                  <from>
                    <xdr:col>7</xdr:col>
                    <xdr:colOff>19050</xdr:colOff>
                    <xdr:row>102</xdr:row>
                    <xdr:rowOff>19050</xdr:rowOff>
                  </from>
                  <to>
                    <xdr:col>8</xdr:col>
                    <xdr:colOff>0</xdr:colOff>
                    <xdr:row>102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Save20">
              <controlPr defaultSize="0" print="0" autoFill="0" autoPict="0" macro="[2]!SaveData">
                <anchor moveWithCells="1" sizeWithCells="1">
                  <from>
                    <xdr:col>13</xdr:col>
                    <xdr:colOff>19050</xdr:colOff>
                    <xdr:row>102</xdr:row>
                    <xdr:rowOff>19050</xdr:rowOff>
                  </from>
                  <to>
                    <xdr:col>14</xdr:col>
                    <xdr:colOff>0</xdr:colOff>
                    <xdr:row>102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Save12">
              <controlPr defaultSize="0" print="0" autoFill="0" autoPict="0" macro="[2]!SaveData">
                <anchor moveWithCells="1" sizeWithCells="1">
                  <from>
                    <xdr:col>7</xdr:col>
                    <xdr:colOff>19050</xdr:colOff>
                    <xdr:row>82</xdr:row>
                    <xdr:rowOff>19050</xdr:rowOff>
                  </from>
                  <to>
                    <xdr:col>8</xdr:col>
                    <xdr:colOff>0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Save19">
              <controlPr defaultSize="0" print="0" autoFill="0" autoPict="0" macro="[2]!SaveData">
                <anchor moveWithCells="1" sizeWithCells="1">
                  <from>
                    <xdr:col>13</xdr:col>
                    <xdr:colOff>19050</xdr:colOff>
                    <xdr:row>82</xdr:row>
                    <xdr:rowOff>19050</xdr:rowOff>
                  </from>
                  <to>
                    <xdr:col>14</xdr:col>
                    <xdr:colOff>0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Save11">
              <controlPr defaultSize="0" print="0" autoFill="0" autoPict="0" macro="[2]!SaveData">
                <anchor moveWithCells="1" sizeWithCells="1">
                  <from>
                    <xdr:col>7</xdr:col>
                    <xdr:colOff>19050</xdr:colOff>
                    <xdr:row>62</xdr:row>
                    <xdr:rowOff>19050</xdr:rowOff>
                  </from>
                  <to>
                    <xdr:col>8</xdr:col>
                    <xdr:colOff>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Save18">
              <controlPr defaultSize="0" print="0" autoFill="0" autoPict="0" macro="[2]!SaveData">
                <anchor moveWithCells="1" sizeWithCells="1">
                  <from>
                    <xdr:col>13</xdr:col>
                    <xdr:colOff>19050</xdr:colOff>
                    <xdr:row>62</xdr:row>
                    <xdr:rowOff>19050</xdr:rowOff>
                  </from>
                  <to>
                    <xdr:col>14</xdr:col>
                    <xdr:colOff>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Save17">
              <controlPr defaultSize="0" print="0" autoFill="0" autoPict="0" macro="[2]!SaveData">
                <anchor moveWithCells="1" sizeWithCells="1">
                  <from>
                    <xdr:col>13</xdr:col>
                    <xdr:colOff>19050</xdr:colOff>
                    <xdr:row>42</xdr:row>
                    <xdr:rowOff>19050</xdr:rowOff>
                  </from>
                  <to>
                    <xdr:col>14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Save10">
              <controlPr defaultSize="0" print="0" autoFill="0" autoPict="0" macro="[2]!SaveData">
                <anchor moveWithCells="1" sizeWithCells="1">
                  <from>
                    <xdr:col>7</xdr:col>
                    <xdr:colOff>19050</xdr:colOff>
                    <xdr:row>42</xdr:row>
                    <xdr:rowOff>19050</xdr:rowOff>
                  </from>
                  <to>
                    <xdr:col>8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Save9">
              <controlPr defaultSize="0" print="0" autoFill="0" autoPict="0" macro="[2]!SaveData">
                <anchor moveWithCells="1" siz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8</xdr:col>
                    <xdr:colOff>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Save16">
              <controlPr defaultSize="0" print="0" autoFill="0" autoPict="0" macro="[2]!SaveData">
                <anchor moveWithCells="1" sizeWithCells="1">
                  <from>
                    <xdr:col>13</xdr:col>
                    <xdr:colOff>19050</xdr:colOff>
                    <xdr:row>22</xdr:row>
                    <xdr:rowOff>19050</xdr:rowOff>
                  </from>
                  <to>
                    <xdr:col>14</xdr:col>
                    <xdr:colOff>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Save15">
              <controlPr defaultSize="0" print="0" autoFill="0" autoPict="0" macro="[2]!SaveData">
                <anchor moveWithCells="1" sizeWithCells="1">
                  <from>
                    <xdr:col>13</xdr:col>
                    <xdr:colOff>19050</xdr:colOff>
                    <xdr:row>2</xdr:row>
                    <xdr:rowOff>19050</xdr:rowOff>
                  </from>
                  <to>
                    <xdr:col>14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Save8">
              <controlPr defaultSize="0" print="0" autoFill="0" autoPict="0" macro="[2]!SaveData">
                <anchor moveWithCells="1" siz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8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SelectClone">
              <controlPr defaultSize="0" print="0" autoFill="0" autoPict="0" macro="[2]!SelectClone">
                <anchor moveWithCells="1" sizeWithCells="1">
                  <from>
                    <xdr:col>3</xdr:col>
                    <xdr:colOff>381000</xdr:colOff>
                    <xdr:row>2</xdr:row>
                    <xdr:rowOff>19050</xdr:rowOff>
                  </from>
                  <to>
                    <xdr:col>5</xdr:col>
                    <xdr:colOff>1504950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2]!SelectClone">
                <anchor moveWithCells="1" sizeWithCells="1">
                  <from>
                    <xdr:col>3</xdr:col>
                    <xdr:colOff>414338</xdr:colOff>
                    <xdr:row>22</xdr:row>
                    <xdr:rowOff>14288</xdr:rowOff>
                  </from>
                  <to>
                    <xdr:col>5</xdr:col>
                    <xdr:colOff>1547813</xdr:colOff>
                    <xdr:row>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2]!SelectClone">
                <anchor moveWithCells="1" sizeWithCells="1">
                  <from>
                    <xdr:col>10</xdr:col>
                    <xdr:colOff>52388</xdr:colOff>
                    <xdr:row>2</xdr:row>
                    <xdr:rowOff>14288</xdr:rowOff>
                  </from>
                  <to>
                    <xdr:col>11</xdr:col>
                    <xdr:colOff>1600200</xdr:colOff>
                    <xdr:row>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2]!SelectClone">
                <anchor moveWithCells="1" sizeWithCells="1">
                  <from>
                    <xdr:col>10</xdr:col>
                    <xdr:colOff>52388</xdr:colOff>
                    <xdr:row>22</xdr:row>
                    <xdr:rowOff>14288</xdr:rowOff>
                  </from>
                  <to>
                    <xdr:col>11</xdr:col>
                    <xdr:colOff>1600200</xdr:colOff>
                    <xdr:row>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2]!SelectClone">
                <anchor moveWithCells="1" sizeWithCells="1">
                  <from>
                    <xdr:col>4</xdr:col>
                    <xdr:colOff>33338</xdr:colOff>
                    <xdr:row>42</xdr:row>
                    <xdr:rowOff>14288</xdr:rowOff>
                  </from>
                  <to>
                    <xdr:col>5</xdr:col>
                    <xdr:colOff>1581150</xdr:colOff>
                    <xdr:row>42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2]!SelectClone">
                <anchor moveWithCells="1" sizeWithCells="1">
                  <from>
                    <xdr:col>10</xdr:col>
                    <xdr:colOff>23813</xdr:colOff>
                    <xdr:row>42</xdr:row>
                    <xdr:rowOff>19050</xdr:rowOff>
                  </from>
                  <to>
                    <xdr:col>11</xdr:col>
                    <xdr:colOff>1576388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2]!SelectClone">
                <anchor moveWithCells="1" sizeWithCells="1">
                  <from>
                    <xdr:col>4</xdr:col>
                    <xdr:colOff>52388</xdr:colOff>
                    <xdr:row>62</xdr:row>
                    <xdr:rowOff>14288</xdr:rowOff>
                  </from>
                  <to>
                    <xdr:col>5</xdr:col>
                    <xdr:colOff>1595438</xdr:colOff>
                    <xdr:row>62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2]!SelectClone">
                <anchor moveWithCells="1" sizeWithCells="1">
                  <from>
                    <xdr:col>10</xdr:col>
                    <xdr:colOff>23813</xdr:colOff>
                    <xdr:row>62</xdr:row>
                    <xdr:rowOff>14288</xdr:rowOff>
                  </from>
                  <to>
                    <xdr:col>11</xdr:col>
                    <xdr:colOff>1576388</xdr:colOff>
                    <xdr:row>62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2]!SelectClone">
                <anchor moveWithCells="1" sizeWithCells="1">
                  <from>
                    <xdr:col>4</xdr:col>
                    <xdr:colOff>52388</xdr:colOff>
                    <xdr:row>122</xdr:row>
                    <xdr:rowOff>14288</xdr:rowOff>
                  </from>
                  <to>
                    <xdr:col>5</xdr:col>
                    <xdr:colOff>1595438</xdr:colOff>
                    <xdr:row>122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2]!SelectClone">
                <anchor moveWithCells="1" sizeWithCells="1">
                  <from>
                    <xdr:col>10</xdr:col>
                    <xdr:colOff>23813</xdr:colOff>
                    <xdr:row>122</xdr:row>
                    <xdr:rowOff>14288</xdr:rowOff>
                  </from>
                  <to>
                    <xdr:col>11</xdr:col>
                    <xdr:colOff>1576388</xdr:colOff>
                    <xdr:row>122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2]!SelectClone">
                <anchor moveWithCells="1" sizeWithCells="1">
                  <from>
                    <xdr:col>16</xdr:col>
                    <xdr:colOff>52388</xdr:colOff>
                    <xdr:row>122</xdr:row>
                    <xdr:rowOff>14288</xdr:rowOff>
                  </from>
                  <to>
                    <xdr:col>17</xdr:col>
                    <xdr:colOff>1595438</xdr:colOff>
                    <xdr:row>122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2]!SelectClone">
                <anchor moveWithCells="1" sizeWithCells="1">
                  <from>
                    <xdr:col>16</xdr:col>
                    <xdr:colOff>33338</xdr:colOff>
                    <xdr:row>102</xdr:row>
                    <xdr:rowOff>14288</xdr:rowOff>
                  </from>
                  <to>
                    <xdr:col>17</xdr:col>
                    <xdr:colOff>1581150</xdr:colOff>
                    <xdr:row>102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2]!SelectClone">
                <anchor moveWithCells="1" sizeWithCells="1">
                  <from>
                    <xdr:col>16</xdr:col>
                    <xdr:colOff>52388</xdr:colOff>
                    <xdr:row>81</xdr:row>
                    <xdr:rowOff>152400</xdr:rowOff>
                  </from>
                  <to>
                    <xdr:col>17</xdr:col>
                    <xdr:colOff>1600200</xdr:colOff>
                    <xdr:row>82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2]!SelectClone">
                <anchor moveWithCells="1" sizeWithCells="1">
                  <from>
                    <xdr:col>16</xdr:col>
                    <xdr:colOff>52388</xdr:colOff>
                    <xdr:row>62</xdr:row>
                    <xdr:rowOff>14288</xdr:rowOff>
                  </from>
                  <to>
                    <xdr:col>17</xdr:col>
                    <xdr:colOff>1595438</xdr:colOff>
                    <xdr:row>62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2]!SelectClone">
                <anchor moveWithCells="1" sizeWithCells="1">
                  <from>
                    <xdr:col>16</xdr:col>
                    <xdr:colOff>14288</xdr:colOff>
                    <xdr:row>42</xdr:row>
                    <xdr:rowOff>4763</xdr:rowOff>
                  </from>
                  <to>
                    <xdr:col>17</xdr:col>
                    <xdr:colOff>1557338</xdr:colOff>
                    <xdr:row>42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2]!SelectClone">
                <anchor moveWithCells="1" sizeWithCells="1">
                  <from>
                    <xdr:col>16</xdr:col>
                    <xdr:colOff>14288</xdr:colOff>
                    <xdr:row>21</xdr:row>
                    <xdr:rowOff>152400</xdr:rowOff>
                  </from>
                  <to>
                    <xdr:col>17</xdr:col>
                    <xdr:colOff>1557338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2]!SelectClone">
                <anchor moveWithCells="1" sizeWithCells="1">
                  <from>
                    <xdr:col>16</xdr:col>
                    <xdr:colOff>57150</xdr:colOff>
                    <xdr:row>2</xdr:row>
                    <xdr:rowOff>14288</xdr:rowOff>
                  </from>
                  <to>
                    <xdr:col>17</xdr:col>
                    <xdr:colOff>1604963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073A0-8B0B-45AC-96F2-A2B4D7BC6B49}">
  <sheetPr codeName="WSMetadataTemplate"/>
  <dimension ref="A1:AI59"/>
  <sheetViews>
    <sheetView showGridLines="0" zoomScale="80" zoomScaleNormal="80" workbookViewId="0">
      <selection activeCell="D4" sqref="D4"/>
    </sheetView>
  </sheetViews>
  <sheetFormatPr defaultColWidth="8.796875" defaultRowHeight="11.65"/>
  <cols>
    <col min="1" max="1" width="11.19921875" style="12" customWidth="1"/>
    <col min="2" max="3" width="11.796875" style="12" customWidth="1"/>
    <col min="4" max="4" width="18.19921875" style="12" customWidth="1"/>
    <col min="5" max="6" width="11.19921875" style="12" customWidth="1"/>
    <col min="7" max="7" width="11.46484375" style="12" customWidth="1"/>
    <col min="8" max="8" width="11.796875" style="12" customWidth="1"/>
    <col min="9" max="9" width="13.46484375" style="12" customWidth="1"/>
    <col min="10" max="10" width="11.46484375" style="12" customWidth="1"/>
    <col min="11" max="11" width="12" style="12" customWidth="1"/>
    <col min="12" max="12" width="9.53125" style="12" customWidth="1"/>
    <col min="13" max="13" width="13.19921875" style="12" customWidth="1"/>
    <col min="14" max="14" width="11.796875" style="12" customWidth="1"/>
    <col min="15" max="16" width="8.796875" style="12"/>
    <col min="17" max="17" width="10.19921875" style="12" customWidth="1"/>
    <col min="18" max="18" width="11.53125" style="12" customWidth="1"/>
    <col min="19" max="19" width="15.796875" style="12" customWidth="1"/>
    <col min="20" max="20" width="8.796875" style="12"/>
    <col min="21" max="21" width="10.19921875" style="12" customWidth="1"/>
    <col min="22" max="22" width="8.796875" style="12"/>
    <col min="23" max="23" width="10.53125" style="12" customWidth="1"/>
    <col min="24" max="16384" width="8.796875" style="12"/>
  </cols>
  <sheetData>
    <row r="1" spans="1:35" ht="14.65" thickBot="1">
      <c r="A1" s="11" t="s">
        <v>164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</row>
    <row r="2" spans="1:35" ht="14.65" thickBot="1">
      <c r="A2" s="11" t="s">
        <v>0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P2" s="27" t="s">
        <v>3</v>
      </c>
      <c r="Q2" s="162" t="s">
        <v>42</v>
      </c>
      <c r="R2" s="28"/>
      <c r="S2" s="104" t="s">
        <v>5</v>
      </c>
      <c r="T2" s="162" t="s">
        <v>6</v>
      </c>
      <c r="U2" s="8"/>
      <c r="V2" s="8"/>
      <c r="W2" s="8"/>
      <c r="X2" s="8"/>
      <c r="Y2" s="8"/>
    </row>
    <row r="3" spans="1:35" ht="14.65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P3" s="8"/>
      <c r="Q3" s="8"/>
      <c r="R3" s="8"/>
      <c r="S3" s="8"/>
      <c r="T3" s="8"/>
      <c r="U3" s="8"/>
      <c r="V3" s="8"/>
      <c r="W3" s="8"/>
      <c r="X3" s="8"/>
      <c r="Y3" s="8"/>
    </row>
    <row r="4" spans="1:35" ht="14.25">
      <c r="A4" s="51" t="s">
        <v>171</v>
      </c>
      <c r="B4" s="188" t="s">
        <v>163</v>
      </c>
      <c r="C4" s="188"/>
      <c r="D4" s="164" t="s">
        <v>101</v>
      </c>
      <c r="E4" s="188"/>
      <c r="F4" s="188"/>
      <c r="G4" s="188"/>
      <c r="H4" s="188"/>
      <c r="I4" s="188"/>
      <c r="J4" s="234"/>
      <c r="K4" s="234"/>
      <c r="L4" s="234"/>
      <c r="M4" s="263"/>
      <c r="P4" s="29" t="s">
        <v>165</v>
      </c>
      <c r="Q4" s="30"/>
      <c r="R4" s="163" t="s">
        <v>210</v>
      </c>
      <c r="S4" s="111" t="s">
        <v>211</v>
      </c>
      <c r="T4" s="332" t="s">
        <v>166</v>
      </c>
      <c r="U4" s="332"/>
      <c r="V4" s="31"/>
      <c r="W4" s="8"/>
      <c r="X4" s="8"/>
      <c r="Y4" s="8"/>
    </row>
    <row r="5" spans="1:35" ht="14.25">
      <c r="A5" s="189"/>
      <c r="B5" s="190" t="s">
        <v>2</v>
      </c>
      <c r="C5" s="190"/>
      <c r="D5" s="146"/>
      <c r="E5" s="190"/>
      <c r="F5" s="190"/>
      <c r="G5" s="190"/>
      <c r="H5" s="190"/>
      <c r="I5" s="190"/>
      <c r="J5" s="235"/>
      <c r="K5" s="260"/>
      <c r="L5" s="260"/>
      <c r="M5" s="264"/>
      <c r="P5" s="32" t="s">
        <v>7</v>
      </c>
      <c r="Q5" s="11"/>
      <c r="R5" s="163" t="s">
        <v>43</v>
      </c>
      <c r="S5" s="33" t="s">
        <v>11</v>
      </c>
      <c r="T5" s="162">
        <v>41</v>
      </c>
      <c r="U5" s="8"/>
      <c r="V5" s="34"/>
      <c r="W5" s="8"/>
      <c r="X5" s="8"/>
      <c r="Y5" s="8"/>
    </row>
    <row r="6" spans="1:35" ht="14.65" thickBot="1">
      <c r="A6" s="189"/>
      <c r="B6" s="190"/>
      <c r="C6" s="105"/>
      <c r="D6" s="106"/>
      <c r="E6" s="190"/>
      <c r="F6" s="190"/>
      <c r="G6" s="190"/>
      <c r="H6" s="190"/>
      <c r="I6" s="190"/>
      <c r="J6" s="235"/>
      <c r="K6" s="260"/>
      <c r="L6" s="260"/>
      <c r="M6" s="264"/>
      <c r="N6" s="26"/>
      <c r="O6" s="26"/>
      <c r="P6" s="35" t="s">
        <v>167</v>
      </c>
      <c r="Q6" s="163" t="s">
        <v>44</v>
      </c>
      <c r="R6" s="36" t="s">
        <v>168</v>
      </c>
      <c r="S6" s="163" t="s">
        <v>44</v>
      </c>
      <c r="T6" s="37" t="s">
        <v>12</v>
      </c>
      <c r="U6" s="107"/>
      <c r="V6" s="133"/>
      <c r="W6" s="8"/>
      <c r="X6" s="8"/>
      <c r="Y6" s="8"/>
    </row>
    <row r="7" spans="1:35" ht="14.65" thickBot="1">
      <c r="A7" s="189"/>
      <c r="B7" s="191" t="s">
        <v>8</v>
      </c>
      <c r="C7" s="192"/>
      <c r="D7" s="190" t="s">
        <v>9</v>
      </c>
      <c r="E7" s="193"/>
      <c r="F7" s="190"/>
      <c r="G7" s="191" t="s">
        <v>10</v>
      </c>
      <c r="H7" s="48">
        <f>T5+1+E7</f>
        <v>42</v>
      </c>
      <c r="I7" s="190"/>
      <c r="J7" s="235"/>
      <c r="K7" s="260"/>
      <c r="L7" s="260"/>
      <c r="M7" s="264"/>
      <c r="N7" s="26"/>
      <c r="O7" s="26"/>
      <c r="P7" s="8"/>
      <c r="Q7" s="8"/>
      <c r="R7" s="8"/>
      <c r="S7" s="8"/>
      <c r="T7" s="8"/>
      <c r="U7" s="8"/>
      <c r="V7" s="8"/>
      <c r="W7" s="8"/>
      <c r="X7" s="8"/>
      <c r="Y7" s="8"/>
    </row>
    <row r="8" spans="1:35" ht="14.65" thickBot="1">
      <c r="A8" s="189"/>
      <c r="B8" s="190" t="s">
        <v>170</v>
      </c>
      <c r="C8" s="190"/>
      <c r="D8" s="193"/>
      <c r="E8" s="190"/>
      <c r="F8" s="190"/>
      <c r="G8" s="190"/>
      <c r="H8" s="190"/>
      <c r="I8" s="190"/>
      <c r="J8" s="235"/>
      <c r="K8" s="260"/>
      <c r="L8" s="260"/>
      <c r="M8" s="264"/>
      <c r="N8" s="26"/>
      <c r="O8" s="26"/>
      <c r="P8" s="108" t="s">
        <v>169</v>
      </c>
      <c r="Q8" s="28"/>
      <c r="R8" s="162" t="s">
        <v>32</v>
      </c>
      <c r="S8" s="109" t="s">
        <v>33</v>
      </c>
      <c r="T8" s="28"/>
      <c r="U8" s="162" t="s">
        <v>34</v>
      </c>
      <c r="V8" s="110" t="s">
        <v>35</v>
      </c>
      <c r="W8" s="28"/>
      <c r="X8" s="132" t="s">
        <v>36</v>
      </c>
      <c r="Y8" s="8"/>
    </row>
    <row r="9" spans="1:35" ht="14.65" thickBot="1">
      <c r="A9" s="194"/>
      <c r="B9" s="49"/>
      <c r="C9" s="49"/>
      <c r="D9" s="49"/>
      <c r="E9" s="49"/>
      <c r="F9" s="49"/>
      <c r="G9" s="49"/>
      <c r="H9" s="49"/>
      <c r="I9" s="49"/>
      <c r="J9" s="8"/>
      <c r="K9" s="10"/>
      <c r="L9" s="261"/>
      <c r="M9" s="265"/>
      <c r="N9" s="26"/>
      <c r="O9" s="26"/>
      <c r="P9" s="8"/>
      <c r="Q9" s="8"/>
      <c r="R9" s="8"/>
      <c r="S9" s="8"/>
      <c r="T9" s="8"/>
      <c r="U9" s="8"/>
      <c r="V9" s="8"/>
      <c r="W9" s="8"/>
      <c r="X9" s="8"/>
      <c r="Y9" s="8"/>
    </row>
    <row r="10" spans="1:35" ht="14.25">
      <c r="A10" s="195"/>
      <c r="B10" s="49"/>
      <c r="C10" s="50"/>
      <c r="D10" s="15"/>
      <c r="E10" s="50"/>
      <c r="F10" s="49"/>
      <c r="G10" s="49"/>
      <c r="H10" s="49"/>
      <c r="I10" s="49"/>
      <c r="J10" s="236"/>
      <c r="K10" s="10"/>
      <c r="L10" s="10"/>
      <c r="M10" s="154"/>
      <c r="P10" s="39" t="s">
        <v>13</v>
      </c>
      <c r="Q10" s="40"/>
      <c r="R10" s="40"/>
      <c r="S10" s="343" t="s">
        <v>14</v>
      </c>
      <c r="T10" s="343"/>
      <c r="U10" s="343"/>
      <c r="V10" s="41" t="s">
        <v>15</v>
      </c>
      <c r="W10" s="150" t="s">
        <v>16</v>
      </c>
      <c r="X10" s="30"/>
      <c r="Y10" s="30"/>
      <c r="Z10" s="151"/>
      <c r="AA10" s="151"/>
      <c r="AB10" s="151"/>
      <c r="AC10" s="152"/>
    </row>
    <row r="11" spans="1:35" ht="14.25">
      <c r="A11" s="196"/>
      <c r="B11" s="197" t="s">
        <v>22</v>
      </c>
      <c r="C11" s="198"/>
      <c r="D11" s="193"/>
      <c r="E11" s="198"/>
      <c r="F11" s="199" t="s">
        <v>24</v>
      </c>
      <c r="G11" s="193"/>
      <c r="H11" s="200" t="str">
        <f>IF(G11="m-Cherry","mCh",IF(G11="eGFP","GFP",""))</f>
        <v/>
      </c>
      <c r="I11" s="200"/>
      <c r="J11" s="237"/>
      <c r="K11" s="262"/>
      <c r="L11" s="269" t="str">
        <f>IF(ISNUMBER(SEARCH(D11,S10)),"","CHECK PLASMID INFO")</f>
        <v/>
      </c>
      <c r="M11" s="266"/>
      <c r="P11" s="42"/>
      <c r="Q11" s="7"/>
      <c r="R11" s="7"/>
      <c r="S11" s="153"/>
      <c r="T11" s="10"/>
      <c r="U11" s="10"/>
      <c r="V11" s="10"/>
      <c r="W11" s="10"/>
      <c r="X11" s="10"/>
      <c r="Y11" s="10"/>
      <c r="Z11" s="149"/>
      <c r="AA11" s="149"/>
      <c r="AB11" s="149"/>
      <c r="AC11" s="154"/>
    </row>
    <row r="12" spans="1:35" ht="14.25">
      <c r="A12" s="196"/>
      <c r="B12" s="198" t="s">
        <v>26</v>
      </c>
      <c r="C12" s="198"/>
      <c r="D12" s="193"/>
      <c r="E12" s="200"/>
      <c r="F12" s="200"/>
      <c r="G12" s="200"/>
      <c r="H12" s="200"/>
      <c r="I12" s="200"/>
      <c r="J12" s="237"/>
      <c r="K12" s="262"/>
      <c r="L12" s="270" t="str">
        <f>IF(ISNUMBER(SEARCH(G11,S12)),"","CHECK PLASMID INFO")</f>
        <v/>
      </c>
      <c r="M12" s="266"/>
      <c r="P12" s="158"/>
      <c r="Q12" s="156" t="s">
        <v>17</v>
      </c>
      <c r="R12" s="155"/>
      <c r="S12" s="333" t="s">
        <v>25</v>
      </c>
      <c r="T12" s="333"/>
      <c r="U12" s="147"/>
      <c r="V12" s="43"/>
      <c r="W12" s="341" t="s">
        <v>224</v>
      </c>
      <c r="X12" s="341"/>
      <c r="Y12" s="147"/>
      <c r="Z12" s="43"/>
      <c r="AA12" s="341" t="s">
        <v>225</v>
      </c>
      <c r="AB12" s="341"/>
      <c r="AC12" s="160"/>
      <c r="AD12" s="161"/>
    </row>
    <row r="13" spans="1:35" ht="14.25">
      <c r="A13" s="196"/>
      <c r="B13" s="198" t="s">
        <v>29</v>
      </c>
      <c r="C13" s="198"/>
      <c r="D13" s="193"/>
      <c r="E13" s="200"/>
      <c r="F13" s="200"/>
      <c r="G13" s="199" t="s">
        <v>15</v>
      </c>
      <c r="H13" s="193"/>
      <c r="I13" s="200"/>
      <c r="J13" s="259"/>
      <c r="K13" s="204" t="s">
        <v>257</v>
      </c>
      <c r="L13" s="279"/>
      <c r="M13" s="267"/>
      <c r="P13" s="159"/>
      <c r="Q13" s="157"/>
      <c r="R13" s="155" t="s">
        <v>223</v>
      </c>
      <c r="S13" s="333" t="s">
        <v>19</v>
      </c>
      <c r="T13" s="333"/>
      <c r="U13" s="333"/>
      <c r="V13" s="43"/>
      <c r="W13" s="341" t="s">
        <v>20</v>
      </c>
      <c r="X13" s="341"/>
      <c r="Y13" s="341"/>
      <c r="Z13" s="43"/>
      <c r="AA13" s="341" t="s">
        <v>20</v>
      </c>
      <c r="AB13" s="341"/>
      <c r="AC13" s="342"/>
      <c r="AD13" s="161"/>
    </row>
    <row r="14" spans="1:35" ht="14.65" thickBot="1">
      <c r="A14" s="201"/>
      <c r="B14" s="202"/>
      <c r="C14" s="202"/>
      <c r="D14" s="203"/>
      <c r="E14" s="203"/>
      <c r="F14" s="203"/>
      <c r="G14" s="203"/>
      <c r="H14" s="203"/>
      <c r="I14" s="203"/>
      <c r="J14" s="238"/>
      <c r="K14" s="238"/>
      <c r="L14" s="238"/>
      <c r="M14" s="268"/>
      <c r="N14" s="131"/>
      <c r="P14" s="159"/>
      <c r="Q14" s="157"/>
      <c r="R14" s="155" t="s">
        <v>15</v>
      </c>
      <c r="S14" s="165" t="s">
        <v>16</v>
      </c>
      <c r="T14" s="147"/>
      <c r="U14" s="147"/>
      <c r="V14" s="43"/>
      <c r="W14" s="341" t="s">
        <v>21</v>
      </c>
      <c r="X14" s="341"/>
      <c r="Y14" s="147"/>
      <c r="Z14" s="43"/>
      <c r="AA14" s="341" t="s">
        <v>21</v>
      </c>
      <c r="AB14" s="341"/>
      <c r="AC14" s="160"/>
      <c r="AD14" s="161"/>
    </row>
    <row r="15" spans="1:35" ht="14.65" thickBo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P15" s="44"/>
      <c r="Q15" s="45"/>
      <c r="R15" s="45"/>
      <c r="S15" s="38"/>
      <c r="T15" s="38"/>
      <c r="U15" s="38"/>
      <c r="V15" s="46"/>
      <c r="W15" s="38"/>
      <c r="X15" s="38"/>
      <c r="Y15" s="148"/>
      <c r="Z15" s="46"/>
      <c r="AA15" s="38"/>
      <c r="AB15" s="38"/>
      <c r="AC15" s="47"/>
    </row>
    <row r="16" spans="1:35" ht="14.65" thickBot="1">
      <c r="A16" s="51" t="s">
        <v>171</v>
      </c>
      <c r="B16" s="52" t="s">
        <v>242</v>
      </c>
      <c r="C16" s="53"/>
      <c r="D16" s="54"/>
      <c r="E16" s="55" t="s">
        <v>243</v>
      </c>
      <c r="F16" s="56"/>
      <c r="G16" s="53"/>
      <c r="H16" s="57"/>
      <c r="AA16" s="12" t="s">
        <v>226</v>
      </c>
    </row>
    <row r="17" spans="1:26" ht="14.25">
      <c r="A17" s="58"/>
      <c r="B17" s="59"/>
      <c r="C17" s="59"/>
      <c r="D17" s="59"/>
      <c r="E17" s="59"/>
      <c r="F17" s="59"/>
      <c r="G17" s="59"/>
      <c r="H17" s="60"/>
      <c r="N17" s="26"/>
    </row>
    <row r="18" spans="1:26" ht="14.25">
      <c r="A18" s="239" t="s">
        <v>244</v>
      </c>
      <c r="B18" s="97"/>
      <c r="C18" s="205"/>
      <c r="D18" s="112" t="s">
        <v>200</v>
      </c>
      <c r="E18" s="113" t="s">
        <v>216</v>
      </c>
      <c r="F18" s="59"/>
      <c r="G18" s="59"/>
      <c r="H18" s="60"/>
    </row>
    <row r="19" spans="1:26" ht="14.25">
      <c r="A19" s="58"/>
      <c r="B19" s="59" t="s">
        <v>172</v>
      </c>
      <c r="C19" s="59"/>
      <c r="D19" s="59">
        <v>4</v>
      </c>
      <c r="E19" s="59">
        <f>D19*C18</f>
        <v>0</v>
      </c>
      <c r="F19" s="59"/>
      <c r="G19" s="59"/>
      <c r="H19" s="60"/>
    </row>
    <row r="20" spans="1:26" ht="14.65" thickBot="1">
      <c r="A20" s="58"/>
      <c r="B20" s="59" t="s">
        <v>173</v>
      </c>
      <c r="C20" s="59"/>
      <c r="D20" s="59">
        <v>2.5</v>
      </c>
      <c r="E20" s="59">
        <f>D20*C18</f>
        <v>0</v>
      </c>
      <c r="F20" s="59"/>
      <c r="G20" s="59"/>
      <c r="H20" s="60"/>
      <c r="K20" s="149"/>
      <c r="P20" s="11" t="s">
        <v>220</v>
      </c>
    </row>
    <row r="21" spans="1:26" ht="14.25">
      <c r="A21" s="58"/>
      <c r="B21" s="59" t="s">
        <v>218</v>
      </c>
      <c r="C21" s="59"/>
      <c r="D21" s="59"/>
      <c r="E21" s="59" t="e">
        <f>E49+E50</f>
        <v>#VALUE!</v>
      </c>
      <c r="F21" s="59"/>
      <c r="G21" s="59" t="s">
        <v>174</v>
      </c>
      <c r="H21" s="60"/>
      <c r="P21" s="350"/>
      <c r="Q21" s="351"/>
      <c r="R21" s="351"/>
      <c r="S21" s="351"/>
      <c r="T21" s="351"/>
      <c r="U21" s="351"/>
      <c r="V21" s="351"/>
      <c r="W21" s="352"/>
    </row>
    <row r="22" spans="1:26" ht="14.65" thickBot="1">
      <c r="A22" s="58"/>
      <c r="B22" s="59"/>
      <c r="C22" s="59"/>
      <c r="D22" s="59"/>
      <c r="E22" s="62"/>
      <c r="F22" s="59"/>
      <c r="G22" s="59"/>
      <c r="H22" s="60"/>
      <c r="P22" s="344"/>
      <c r="Q22" s="345"/>
      <c r="R22" s="345"/>
      <c r="S22" s="345"/>
      <c r="T22" s="345"/>
      <c r="U22" s="345"/>
      <c r="V22" s="345"/>
      <c r="W22" s="346"/>
    </row>
    <row r="23" spans="1:26" ht="14.65" thickBot="1">
      <c r="A23" s="58"/>
      <c r="B23" s="114" t="s">
        <v>245</v>
      </c>
      <c r="C23" s="56"/>
      <c r="D23" s="272" t="s">
        <v>251</v>
      </c>
      <c r="E23" s="63" t="e">
        <f>SUM(E19:E21)</f>
        <v>#VALUE!</v>
      </c>
      <c r="F23" s="64" t="s">
        <v>217</v>
      </c>
      <c r="G23" s="53"/>
      <c r="H23" s="60"/>
      <c r="P23" s="344"/>
      <c r="Q23" s="345"/>
      <c r="R23" s="345"/>
      <c r="S23" s="345"/>
      <c r="T23" s="345"/>
      <c r="U23" s="345"/>
      <c r="V23" s="345"/>
      <c r="W23" s="346"/>
    </row>
    <row r="24" spans="1:26" ht="14.65" thickBot="1">
      <c r="A24" s="65"/>
      <c r="B24" s="66"/>
      <c r="C24" s="66"/>
      <c r="D24" s="66"/>
      <c r="E24" s="67"/>
      <c r="F24" s="68"/>
      <c r="G24" s="66"/>
      <c r="H24" s="69"/>
      <c r="P24" s="347"/>
      <c r="Q24" s="348"/>
      <c r="R24" s="348"/>
      <c r="S24" s="348"/>
      <c r="T24" s="348"/>
      <c r="U24" s="348"/>
      <c r="V24" s="348"/>
      <c r="W24" s="349"/>
    </row>
    <row r="25" spans="1:26" ht="12" thickBot="1"/>
    <row r="26" spans="1:26" ht="14.65" thickBot="1">
      <c r="A26" s="184" t="s">
        <v>171</v>
      </c>
      <c r="B26" s="185" t="s">
        <v>175</v>
      </c>
      <c r="C26" s="75"/>
      <c r="D26" s="75"/>
      <c r="E26" s="75"/>
      <c r="F26" s="75"/>
      <c r="G26" s="75"/>
      <c r="H26" s="75"/>
      <c r="I26" s="75" t="s">
        <v>176</v>
      </c>
      <c r="J26" s="75"/>
      <c r="K26" s="75"/>
      <c r="L26" s="75"/>
      <c r="M26" s="76"/>
    </row>
    <row r="27" spans="1:26" ht="15" thickBot="1">
      <c r="A27" s="71"/>
      <c r="B27" s="72"/>
      <c r="C27" s="73" t="str">
        <f>IF(VALUE(RIGHT(B28))= 0, "CHOOSE VALUES &lt; 10 and &gt; 0", " ")</f>
        <v xml:space="preserve"> </v>
      </c>
      <c r="D27" s="74"/>
      <c r="E27" s="75"/>
      <c r="F27" s="334" t="s">
        <v>177</v>
      </c>
      <c r="G27" s="335"/>
      <c r="H27" s="336"/>
      <c r="I27" s="118" t="s">
        <v>178</v>
      </c>
      <c r="J27" s="127" t="s">
        <v>179</v>
      </c>
      <c r="K27" s="128"/>
      <c r="L27" s="123" t="s">
        <v>180</v>
      </c>
      <c r="M27" s="76"/>
      <c r="P27" s="11" t="s">
        <v>221</v>
      </c>
    </row>
    <row r="28" spans="1:26" ht="14.65">
      <c r="A28" s="77" t="s">
        <v>181</v>
      </c>
      <c r="B28" s="166" t="s">
        <v>182</v>
      </c>
      <c r="C28" s="70"/>
      <c r="D28" s="78" t="s">
        <v>183</v>
      </c>
      <c r="E28" s="167">
        <v>4</v>
      </c>
      <c r="F28" s="79" t="s">
        <v>184</v>
      </c>
      <c r="G28" s="119">
        <v>20</v>
      </c>
      <c r="H28" s="240" t="s">
        <v>185</v>
      </c>
      <c r="I28" s="121">
        <f>G28/J28</f>
        <v>5</v>
      </c>
      <c r="J28" s="168">
        <v>4</v>
      </c>
      <c r="K28" s="240" t="s">
        <v>185</v>
      </c>
      <c r="L28" s="124">
        <f>((E28*0.000000001)/(J28*0.000001))*1000</f>
        <v>1</v>
      </c>
      <c r="M28" s="80"/>
      <c r="P28" s="137"/>
      <c r="Q28" s="138"/>
      <c r="R28" s="138"/>
      <c r="S28" s="138"/>
      <c r="T28" s="138"/>
      <c r="U28" s="138"/>
      <c r="V28" s="138"/>
      <c r="W28" s="138"/>
      <c r="X28" s="138"/>
      <c r="Y28" s="138"/>
      <c r="Z28" s="139"/>
    </row>
    <row r="29" spans="1:26" ht="14.65">
      <c r="A29" s="81"/>
      <c r="B29" s="70"/>
      <c r="C29" s="70"/>
      <c r="D29" s="78" t="s">
        <v>186</v>
      </c>
      <c r="E29" s="115">
        <f>E28*RIGHT(B28)</f>
        <v>12</v>
      </c>
      <c r="F29" s="241" t="s">
        <v>187</v>
      </c>
      <c r="G29" s="116">
        <v>20</v>
      </c>
      <c r="H29" s="240" t="s">
        <v>185</v>
      </c>
      <c r="I29" s="120">
        <f>G29/J29</f>
        <v>5</v>
      </c>
      <c r="J29" s="169">
        <v>4</v>
      </c>
      <c r="K29" s="240" t="s">
        <v>185</v>
      </c>
      <c r="L29" s="125">
        <f>((E29*0.000000001)/(J29*0.000001))*1000</f>
        <v>3.0000000000000004</v>
      </c>
      <c r="M29" s="80"/>
      <c r="P29" s="140"/>
      <c r="Q29" s="141"/>
      <c r="R29" s="141"/>
      <c r="S29" s="141"/>
      <c r="T29" s="141"/>
      <c r="U29" s="141"/>
      <c r="V29" s="141"/>
      <c r="W29" s="141"/>
      <c r="X29" s="141"/>
      <c r="Y29" s="141"/>
      <c r="Z29" s="142"/>
    </row>
    <row r="30" spans="1:26" ht="15" thickBot="1">
      <c r="A30" s="81"/>
      <c r="B30" s="70"/>
      <c r="C30" s="70"/>
      <c r="D30" s="82" t="s">
        <v>188</v>
      </c>
      <c r="E30" s="134">
        <v>0.8</v>
      </c>
      <c r="F30" s="83" t="s">
        <v>189</v>
      </c>
      <c r="G30" s="135">
        <v>0.95</v>
      </c>
      <c r="H30" s="117" t="s">
        <v>190</v>
      </c>
      <c r="I30" s="122">
        <f>G30/J30</f>
        <v>1.1874999999999998</v>
      </c>
      <c r="J30" s="170">
        <v>0.8</v>
      </c>
      <c r="K30" s="117" t="s">
        <v>190</v>
      </c>
      <c r="L30" s="126">
        <f>E30/J30</f>
        <v>1</v>
      </c>
      <c r="M30" s="80"/>
      <c r="P30" s="140"/>
      <c r="Q30" s="141"/>
      <c r="R30" s="141"/>
      <c r="S30" s="141"/>
      <c r="T30" s="141"/>
      <c r="U30" s="141"/>
      <c r="V30" s="141"/>
      <c r="W30" s="141"/>
      <c r="X30" s="141"/>
      <c r="Y30" s="141"/>
      <c r="Z30" s="142"/>
    </row>
    <row r="31" spans="1:26" ht="14.65" thickBot="1">
      <c r="A31" s="81"/>
      <c r="B31" s="70"/>
      <c r="C31" s="70"/>
      <c r="D31" s="70"/>
      <c r="E31" s="70"/>
      <c r="F31" s="70"/>
      <c r="G31" s="70"/>
      <c r="H31" s="70"/>
      <c r="I31" s="75"/>
      <c r="J31" s="70"/>
      <c r="K31" s="70"/>
      <c r="L31" s="70"/>
      <c r="M31" s="80"/>
      <c r="P31" s="140"/>
      <c r="Q31" s="141"/>
      <c r="R31" s="141"/>
      <c r="S31" s="141"/>
      <c r="T31" s="141"/>
      <c r="U31" s="141"/>
      <c r="V31" s="141"/>
      <c r="W31" s="141"/>
      <c r="X31" s="141"/>
      <c r="Y31" s="141"/>
      <c r="Z31" s="142"/>
    </row>
    <row r="32" spans="1:26" ht="14.25">
      <c r="A32" s="81"/>
      <c r="B32" s="70"/>
      <c r="C32" s="70"/>
      <c r="D32" s="70"/>
      <c r="E32" s="70"/>
      <c r="F32" s="70"/>
      <c r="G32" s="70"/>
      <c r="H32" s="70"/>
      <c r="I32" s="70"/>
      <c r="J32" s="70"/>
      <c r="K32" s="84" t="s">
        <v>191</v>
      </c>
      <c r="L32" s="85">
        <f>SUM(L28:L31)</f>
        <v>5</v>
      </c>
      <c r="M32" s="242" t="e">
        <f>IF(OR((E36&gt;" "),(I36&gt;" ")),"RECALCULATE VOLUMES", " ")</f>
        <v>#DIV/0!</v>
      </c>
      <c r="P32" s="140"/>
      <c r="Q32" s="141"/>
      <c r="R32" s="141"/>
      <c r="S32" s="141"/>
      <c r="T32" s="141"/>
      <c r="U32" s="141"/>
      <c r="V32" s="141"/>
      <c r="W32" s="141"/>
      <c r="X32" s="141"/>
      <c r="Y32" s="141"/>
      <c r="Z32" s="142"/>
    </row>
    <row r="33" spans="1:26" ht="14.25">
      <c r="A33" s="243" t="s">
        <v>246</v>
      </c>
      <c r="B33" s="243"/>
      <c r="C33" s="272" t="s">
        <v>247</v>
      </c>
      <c r="D33" s="244" t="s">
        <v>248</v>
      </c>
      <c r="E33" s="245">
        <f>IF(C33="strip well",20,100)</f>
        <v>20</v>
      </c>
      <c r="F33" s="246"/>
      <c r="G33" s="244" t="s">
        <v>249</v>
      </c>
      <c r="H33" s="272"/>
      <c r="I33" s="247"/>
      <c r="J33" s="243"/>
      <c r="K33" s="243"/>
      <c r="L33" s="243"/>
      <c r="M33" s="243"/>
      <c r="P33" s="140"/>
      <c r="Q33" s="141"/>
      <c r="R33" s="141"/>
      <c r="S33" s="141"/>
      <c r="T33" s="141"/>
      <c r="U33" s="141"/>
      <c r="V33" s="141"/>
      <c r="W33" s="141"/>
      <c r="X33" s="141"/>
      <c r="Y33" s="141"/>
      <c r="Z33" s="142"/>
    </row>
    <row r="34" spans="1:26" ht="14.65">
      <c r="A34" s="81" t="s">
        <v>192</v>
      </c>
      <c r="B34" s="70"/>
      <c r="C34" s="89">
        <f>E33*H33</f>
        <v>0</v>
      </c>
      <c r="D34" s="248" t="s">
        <v>250</v>
      </c>
      <c r="E34" s="70"/>
      <c r="F34" s="70"/>
      <c r="G34" s="70"/>
      <c r="H34" s="249"/>
      <c r="I34" s="249"/>
      <c r="J34" s="70"/>
      <c r="K34" s="250"/>
      <c r="L34" s="70"/>
      <c r="M34" s="80"/>
      <c r="P34" s="140"/>
      <c r="Q34" s="141"/>
      <c r="R34" s="141"/>
      <c r="S34" s="141"/>
      <c r="T34" s="141"/>
      <c r="U34" s="141"/>
      <c r="V34" s="141"/>
      <c r="W34" s="141"/>
      <c r="X34" s="141"/>
      <c r="Y34" s="141"/>
      <c r="Z34" s="142"/>
    </row>
    <row r="35" spans="1:26" ht="14.65">
      <c r="A35" s="81" t="s">
        <v>193</v>
      </c>
      <c r="B35" s="70"/>
      <c r="C35" s="88">
        <f>L32</f>
        <v>5</v>
      </c>
      <c r="D35" s="248" t="s">
        <v>250</v>
      </c>
      <c r="E35" s="70"/>
      <c r="F35" s="70"/>
      <c r="G35" s="70"/>
      <c r="H35" s="70"/>
      <c r="I35" s="70"/>
      <c r="J35" s="70"/>
      <c r="K35" s="70"/>
      <c r="L35" s="70"/>
      <c r="M35" s="80"/>
      <c r="P35" s="140"/>
      <c r="Q35" s="141"/>
      <c r="R35" s="141"/>
      <c r="S35" s="141"/>
      <c r="T35" s="141"/>
      <c r="U35" s="141"/>
      <c r="V35" s="141"/>
      <c r="W35" s="141"/>
      <c r="X35" s="141"/>
      <c r="Y35" s="141"/>
      <c r="Z35" s="142"/>
    </row>
    <row r="36" spans="1:26" ht="14.65">
      <c r="A36" s="81" t="s">
        <v>194</v>
      </c>
      <c r="B36" s="70"/>
      <c r="C36" s="89">
        <f>SUM(C34:C35)</f>
        <v>5</v>
      </c>
      <c r="D36" s="248" t="s">
        <v>250</v>
      </c>
      <c r="E36" s="251" t="e">
        <f>IF(AND(E33 = 20,C36/H33&gt;25),"TOTAL VOL per vessel CANT Be &gt; 25uL"," ")</f>
        <v>#DIV/0!</v>
      </c>
      <c r="F36" s="252"/>
      <c r="G36" s="253"/>
      <c r="H36" s="252"/>
      <c r="I36" s="253" t="e">
        <f>IF(AND(E33&gt;20,C36/H33&gt; 120),"TOTAL VOL per vessel CANT Be &gt; 120uL"," ")</f>
        <v>#DIV/0!</v>
      </c>
      <c r="J36" s="254"/>
      <c r="K36" s="254"/>
      <c r="L36" s="254"/>
      <c r="M36" s="80"/>
      <c r="P36" s="140"/>
      <c r="Q36" s="141"/>
      <c r="R36" s="141"/>
      <c r="S36" s="141"/>
      <c r="T36" s="141"/>
      <c r="U36" s="141"/>
      <c r="V36" s="141"/>
      <c r="W36" s="141"/>
      <c r="X36" s="141"/>
      <c r="Y36" s="141"/>
      <c r="Z36" s="142"/>
    </row>
    <row r="37" spans="1:26" ht="14.65" thickBot="1">
      <c r="A37" s="86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187"/>
      <c r="P37" s="140"/>
      <c r="Q37" s="141"/>
      <c r="R37" s="141"/>
      <c r="S37" s="141"/>
      <c r="T37" s="141"/>
      <c r="U37" s="141"/>
      <c r="V37" s="141"/>
      <c r="W37" s="141"/>
      <c r="X37" s="141"/>
      <c r="Y37" s="141"/>
      <c r="Z37" s="142"/>
    </row>
    <row r="38" spans="1:26" ht="14.25">
      <c r="A38" s="81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80"/>
      <c r="P38" s="140"/>
      <c r="Q38" s="141"/>
      <c r="R38" s="141"/>
      <c r="S38" s="141"/>
      <c r="T38" s="141"/>
      <c r="U38" s="141"/>
      <c r="V38" s="141"/>
      <c r="W38" s="141"/>
      <c r="X38" s="141"/>
      <c r="Y38" s="141"/>
      <c r="Z38" s="142"/>
    </row>
    <row r="39" spans="1:26" ht="14.25">
      <c r="A39" s="81" t="s">
        <v>195</v>
      </c>
      <c r="B39" s="70"/>
      <c r="C39" s="255">
        <f>E28</f>
        <v>4</v>
      </c>
      <c r="D39" s="70"/>
      <c r="E39" s="90" t="s">
        <v>183</v>
      </c>
      <c r="F39" s="256">
        <f>E28</f>
        <v>4</v>
      </c>
      <c r="G39" s="70"/>
      <c r="H39" s="70"/>
      <c r="I39" s="70"/>
      <c r="J39" s="70"/>
      <c r="K39" s="70"/>
      <c r="L39" s="70"/>
      <c r="M39" s="80"/>
      <c r="P39" s="140"/>
      <c r="Q39" s="141"/>
      <c r="R39" s="141"/>
      <c r="S39" s="141"/>
      <c r="T39" s="141"/>
      <c r="U39" s="141"/>
      <c r="V39" s="141"/>
      <c r="W39" s="141"/>
      <c r="X39" s="141"/>
      <c r="Y39" s="141"/>
      <c r="Z39" s="142"/>
    </row>
    <row r="40" spans="1:26" ht="14.65">
      <c r="A40" s="81" t="s">
        <v>222</v>
      </c>
      <c r="B40" s="70"/>
      <c r="C40" s="136">
        <v>400000</v>
      </c>
      <c r="D40" s="70"/>
      <c r="E40" s="129" t="s">
        <v>219</v>
      </c>
      <c r="F40" s="256">
        <f>E30</f>
        <v>0.8</v>
      </c>
      <c r="G40" s="70"/>
      <c r="H40" s="70"/>
      <c r="I40" s="70"/>
      <c r="J40" s="70"/>
      <c r="K40" s="70"/>
      <c r="L40" s="70"/>
      <c r="M40" s="80"/>
      <c r="P40" s="140"/>
      <c r="Q40" s="141"/>
      <c r="R40" s="141"/>
      <c r="S40" s="141"/>
      <c r="T40" s="141"/>
      <c r="U40" s="141"/>
      <c r="V40" s="141"/>
      <c r="W40" s="141"/>
      <c r="X40" s="141"/>
      <c r="Y40" s="141"/>
      <c r="Z40" s="142"/>
    </row>
    <row r="41" spans="1:26" ht="14.25">
      <c r="A41" s="81"/>
      <c r="B41" s="186"/>
      <c r="C41" s="186"/>
      <c r="D41" s="186"/>
      <c r="E41" s="186"/>
      <c r="F41" s="186"/>
      <c r="G41" s="186"/>
      <c r="H41" s="186"/>
      <c r="I41" s="186"/>
      <c r="J41" s="186"/>
      <c r="K41" s="186"/>
      <c r="L41" s="186"/>
      <c r="M41" s="80"/>
      <c r="P41" s="140"/>
      <c r="Q41" s="141"/>
      <c r="R41" s="141"/>
      <c r="S41" s="141"/>
      <c r="T41" s="141"/>
      <c r="U41" s="141"/>
      <c r="V41" s="141"/>
      <c r="W41" s="141"/>
      <c r="X41" s="141"/>
      <c r="Y41" s="141"/>
      <c r="Z41" s="142"/>
    </row>
    <row r="42" spans="1:26" ht="14.25">
      <c r="A42" s="275"/>
      <c r="B42" s="275"/>
      <c r="C42" s="276"/>
      <c r="D42" s="275"/>
      <c r="E42" s="277"/>
      <c r="F42" s="278"/>
      <c r="G42" s="275"/>
      <c r="H42" s="275"/>
      <c r="I42" s="275"/>
      <c r="J42" s="275"/>
      <c r="K42" s="275"/>
      <c r="L42" s="275"/>
      <c r="M42" s="275"/>
      <c r="P42" s="140"/>
      <c r="Q42" s="141"/>
      <c r="R42" s="141"/>
      <c r="S42" s="141"/>
      <c r="T42" s="141"/>
      <c r="U42" s="141"/>
      <c r="V42" s="141"/>
      <c r="W42" s="141"/>
      <c r="X42" s="141"/>
      <c r="Y42" s="141"/>
      <c r="Z42" s="142"/>
    </row>
    <row r="43" spans="1:26" ht="14.25">
      <c r="A43" s="274"/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P43" s="140"/>
      <c r="Q43" s="141"/>
      <c r="R43" s="141"/>
      <c r="S43" s="141"/>
      <c r="T43" s="141"/>
      <c r="U43" s="141"/>
      <c r="V43" s="141"/>
      <c r="W43" s="141"/>
      <c r="X43" s="141"/>
      <c r="Y43" s="141"/>
      <c r="Z43" s="142"/>
    </row>
    <row r="44" spans="1:26" ht="14.25">
      <c r="A44" s="11" t="s">
        <v>208</v>
      </c>
      <c r="D44" s="11" t="str">
        <f>CONCATENATE(D5,H11,D12)</f>
        <v/>
      </c>
      <c r="P44" s="140"/>
      <c r="Q44" s="141"/>
      <c r="R44" s="141"/>
      <c r="S44" s="141"/>
      <c r="T44" s="141"/>
      <c r="U44" s="141"/>
      <c r="V44" s="141"/>
      <c r="W44" s="141"/>
      <c r="X44" s="141"/>
      <c r="Y44" s="141"/>
      <c r="Z44" s="142"/>
    </row>
    <row r="45" spans="1:26" ht="14.65" customHeight="1">
      <c r="J45" s="337" t="s">
        <v>230</v>
      </c>
      <c r="K45" s="337"/>
      <c r="L45" s="337"/>
      <c r="M45" s="337"/>
      <c r="N45" s="337"/>
      <c r="O45" s="338"/>
      <c r="P45" s="140"/>
      <c r="Q45" s="141"/>
      <c r="R45" s="141"/>
      <c r="S45" s="141"/>
      <c r="T45" s="141"/>
      <c r="U45" s="141"/>
      <c r="V45" s="141"/>
      <c r="W45" s="141"/>
      <c r="X45" s="141"/>
      <c r="Y45" s="141"/>
      <c r="Z45" s="142"/>
    </row>
    <row r="46" spans="1:26" ht="15" customHeight="1" thickBot="1">
      <c r="J46" s="339"/>
      <c r="K46" s="339"/>
      <c r="L46" s="339"/>
      <c r="M46" s="339"/>
      <c r="N46" s="339"/>
      <c r="O46" s="340"/>
      <c r="P46" s="140"/>
      <c r="Q46" s="141"/>
      <c r="R46" s="141"/>
      <c r="S46" s="141"/>
      <c r="T46" s="141"/>
      <c r="U46" s="141"/>
      <c r="V46" s="141"/>
      <c r="W46" s="141"/>
      <c r="X46" s="141"/>
      <c r="Y46" s="141"/>
      <c r="Z46" s="142"/>
    </row>
    <row r="47" spans="1:26" ht="14.65" thickBot="1">
      <c r="A47" s="184" t="s">
        <v>171</v>
      </c>
      <c r="B47" s="52" t="s">
        <v>196</v>
      </c>
      <c r="C47" s="56"/>
      <c r="D47" s="56"/>
      <c r="E47" s="55" t="s">
        <v>197</v>
      </c>
      <c r="F47" s="56"/>
      <c r="G47" s="53"/>
      <c r="H47" s="91" t="s">
        <v>198</v>
      </c>
      <c r="I47" s="53" t="s">
        <v>199</v>
      </c>
      <c r="J47" s="54"/>
      <c r="K47" s="56"/>
      <c r="L47" s="56"/>
      <c r="M47" s="56"/>
      <c r="N47" s="56"/>
      <c r="O47" s="54"/>
      <c r="P47" s="140"/>
      <c r="Q47" s="141"/>
      <c r="R47" s="141"/>
      <c r="S47" s="141"/>
      <c r="T47" s="141"/>
      <c r="U47" s="141"/>
      <c r="V47" s="141"/>
      <c r="W47" s="141"/>
      <c r="X47" s="141"/>
      <c r="Y47" s="141"/>
      <c r="Z47" s="142"/>
    </row>
    <row r="48" spans="1:26" ht="14.65" thickBot="1">
      <c r="A48" s="92"/>
      <c r="B48" s="93"/>
      <c r="C48" s="59"/>
      <c r="D48" s="59"/>
      <c r="E48" s="59"/>
      <c r="F48" s="61"/>
      <c r="G48" s="94"/>
      <c r="H48" s="59"/>
      <c r="I48" s="59"/>
      <c r="J48" s="94"/>
      <c r="K48" s="95"/>
      <c r="L48" s="54"/>
      <c r="M48" s="54"/>
      <c r="N48" s="57"/>
      <c r="O48" s="130"/>
      <c r="P48" s="140"/>
      <c r="Q48" s="141"/>
      <c r="R48" s="141"/>
      <c r="S48" s="141"/>
      <c r="T48" s="141"/>
      <c r="U48" s="141"/>
      <c r="V48" s="141"/>
      <c r="W48" s="141"/>
      <c r="X48" s="141"/>
      <c r="Y48" s="141"/>
      <c r="Z48" s="142"/>
    </row>
    <row r="49" spans="1:26" ht="14.65" thickBot="1">
      <c r="A49" s="58"/>
      <c r="B49" s="59"/>
      <c r="C49" s="96" t="s">
        <v>228</v>
      </c>
      <c r="D49" s="59"/>
      <c r="E49" s="96" t="s">
        <v>229</v>
      </c>
      <c r="F49" s="97"/>
      <c r="G49" s="183" t="s">
        <v>231</v>
      </c>
      <c r="H49" s="59"/>
      <c r="I49" s="96" t="s">
        <v>201</v>
      </c>
      <c r="J49" s="59"/>
      <c r="K49" s="98" t="s">
        <v>144</v>
      </c>
      <c r="L49" s="59"/>
      <c r="M49" s="66"/>
      <c r="N49" s="60"/>
      <c r="O49" s="130"/>
      <c r="P49" s="140"/>
      <c r="Q49" s="141"/>
      <c r="R49" s="141"/>
      <c r="S49" s="141"/>
      <c r="T49" s="141"/>
      <c r="U49" s="141"/>
      <c r="V49" s="141"/>
      <c r="W49" s="141"/>
      <c r="X49" s="141"/>
      <c r="Y49" s="141"/>
      <c r="Z49" s="142"/>
    </row>
    <row r="50" spans="1:26" ht="28.9" thickBot="1">
      <c r="A50" s="98" t="s">
        <v>202</v>
      </c>
      <c r="B50" s="59"/>
      <c r="C50" s="162">
        <v>4000</v>
      </c>
      <c r="D50" s="59"/>
      <c r="E50" s="182" t="str">
        <f>_xlfn.IFS(C50 = 0, 0, AND(C50&lt;&gt;" ", C51 = 0), "11.2", AND(C50&lt;&gt;" ", C51&lt;&gt;" "), "5.6")</f>
        <v>5.6</v>
      </c>
      <c r="F50" s="59"/>
      <c r="G50" s="182" t="str">
        <f>_xlfn.IFS(E50 = 0,"0", AND(E50&lt;&gt;" ",E51&lt;&gt;0),"0.05", AND(E50&lt;&gt;" ",E51 = 0), "0.1")</f>
        <v>0.05</v>
      </c>
      <c r="H50" s="59"/>
      <c r="I50" s="99">
        <f>C50/G50*E50</f>
        <v>448000</v>
      </c>
      <c r="J50" s="59"/>
      <c r="K50" s="58"/>
      <c r="L50" s="59" t="s">
        <v>203</v>
      </c>
      <c r="M50" s="179" t="s">
        <v>233</v>
      </c>
      <c r="N50" s="181" t="s">
        <v>232</v>
      </c>
      <c r="O50" s="177"/>
      <c r="P50" s="140"/>
      <c r="Q50" s="141"/>
      <c r="R50" s="141"/>
      <c r="S50" s="141"/>
      <c r="T50" s="141"/>
      <c r="U50" s="141"/>
      <c r="V50" s="141"/>
      <c r="W50" s="141"/>
      <c r="X50" s="141"/>
      <c r="Y50" s="141"/>
      <c r="Z50" s="142"/>
    </row>
    <row r="51" spans="1:26" ht="14.65" thickBot="1">
      <c r="A51" s="98" t="s">
        <v>204</v>
      </c>
      <c r="B51" s="59"/>
      <c r="C51" s="162">
        <v>4000</v>
      </c>
      <c r="D51" s="59"/>
      <c r="E51" s="100" t="str">
        <f>_xlfn.IFS(C51 = 0, 0, AND(C50=0, C51&lt;&gt;" "), "11.2", AND(C50&lt;&gt;" ", C51&lt;&gt;" "), "5.6")</f>
        <v>5.6</v>
      </c>
      <c r="F51" s="59"/>
      <c r="G51" s="100" t="str">
        <f>_xlfn.IFS(E51= 0,"0", AND(E50&lt;&gt;0,E51&lt;&gt;" "),"0.05", AND(E51&lt;&gt;" ",E50=0), "0.1")</f>
        <v>0.05</v>
      </c>
      <c r="H51" s="59"/>
      <c r="I51" s="101">
        <f>C51/G51*E51</f>
        <v>448000</v>
      </c>
      <c r="J51" s="59"/>
      <c r="K51" s="58" t="s">
        <v>205</v>
      </c>
      <c r="L51" s="175">
        <v>800000</v>
      </c>
      <c r="M51" s="180">
        <f>I50/L51</f>
        <v>0.56000000000000005</v>
      </c>
      <c r="N51" s="172">
        <f>E50-M51</f>
        <v>5.0399999999999991</v>
      </c>
      <c r="O51" s="58"/>
      <c r="P51" s="140"/>
      <c r="Q51" s="141"/>
      <c r="R51" s="141"/>
      <c r="S51" s="141"/>
      <c r="T51" s="141"/>
      <c r="U51" s="141"/>
      <c r="V51" s="141"/>
      <c r="W51" s="141"/>
      <c r="X51" s="141"/>
      <c r="Y51" s="141"/>
      <c r="Z51" s="142"/>
    </row>
    <row r="52" spans="1:26" ht="14.65" thickBot="1">
      <c r="A52" s="65"/>
      <c r="B52" s="66"/>
      <c r="C52" s="66"/>
      <c r="D52" s="66"/>
      <c r="E52" s="102"/>
      <c r="F52" s="59"/>
      <c r="G52" s="102"/>
      <c r="H52" s="102"/>
      <c r="I52" s="59"/>
      <c r="J52" s="59"/>
      <c r="K52" s="65" t="s">
        <v>206</v>
      </c>
      <c r="L52" s="175">
        <v>809000</v>
      </c>
      <c r="M52" s="176">
        <f>I51/L52</f>
        <v>0.553770086526576</v>
      </c>
      <c r="N52" s="178">
        <f>E51-0.1</f>
        <v>5.5</v>
      </c>
      <c r="O52" s="177"/>
      <c r="P52" s="140"/>
      <c r="Q52" s="141"/>
      <c r="R52" s="141"/>
      <c r="S52" s="141"/>
      <c r="T52" s="141"/>
      <c r="U52" s="141"/>
      <c r="V52" s="141"/>
      <c r="W52" s="141"/>
      <c r="X52" s="141"/>
      <c r="Y52" s="141"/>
      <c r="Z52" s="142"/>
    </row>
    <row r="53" spans="1:26" ht="14.65" thickBot="1">
      <c r="A53" s="103" t="s">
        <v>207</v>
      </c>
      <c r="B53" s="56"/>
      <c r="C53" s="56"/>
      <c r="D53" s="171">
        <v>0.52083333333333337</v>
      </c>
      <c r="E53" s="66"/>
      <c r="F53" s="66"/>
      <c r="G53" s="66"/>
      <c r="H53" s="66"/>
      <c r="I53" s="66"/>
      <c r="J53" s="66"/>
      <c r="K53" s="66"/>
      <c r="L53" s="66"/>
      <c r="M53" s="97"/>
      <c r="N53" s="173"/>
      <c r="O53" s="66"/>
      <c r="P53" s="140"/>
      <c r="Q53" s="141"/>
      <c r="R53" s="141"/>
      <c r="S53" s="141"/>
      <c r="T53" s="141"/>
      <c r="U53" s="141"/>
      <c r="V53" s="141"/>
      <c r="W53" s="141"/>
      <c r="X53" s="141"/>
      <c r="Y53" s="141"/>
      <c r="Z53" s="142"/>
    </row>
    <row r="54" spans="1:26" ht="14.65" customHeight="1" thickTop="1">
      <c r="M54" s="174"/>
      <c r="P54" s="140"/>
      <c r="Q54" s="141"/>
      <c r="R54" s="141"/>
      <c r="S54" s="141"/>
      <c r="T54" s="141"/>
      <c r="U54" s="141"/>
      <c r="V54" s="141"/>
      <c r="W54" s="141"/>
      <c r="X54" s="141"/>
      <c r="Y54" s="141"/>
      <c r="Z54" s="142"/>
    </row>
    <row r="55" spans="1:26" ht="14.65" customHeight="1">
      <c r="A55" s="11" t="s">
        <v>209</v>
      </c>
      <c r="B55" s="11"/>
      <c r="C55" s="11" t="str">
        <f>CONCATENATE((R8),U8)</f>
        <v>AmaxaCB-150</v>
      </c>
      <c r="P55" s="140"/>
      <c r="Q55" s="141"/>
      <c r="R55" s="141"/>
      <c r="S55" s="141"/>
      <c r="T55" s="141"/>
      <c r="U55" s="141"/>
      <c r="V55" s="141"/>
      <c r="W55" s="141"/>
      <c r="X55" s="141"/>
      <c r="Y55" s="141"/>
      <c r="Z55" s="142"/>
    </row>
    <row r="56" spans="1:26" ht="14.65" customHeight="1" thickBot="1">
      <c r="P56" s="143"/>
      <c r="Q56" s="144"/>
      <c r="R56" s="144"/>
      <c r="S56" s="144"/>
      <c r="T56" s="144"/>
      <c r="U56" s="144"/>
      <c r="V56" s="144"/>
      <c r="W56" s="144"/>
      <c r="X56" s="144"/>
      <c r="Y56" s="144"/>
      <c r="Z56" s="145"/>
    </row>
    <row r="58" spans="1:26" ht="14.25">
      <c r="B58" s="11"/>
      <c r="D58" s="11"/>
    </row>
    <row r="59" spans="1:26" ht="14.25">
      <c r="D59" s="11"/>
    </row>
  </sheetData>
  <sheetProtection sheet="1" scenarios="1" selectLockedCells="1"/>
  <mergeCells count="16">
    <mergeCell ref="T4:U4"/>
    <mergeCell ref="S12:T12"/>
    <mergeCell ref="F27:H27"/>
    <mergeCell ref="J45:O46"/>
    <mergeCell ref="AA12:AB12"/>
    <mergeCell ref="AA13:AC13"/>
    <mergeCell ref="AA14:AB14"/>
    <mergeCell ref="S10:U10"/>
    <mergeCell ref="S13:U13"/>
    <mergeCell ref="P23:W23"/>
    <mergeCell ref="P24:W24"/>
    <mergeCell ref="W12:X12"/>
    <mergeCell ref="W13:Y13"/>
    <mergeCell ref="W14:X14"/>
    <mergeCell ref="P21:W21"/>
    <mergeCell ref="P22:W22"/>
  </mergeCells>
  <conditionalFormatting sqref="H6:I6 A9:I9 N6:O9">
    <cfRule type="expression" priority="61">
      <formula>"row if val(a..) EVEN"</formula>
    </cfRule>
    <cfRule type="expression" dxfId="18" priority="62">
      <formula>"row is even"</formula>
    </cfRule>
  </conditionalFormatting>
  <conditionalFormatting sqref="B10 A6:F6">
    <cfRule type="expression" priority="69">
      <formula>"row if val(a..) EVEN"</formula>
    </cfRule>
    <cfRule type="expression" dxfId="17" priority="70">
      <formula>"row is even"</formula>
    </cfRule>
  </conditionalFormatting>
  <conditionalFormatting sqref="D5">
    <cfRule type="expression" priority="67">
      <formula>"row if val(a..) EVEN"</formula>
    </cfRule>
    <cfRule type="expression" dxfId="16" priority="68">
      <formula>"row is even"</formula>
    </cfRule>
  </conditionalFormatting>
  <conditionalFormatting sqref="E10">
    <cfRule type="expression" priority="65">
      <formula>"row if val(a..) EVEN"</formula>
    </cfRule>
    <cfRule type="expression" dxfId="15" priority="66">
      <formula>"row is even"</formula>
    </cfRule>
  </conditionalFormatting>
  <conditionalFormatting sqref="C10">
    <cfRule type="expression" priority="63">
      <formula>"row if val(a..) EVEN"</formula>
    </cfRule>
    <cfRule type="expression" dxfId="14" priority="64">
      <formula>"row is even"</formula>
    </cfRule>
  </conditionalFormatting>
  <conditionalFormatting sqref="Q6 P4 S6 P2:Q2 S2:U2 P5:T5">
    <cfRule type="expression" priority="19">
      <formula>"row if val(a..) EVEN"</formula>
    </cfRule>
    <cfRule type="expression" dxfId="13" priority="20">
      <formula>"row is even"</formula>
    </cfRule>
  </conditionalFormatting>
  <conditionalFormatting sqref="Q4 T6">
    <cfRule type="expression" priority="21">
      <formula>"row if val(a..) EVEN"</formula>
    </cfRule>
    <cfRule type="expression" dxfId="12" priority="22">
      <formula>"row is even"</formula>
    </cfRule>
  </conditionalFormatting>
  <conditionalFormatting sqref="H8:I8 A7 C7">
    <cfRule type="expression" priority="15">
      <formula>"row if val(a..) EVEN"</formula>
    </cfRule>
    <cfRule type="expression" dxfId="11" priority="16">
      <formula>"row is even"</formula>
    </cfRule>
  </conditionalFormatting>
  <conditionalFormatting sqref="E8:F8 A8 G7">
    <cfRule type="expression" priority="17">
      <formula>"row if val(a..) EVEN"</formula>
    </cfRule>
    <cfRule type="expression" dxfId="10" priority="18">
      <formula>"row is even"</formula>
    </cfRule>
  </conditionalFormatting>
  <conditionalFormatting sqref="A11:I11">
    <cfRule type="expression" priority="13">
      <formula>"row if val(a..) EVEN"</formula>
    </cfRule>
    <cfRule type="expression" dxfId="9" priority="14">
      <formula>"row is even"</formula>
    </cfRule>
  </conditionalFormatting>
  <conditionalFormatting sqref="R4">
    <cfRule type="expression" priority="11">
      <formula>"row if val(a..) EVEN"</formula>
    </cfRule>
    <cfRule type="expression" dxfId="8" priority="12">
      <formula>"row is even"</formula>
    </cfRule>
  </conditionalFormatting>
  <conditionalFormatting sqref="V6">
    <cfRule type="expression" priority="9">
      <formula>"row if val(a..) EVEN"</formula>
    </cfRule>
    <cfRule type="expression" dxfId="7" priority="10">
      <formula>"row is even"</formula>
    </cfRule>
  </conditionalFormatting>
  <conditionalFormatting sqref="J6:M6 L7:M8 J9:M9">
    <cfRule type="expression" priority="5">
      <formula>"row if val(a..) EVEN"</formula>
    </cfRule>
    <cfRule type="expression" dxfId="6" priority="6">
      <formula>"row is even"</formula>
    </cfRule>
  </conditionalFormatting>
  <conditionalFormatting sqref="J10">
    <cfRule type="expression" priority="7">
      <formula>"row if val(a..) EVEN"</formula>
    </cfRule>
    <cfRule type="expression" dxfId="5" priority="8">
      <formula>"row is even"</formula>
    </cfRule>
  </conditionalFormatting>
  <conditionalFormatting sqref="J8:K8">
    <cfRule type="expression" priority="3">
      <formula>"row if val(a..) EVEN"</formula>
    </cfRule>
    <cfRule type="expression" dxfId="4" priority="4">
      <formula>"row is even"</formula>
    </cfRule>
  </conditionalFormatting>
  <conditionalFormatting sqref="J11:K11">
    <cfRule type="expression" priority="1">
      <formula>"row if val(a..) EVEN"</formula>
    </cfRule>
    <cfRule type="expression" dxfId="3" priority="2">
      <formula>"row is even"</formula>
    </cfRule>
  </conditionalFormatting>
  <dataValidations xWindow="683" yWindow="433" count="11">
    <dataValidation operator="equal" allowBlank="1" showInputMessage="1" showErrorMessage="1" prompt="ex: 20190417" sqref="C10 R5" xr:uid="{4A370FE1-CA1E-441D-915F-313620262761}"/>
    <dataValidation type="whole" allowBlank="1" showInputMessage="1" prompt="number" sqref="T5" xr:uid="{00866C31-D3CB-4282-8FDD-1D37BECF52E5}">
      <formula1>10</formula1>
      <formula2>50</formula2>
    </dataValidation>
    <dataValidation type="whole" allowBlank="1" showInputMessage="1" showErrorMessage="1" prompt="Enter a number" sqref="H7 K10" xr:uid="{14E9D265-7FAC-428D-8599-819A5923942E}">
      <formula1>1</formula1>
      <formula2>50</formula2>
    </dataValidation>
    <dataValidation type="whole" allowBlank="1" showInputMessage="1" showErrorMessage="1" prompt="enter a number" sqref="H10 E7" xr:uid="{E6D9C338-A173-4E5C-A4C8-1BBADE61A1D1}">
      <formula1>0</formula1>
      <formula2>10</formula2>
    </dataValidation>
    <dataValidation type="textLength" operator="equal" allowBlank="1" showInputMessage="1" showErrorMessage="1" prompt="ex: 20190417" sqref="G9 E10 S6 C7 Q6 V6 R4" xr:uid="{7C895BE5-82BE-49F9-B99D-288099937B6E}">
      <formula1>8</formula1>
    </dataValidation>
    <dataValidation allowBlank="1" showInputMessage="1" showErrorMessage="1" prompt="Enter a number (e.g. 1e6)" sqref="C42 C40" xr:uid="{A8EA7B18-061E-425D-909A-3716290704F3}"/>
    <dataValidation allowBlank="1" showInputMessage="1" showErrorMessage="1" prompt="ex: 534e3" sqref="L51:L52" xr:uid="{8CDE15AD-494D-4395-AEC3-E4448905FFEA}"/>
    <dataValidation type="textLength" operator="equal" allowBlank="1" showInputMessage="1" showErrorMessage="1" prompt="ex. 20200110" sqref="D8" xr:uid="{0394B702-9D78-4EF7-9014-4A6765313B0C}">
      <formula1>8</formula1>
    </dataValidation>
    <dataValidation type="time" allowBlank="1" showInputMessage="1" showErrorMessage="1" sqref="D53" xr:uid="{C776B8C4-62E7-4E1E-B22B-23935EEB0EE9}">
      <formula1>0</formula1>
      <formula2>0.999305555555556</formula2>
    </dataValidation>
    <dataValidation type="textLength" operator="equal" allowBlank="1" showErrorMessage="1" sqref="D5" xr:uid="{EB645A37-FBC0-4B86-871A-711EF657C607}">
      <formula1>8</formula1>
    </dataValidation>
    <dataValidation type="whole" allowBlank="1" showInputMessage="1" showErrorMessage="1" sqref="H33" xr:uid="{C0E7CD32-D150-4349-8028-C59AE31A0E07}">
      <formula1>1</formula1>
      <formula2>100</formula2>
    </dataValidation>
  </dataValidations>
  <pageMargins left="0.7" right="0.7" top="0.75" bottom="0.75" header="0.3" footer="0.3"/>
  <pageSetup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xWindow="683" yWindow="433" count="21">
        <x14:dataValidation type="list" showInputMessage="1" showErrorMessage="1" xr:uid="{CBF67E92-710D-4020-9CD9-69D026A081A8}">
          <x14:formula1>
            <xm:f>'Data validation criteria'!$K$21:$K$26</xm:f>
          </x14:formula1>
          <xm:sqref>H13</xm:sqref>
        </x14:dataValidation>
        <x14:dataValidation type="list" allowBlank="1" showInputMessage="1" showErrorMessage="1" xr:uid="{9D4DA235-3DDD-4F4B-9034-32AE71E8E76F}">
          <x14:formula1>
            <xm:f>'Data validation criteria'!$A$3:$A$9</xm:f>
          </x14:formula1>
          <xm:sqref>D4 C4:C5</xm:sqref>
        </x14:dataValidation>
        <x14:dataValidation type="list" allowBlank="1" showInputMessage="1" showErrorMessage="1" xr:uid="{0FEE3018-A11C-4619-9D65-0BF9BE0D0113}">
          <x14:formula1>
            <xm:f>'Data validation criteria'!$C$21:$C$25</xm:f>
          </x14:formula1>
          <xm:sqref>D11</xm:sqref>
        </x14:dataValidation>
        <x14:dataValidation type="list" allowBlank="1" showInputMessage="1" showErrorMessage="1" xr:uid="{506DD48A-3D4F-49BC-B171-931BC22AD04F}">
          <x14:formula1>
            <xm:f>'Data validation criteria'!$M$21:$M$30</xm:f>
          </x14:formula1>
          <xm:sqref>D12</xm:sqref>
        </x14:dataValidation>
        <x14:dataValidation type="list" allowBlank="1" showInputMessage="1" showErrorMessage="1" xr:uid="{0EA8B4C4-D73D-47BB-B6C4-FE0498530F20}">
          <x14:formula1>
            <xm:f>'Data validation criteria'!$N$21:$N$30</xm:f>
          </x14:formula1>
          <xm:sqref>D13</xm:sqref>
        </x14:dataValidation>
        <x14:dataValidation type="list" allowBlank="1" showInputMessage="1" showErrorMessage="1" xr:uid="{DFE773A8-BF2F-408F-8107-615C3FCF80D4}">
          <x14:formula1>
            <xm:f>'Data validation criteria'!$D$21:$D$25</xm:f>
          </x14:formula1>
          <xm:sqref>G11</xm:sqref>
        </x14:dataValidation>
        <x14:dataValidation type="list" allowBlank="1" showInputMessage="1" showErrorMessage="1" xr:uid="{2A820631-5BD4-41A3-9CF9-1A234F557525}">
          <x14:formula1>
            <xm:f>'Data validation criteria'!$F$21:$F$23</xm:f>
          </x14:formula1>
          <xm:sqref>R8</xm:sqref>
        </x14:dataValidation>
        <x14:dataValidation type="list" allowBlank="1" showInputMessage="1" showErrorMessage="1" xr:uid="{3108875D-B098-4422-AB56-D1D9A02A0CF8}">
          <x14:formula1>
            <xm:f>'Data validation criteria'!$A$34:$A$39</xm:f>
          </x14:formula1>
          <xm:sqref>U8</xm:sqref>
        </x14:dataValidation>
        <x14:dataValidation type="list" allowBlank="1" showInputMessage="1" showErrorMessage="1" xr:uid="{72B94B01-99F6-4CE0-8572-B5268B2A5FA4}">
          <x14:formula1>
            <xm:f>'Data validation criteria'!$L$21:$L$23</xm:f>
          </x14:formula1>
          <xm:sqref>X8</xm:sqref>
        </x14:dataValidation>
        <x14:dataValidation type="list" allowBlank="1" showInputMessage="1" showErrorMessage="1" xr:uid="{DA31E206-20BC-4534-9C47-1BA1B8B989C5}">
          <x14:formula1>
            <xm:f>'Data validation criteria'!$A$21:$A$28</xm:f>
          </x14:formula1>
          <xm:sqref>S10:U10</xm:sqref>
        </x14:dataValidation>
        <x14:dataValidation type="list" allowBlank="1" showInputMessage="1" showErrorMessage="1" xr:uid="{B22BEC46-8BFE-47C0-995C-A303740F9575}">
          <x14:formula1>
            <xm:f>'Data validation criteria'!$J$21:$J$24</xm:f>
          </x14:formula1>
          <xm:sqref>W10 W14:X14 AA14:AB14</xm:sqref>
        </x14:dataValidation>
        <x14:dataValidation type="list" allowBlank="1" showInputMessage="1" showErrorMessage="1" xr:uid="{6BBAD105-A29E-4F7B-998C-23BBC8218177}">
          <x14:formula1>
            <xm:f>'Data validation criteria'!$I$21:$I$25</xm:f>
          </x14:formula1>
          <xm:sqref>S12 W12 AA12</xm:sqref>
        </x14:dataValidation>
        <x14:dataValidation type="list" allowBlank="1" showInputMessage="1" showErrorMessage="1" xr:uid="{F0156687-AE57-4CF9-BB29-8E2D4444FC60}">
          <x14:formula1>
            <xm:f>'Data validation criteria'!$A$21:$A$27</xm:f>
          </x14:formula1>
          <xm:sqref>S13:U13 W13:Y13 AA13:AC13</xm:sqref>
        </x14:dataValidation>
        <x14:dataValidation type="list" allowBlank="1" showInputMessage="1" showErrorMessage="1" xr:uid="{0BF34360-1C69-432B-A3D5-39204839176D}">
          <x14:formula1>
            <xm:f>'Data validation criteria'!$J$21:$J$25</xm:f>
          </x14:formula1>
          <xm:sqref>S14</xm:sqref>
        </x14:dataValidation>
        <x14:dataValidation type="list" allowBlank="1" showInputMessage="1" showErrorMessage="1" xr:uid="{C730A1AF-FC4F-4B20-81DD-7E10C35D9DD7}">
          <x14:formula1>
            <xm:f>'Data validation criteria'!$E$21:$E$25</xm:f>
          </x14:formula1>
          <xm:sqref>Q2</xm:sqref>
        </x14:dataValidation>
        <x14:dataValidation type="list" allowBlank="1" showInputMessage="1" showErrorMessage="1" xr:uid="{C1BAD610-2F1D-43BC-A4EE-EB6644382D00}">
          <x14:formula1>
            <xm:f>'Data validation criteria'!$F$2:$F$7</xm:f>
          </x14:formula1>
          <xm:sqref>T2</xm:sqref>
        </x14:dataValidation>
        <x14:dataValidation type="list" allowBlank="1" showInputMessage="1" showErrorMessage="1" xr:uid="{776EA1E5-95B8-4370-84CB-24D91F0F9331}">
          <x14:formula1>
            <xm:f>'Data validation criteria'!$D$34:$D$38</xm:f>
          </x14:formula1>
          <xm:sqref>T4:U4</xm:sqref>
        </x14:dataValidation>
        <x14:dataValidation type="list" allowBlank="1" showInputMessage="1" showErrorMessage="1" xr:uid="{1DB77DD0-88EE-417F-AFAC-1D5A92F0FC96}">
          <x14:formula1>
            <xm:f>'C:\Users\aplant\AppData\Local\Microsoft\Windows\INetCache\Content.Outlook\ZYZ9ILGB\[0701Copy of 0615question.alp.TransfectionMetadata w Calendar.xlsm]Data validation criteria'!#REF!</xm:f>
          </x14:formula1>
          <xm:sqref>Y12 AC12</xm:sqref>
        </x14:dataValidation>
        <x14:dataValidation type="list" allowBlank="1" showInputMessage="1" showErrorMessage="1" xr:uid="{B6E6B354-7C7D-484A-A198-D7FB730C07E1}">
          <x14:formula1>
            <xm:f>'Data validation criteria'!$G$34:$G$39</xm:f>
          </x14:formula1>
          <xm:sqref>L13</xm:sqref>
        </x14:dataValidation>
        <x14:dataValidation type="list" allowBlank="1" showInputMessage="1" showErrorMessage="1" xr:uid="{85658D76-0A34-4C96-A5E5-53AD6BD65406}">
          <x14:formula1>
            <xm:f>'Data validation criteria'!$H$2:$H$9</xm:f>
          </x14:formula1>
          <xm:sqref>D23</xm:sqref>
        </x14:dataValidation>
        <x14:dataValidation type="list" allowBlank="1" showInputMessage="1" showErrorMessage="1" xr:uid="{166BBFFB-9283-4A7F-97EC-4EB4DC3C4DAD}">
          <x14:formula1>
            <xm:f>'Data validation criteria'!$E$34:$E$37</xm:f>
          </x14:formula1>
          <xm:sqref>C33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3A1F-E3EC-4DC1-B2EC-7C7621420D90}">
  <sheetPr codeName="WSData"/>
  <dimension ref="A1:J1"/>
  <sheetViews>
    <sheetView showGridLines="0" topLeftCell="E1" workbookViewId="0">
      <pane ySplit="1" topLeftCell="A781" activePane="bottomLeft" state="frozen"/>
      <selection activeCell="P50" sqref="P50"/>
      <selection pane="bottomLeft" activeCell="G810" sqref="G810"/>
    </sheetView>
  </sheetViews>
  <sheetFormatPr defaultColWidth="9.19921875" defaultRowHeight="11.65"/>
  <cols>
    <col min="1" max="1" width="12.796875" style="211" customWidth="1"/>
    <col min="2" max="2" width="12.796875" style="212" customWidth="1"/>
    <col min="3" max="3" width="33.796875" style="212" customWidth="1"/>
    <col min="4" max="4" width="24.265625" style="212" customWidth="1"/>
    <col min="5" max="6" width="10.796875" style="212" customWidth="1"/>
    <col min="7" max="7" width="61" style="213" customWidth="1"/>
    <col min="8" max="9" width="10.796875" style="212" customWidth="1"/>
    <col min="10" max="10" width="12.53125" style="212" bestFit="1" customWidth="1"/>
    <col min="11" max="16384" width="9.19921875" style="212"/>
  </cols>
  <sheetData>
    <row r="1" spans="1:10" s="209" customFormat="1">
      <c r="A1" s="208" t="s">
        <v>160</v>
      </c>
      <c r="B1" s="209" t="s">
        <v>161</v>
      </c>
      <c r="C1" s="209" t="s">
        <v>159</v>
      </c>
      <c r="D1" s="209" t="s">
        <v>151</v>
      </c>
      <c r="E1" s="209" t="s">
        <v>150</v>
      </c>
      <c r="F1" s="209" t="s">
        <v>158</v>
      </c>
      <c r="G1" s="210" t="s">
        <v>156</v>
      </c>
      <c r="H1" s="209" t="s">
        <v>162</v>
      </c>
      <c r="I1" s="209" t="s">
        <v>240</v>
      </c>
      <c r="J1" s="209" t="s">
        <v>241</v>
      </c>
    </row>
  </sheetData>
  <conditionalFormatting sqref="A1:J1048576">
    <cfRule type="expression" dxfId="2" priority="1">
      <formula>$A1&lt;&gt;""</formula>
    </cfRule>
  </conditionalFormatting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4443E-3593-4AE5-9824-5E3BE3CA303A}">
  <sheetPr codeName="WSLists"/>
  <dimension ref="A1:J13"/>
  <sheetViews>
    <sheetView showGridLines="0" workbookViewId="0">
      <selection activeCell="B32" sqref="B32"/>
    </sheetView>
  </sheetViews>
  <sheetFormatPr defaultColWidth="30.796875" defaultRowHeight="14.25"/>
  <cols>
    <col min="1" max="1" width="30.796875" style="8"/>
    <col min="3" max="16384" width="30.796875" style="8"/>
  </cols>
  <sheetData>
    <row r="1" spans="1:10" s="14" customFormat="1">
      <c r="A1" s="18" t="s">
        <v>155</v>
      </c>
      <c r="I1" s="18"/>
      <c r="J1" s="18"/>
    </row>
    <row r="2" spans="1:10">
      <c r="A2" s="8" t="s">
        <v>149</v>
      </c>
      <c r="D2" s="13"/>
    </row>
    <row r="3" spans="1:10">
      <c r="A3" s="8" t="s">
        <v>153</v>
      </c>
      <c r="D3" s="17"/>
    </row>
    <row r="4" spans="1:10">
      <c r="A4" s="8" t="s">
        <v>147</v>
      </c>
      <c r="D4" s="13"/>
    </row>
    <row r="5" spans="1:10">
      <c r="A5" s="8" t="s">
        <v>148</v>
      </c>
      <c r="D5" s="4"/>
    </row>
    <row r="6" spans="1:10">
      <c r="A6" s="8" t="s">
        <v>154</v>
      </c>
      <c r="D6" s="13" t="s">
        <v>41</v>
      </c>
    </row>
    <row r="7" spans="1:10">
      <c r="A7" s="8" t="s">
        <v>152</v>
      </c>
      <c r="D7" s="4" t="s">
        <v>41</v>
      </c>
    </row>
    <row r="8" spans="1:10">
      <c r="A8" s="8" t="s">
        <v>146</v>
      </c>
      <c r="D8" s="4" t="s">
        <v>41</v>
      </c>
    </row>
    <row r="9" spans="1:10">
      <c r="A9" s="8" t="s">
        <v>235</v>
      </c>
      <c r="D9" s="4" t="s">
        <v>41</v>
      </c>
    </row>
    <row r="10" spans="1:10">
      <c r="A10" s="8" t="s">
        <v>236</v>
      </c>
      <c r="D10" s="4" t="s">
        <v>41</v>
      </c>
    </row>
    <row r="11" spans="1:10">
      <c r="A11" s="8" t="s">
        <v>237</v>
      </c>
      <c r="D11" s="4" t="s">
        <v>41</v>
      </c>
    </row>
    <row r="12" spans="1:10">
      <c r="A12" s="8" t="s">
        <v>238</v>
      </c>
    </row>
    <row r="13" spans="1:10">
      <c r="A13" s="8" t="s">
        <v>239</v>
      </c>
    </row>
  </sheetData>
  <dataValidations count="1">
    <dataValidation allowBlank="1" showInputMessage="1" showErrorMessage="1" prompt="number of wells or vials/size of well plate" sqref="D2" xr:uid="{39D0FCBA-3CFB-4AE7-A016-66CD630C1F6B}"/>
  </dataValidations>
  <pageMargins left="0.7" right="0.7" top="0.75" bottom="0.75" header="0.3" footer="0.3"/>
  <pageSetup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5D6D-B6B5-4CCE-A648-96B20BD10274}">
  <sheetPr codeName="WSCellSamples"/>
  <dimension ref="A1:B87"/>
  <sheetViews>
    <sheetView showGridLines="0" workbookViewId="0">
      <pane ySplit="1" topLeftCell="A12" activePane="bottomLeft" state="frozen"/>
      <selection activeCell="P50" sqref="P50"/>
      <selection pane="bottomLeft" activeCell="E40" sqref="E40"/>
    </sheetView>
  </sheetViews>
  <sheetFormatPr defaultRowHeight="14.25"/>
  <cols>
    <col min="1" max="1" width="50.796875" style="8" customWidth="1"/>
    <col min="2" max="2" width="12.796875" style="23" customWidth="1"/>
  </cols>
  <sheetData>
    <row r="1" spans="1:2" s="18" customFormat="1">
      <c r="A1" s="282"/>
      <c r="B1" s="24"/>
    </row>
    <row r="2" spans="1:2">
      <c r="A2" s="285"/>
    </row>
    <row r="3" spans="1:2">
      <c r="A3" s="285"/>
    </row>
    <row r="4" spans="1:2">
      <c r="A4" s="285"/>
    </row>
    <row r="5" spans="1:2">
      <c r="A5" s="285"/>
    </row>
    <row r="6" spans="1:2">
      <c r="A6" s="285"/>
    </row>
    <row r="7" spans="1:2">
      <c r="A7" s="285"/>
    </row>
    <row r="8" spans="1:2">
      <c r="A8" s="285"/>
    </row>
    <row r="9" spans="1:2">
      <c r="A9" s="283"/>
    </row>
    <row r="10" spans="1:2">
      <c r="A10" s="284"/>
    </row>
    <row r="11" spans="1:2">
      <c r="A11" s="283"/>
    </row>
    <row r="12" spans="1:2">
      <c r="A12" s="284"/>
    </row>
    <row r="13" spans="1:2">
      <c r="A13" s="283"/>
    </row>
    <row r="14" spans="1:2">
      <c r="A14" s="284"/>
    </row>
    <row r="15" spans="1:2">
      <c r="A15" s="283"/>
    </row>
    <row r="16" spans="1:2">
      <c r="A16" s="284"/>
    </row>
    <row r="17" spans="1:1">
      <c r="A17" s="283"/>
    </row>
    <row r="18" spans="1:1">
      <c r="A18" s="284"/>
    </row>
    <row r="19" spans="1:1">
      <c r="A19" s="283"/>
    </row>
    <row r="20" spans="1:1">
      <c r="A20" s="284"/>
    </row>
    <row r="21" spans="1:1">
      <c r="A21" s="283"/>
    </row>
    <row r="22" spans="1:1">
      <c r="A22" s="284"/>
    </row>
    <row r="23" spans="1:1">
      <c r="A23" s="283"/>
    </row>
    <row r="24" spans="1:1">
      <c r="A24" s="284"/>
    </row>
    <row r="25" spans="1:1">
      <c r="A25" s="283"/>
    </row>
    <row r="26" spans="1:1">
      <c r="A26" s="283"/>
    </row>
    <row r="27" spans="1:1">
      <c r="A27" s="284"/>
    </row>
    <row r="28" spans="1:1">
      <c r="A28" s="284"/>
    </row>
    <row r="29" spans="1:1">
      <c r="A29" s="283"/>
    </row>
    <row r="30" spans="1:1">
      <c r="A30" s="284"/>
    </row>
    <row r="31" spans="1:1">
      <c r="A31" s="284"/>
    </row>
    <row r="32" spans="1:1">
      <c r="A32" s="283"/>
    </row>
    <row r="33" spans="1:1">
      <c r="A33" s="283"/>
    </row>
    <row r="34" spans="1:1">
      <c r="A34" s="284"/>
    </row>
    <row r="35" spans="1:1">
      <c r="A35" s="283"/>
    </row>
    <row r="36" spans="1:1">
      <c r="A36" s="284"/>
    </row>
    <row r="37" spans="1:1">
      <c r="A37" s="283"/>
    </row>
    <row r="38" spans="1:1">
      <c r="A38" s="284"/>
    </row>
    <row r="39" spans="1:1">
      <c r="A39" s="283"/>
    </row>
    <row r="40" spans="1:1">
      <c r="A40" s="284"/>
    </row>
    <row r="41" spans="1:1">
      <c r="A41" s="283"/>
    </row>
    <row r="42" spans="1:1">
      <c r="A42" s="284"/>
    </row>
    <row r="43" spans="1:1">
      <c r="A43" s="283"/>
    </row>
    <row r="44" spans="1:1">
      <c r="A44" s="284"/>
    </row>
    <row r="45" spans="1:1">
      <c r="A45" s="283"/>
    </row>
    <row r="46" spans="1:1">
      <c r="A46" s="284"/>
    </row>
    <row r="47" spans="1:1">
      <c r="A47" s="283"/>
    </row>
    <row r="48" spans="1:1">
      <c r="A48" s="284"/>
    </row>
    <row r="49" spans="1:1">
      <c r="A49" s="283"/>
    </row>
    <row r="50" spans="1:1">
      <c r="A50" s="284"/>
    </row>
    <row r="51" spans="1:1">
      <c r="A51" s="283"/>
    </row>
    <row r="52" spans="1:1">
      <c r="A52" s="284"/>
    </row>
    <row r="53" spans="1:1">
      <c r="A53" s="283"/>
    </row>
    <row r="54" spans="1:1">
      <c r="A54" s="284"/>
    </row>
    <row r="55" spans="1:1">
      <c r="A55" s="283"/>
    </row>
    <row r="56" spans="1:1">
      <c r="A56" s="284"/>
    </row>
    <row r="57" spans="1:1">
      <c r="A57" s="283"/>
    </row>
    <row r="58" spans="1:1">
      <c r="A58" s="284"/>
    </row>
    <row r="59" spans="1:1">
      <c r="A59" s="283"/>
    </row>
    <row r="60" spans="1:1">
      <c r="A60" s="284"/>
    </row>
    <row r="61" spans="1:1">
      <c r="A61" s="283"/>
    </row>
    <row r="62" spans="1:1">
      <c r="A62" s="284"/>
    </row>
    <row r="63" spans="1:1">
      <c r="A63" s="283"/>
    </row>
    <row r="64" spans="1:1">
      <c r="A64" s="284"/>
    </row>
    <row r="65" spans="1:1">
      <c r="A65" s="283"/>
    </row>
    <row r="66" spans="1:1">
      <c r="A66" s="284"/>
    </row>
    <row r="67" spans="1:1">
      <c r="A67" s="283"/>
    </row>
    <row r="68" spans="1:1">
      <c r="A68" s="284"/>
    </row>
    <row r="69" spans="1:1">
      <c r="A69" s="283"/>
    </row>
    <row r="70" spans="1:1">
      <c r="A70" s="283"/>
    </row>
    <row r="71" spans="1:1">
      <c r="A71" s="284"/>
    </row>
    <row r="72" spans="1:1">
      <c r="A72" s="284"/>
    </row>
    <row r="73" spans="1:1">
      <c r="A73" s="283"/>
    </row>
    <row r="74" spans="1:1">
      <c r="A74" s="284"/>
    </row>
    <row r="75" spans="1:1">
      <c r="A75" s="283"/>
    </row>
    <row r="76" spans="1:1">
      <c r="A76" s="284"/>
    </row>
    <row r="77" spans="1:1">
      <c r="A77" s="283"/>
    </row>
    <row r="78" spans="1:1">
      <c r="A78" s="284"/>
    </row>
    <row r="79" spans="1:1">
      <c r="A79" s="283"/>
    </row>
    <row r="80" spans="1:1">
      <c r="A80" s="231"/>
    </row>
    <row r="81" spans="1:1">
      <c r="A81" s="233"/>
    </row>
    <row r="82" spans="1:1">
      <c r="A82" s="232"/>
    </row>
    <row r="83" spans="1:1">
      <c r="A83" s="233"/>
    </row>
    <row r="84" spans="1:1">
      <c r="A84" s="232"/>
    </row>
    <row r="85" spans="1:1">
      <c r="A85" s="233"/>
    </row>
    <row r="86" spans="1:1">
      <c r="A86" s="232"/>
    </row>
    <row r="87" spans="1:1">
      <c r="A87" s="233"/>
    </row>
  </sheetData>
  <sortState xmlns:xlrd2="http://schemas.microsoft.com/office/spreadsheetml/2017/richdata2" ref="A2:B87">
    <sortCondition descending="1" ref="B1"/>
  </sortState>
  <conditionalFormatting sqref="A1:B5 A6:A1048576">
    <cfRule type="expression" dxfId="1" priority="1">
      <formula>$A1&lt;&gt;""</formula>
    </cfRule>
  </conditionalFormatting>
  <conditionalFormatting sqref="B6:B1048576">
    <cfRule type="expression" dxfId="0" priority="65">
      <formula>$A7&lt;&gt;""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1301E-7A9D-4460-B6EA-856036D736A0}">
  <sheetPr codeName="Sheet6"/>
  <dimension ref="A1:N40"/>
  <sheetViews>
    <sheetView topLeftCell="D1" workbookViewId="0">
      <selection activeCell="F28" sqref="F28"/>
    </sheetView>
  </sheetViews>
  <sheetFormatPr defaultRowHeight="14.25"/>
  <cols>
    <col min="1" max="1" width="23.53125" customWidth="1"/>
    <col min="2" max="2" width="16.46484375" customWidth="1"/>
    <col min="3" max="3" width="11.796875" customWidth="1"/>
    <col min="4" max="4" width="15.796875" customWidth="1"/>
    <col min="5" max="5" width="13.19921875" customWidth="1"/>
    <col min="6" max="6" width="15.19921875" customWidth="1"/>
    <col min="7" max="7" width="17" customWidth="1"/>
    <col min="8" max="8" width="15.796875" customWidth="1"/>
    <col min="9" max="9" width="15.46484375" customWidth="1"/>
    <col min="10" max="10" width="18.19921875" customWidth="1"/>
    <col min="11" max="11" width="17.53125" customWidth="1"/>
    <col min="12" max="12" width="11.53125" customWidth="1"/>
    <col min="13" max="13" width="12.19921875" customWidth="1"/>
    <col min="14" max="14" width="25.796875" customWidth="1"/>
  </cols>
  <sheetData>
    <row r="1" spans="1:12">
      <c r="A1" s="8" t="s">
        <v>47</v>
      </c>
      <c r="B1" s="8" t="s">
        <v>48</v>
      </c>
      <c r="C1" s="8" t="s">
        <v>49</v>
      </c>
      <c r="D1" s="8" t="s">
        <v>3</v>
      </c>
      <c r="E1" s="8" t="s">
        <v>50</v>
      </c>
      <c r="F1" s="8" t="s">
        <v>51</v>
      </c>
      <c r="G1" s="8" t="s">
        <v>52</v>
      </c>
      <c r="H1" s="8" t="s">
        <v>53</v>
      </c>
      <c r="I1" s="8" t="s">
        <v>54</v>
      </c>
      <c r="J1" s="8" t="s">
        <v>55</v>
      </c>
      <c r="K1" s="8" t="s">
        <v>56</v>
      </c>
      <c r="L1" s="8" t="s">
        <v>57</v>
      </c>
    </row>
    <row r="2" spans="1:12">
      <c r="B2" s="8" t="s">
        <v>58</v>
      </c>
      <c r="C2" s="8"/>
      <c r="E2" s="8" t="s">
        <v>60</v>
      </c>
      <c r="H2" s="8" t="s">
        <v>63</v>
      </c>
      <c r="I2" s="8" t="s">
        <v>64</v>
      </c>
      <c r="J2" s="8" t="s">
        <v>38</v>
      </c>
      <c r="K2" s="8" t="s">
        <v>65</v>
      </c>
      <c r="L2" s="8" t="s">
        <v>66</v>
      </c>
    </row>
    <row r="3" spans="1:12">
      <c r="A3" s="8" t="s">
        <v>1</v>
      </c>
      <c r="B3" s="8" t="s">
        <v>68</v>
      </c>
      <c r="C3" s="8" t="s">
        <v>69</v>
      </c>
      <c r="D3" s="8" t="s">
        <v>59</v>
      </c>
      <c r="E3" s="8" t="s">
        <v>70</v>
      </c>
      <c r="F3" s="8" t="s">
        <v>61</v>
      </c>
      <c r="G3" s="8" t="s">
        <v>62</v>
      </c>
      <c r="H3" s="8" t="s">
        <v>72</v>
      </c>
      <c r="I3" s="8" t="s">
        <v>39</v>
      </c>
      <c r="J3" s="8" t="s">
        <v>73</v>
      </c>
      <c r="K3" s="8" t="s">
        <v>74</v>
      </c>
      <c r="L3" s="8" t="s">
        <v>75</v>
      </c>
    </row>
    <row r="4" spans="1:12">
      <c r="A4" s="8" t="s">
        <v>67</v>
      </c>
      <c r="B4" s="8" t="s">
        <v>77</v>
      </c>
      <c r="C4" s="8"/>
      <c r="D4" s="8" t="s">
        <v>4</v>
      </c>
      <c r="E4" s="8" t="s">
        <v>78</v>
      </c>
      <c r="F4" s="8" t="s">
        <v>6</v>
      </c>
      <c r="G4" s="8" t="s">
        <v>71</v>
      </c>
      <c r="H4" s="8" t="s">
        <v>37</v>
      </c>
      <c r="I4" s="8" t="s">
        <v>81</v>
      </c>
      <c r="J4" s="8" t="s">
        <v>82</v>
      </c>
      <c r="K4" s="8" t="s">
        <v>83</v>
      </c>
      <c r="L4" s="8" t="s">
        <v>84</v>
      </c>
    </row>
    <row r="5" spans="1:12">
      <c r="A5" s="8" t="s">
        <v>76</v>
      </c>
      <c r="B5" s="8" t="s">
        <v>86</v>
      </c>
      <c r="C5" s="8"/>
      <c r="D5" s="8" t="s">
        <v>42</v>
      </c>
      <c r="E5" s="8"/>
      <c r="F5" s="8" t="s">
        <v>79</v>
      </c>
      <c r="G5" s="8" t="s">
        <v>80</v>
      </c>
      <c r="H5" s="8" t="s">
        <v>90</v>
      </c>
      <c r="I5" s="8" t="s">
        <v>91</v>
      </c>
      <c r="J5" s="8" t="s">
        <v>46</v>
      </c>
      <c r="K5" s="8"/>
      <c r="L5" s="8" t="s">
        <v>92</v>
      </c>
    </row>
    <row r="6" spans="1:12">
      <c r="A6" s="8" t="s">
        <v>85</v>
      </c>
      <c r="B6" s="8"/>
      <c r="C6" s="8"/>
      <c r="D6" s="8" t="s">
        <v>87</v>
      </c>
      <c r="E6" s="8"/>
      <c r="F6" s="8" t="s">
        <v>88</v>
      </c>
      <c r="G6" s="8" t="s">
        <v>89</v>
      </c>
      <c r="H6" s="257" t="s">
        <v>251</v>
      </c>
      <c r="I6" s="8" t="s">
        <v>96</v>
      </c>
      <c r="J6" s="8" t="s">
        <v>97</v>
      </c>
      <c r="K6" s="8"/>
      <c r="L6" s="8"/>
    </row>
    <row r="7" spans="1:12">
      <c r="A7" s="8" t="s">
        <v>93</v>
      </c>
      <c r="B7" s="8"/>
      <c r="C7" s="8"/>
      <c r="D7" s="8" t="s">
        <v>94</v>
      </c>
      <c r="E7" s="8"/>
      <c r="F7" s="8"/>
      <c r="G7" s="8" t="s">
        <v>95</v>
      </c>
      <c r="H7" s="258" t="s">
        <v>252</v>
      </c>
      <c r="I7" s="8"/>
      <c r="J7" s="8" t="s">
        <v>100</v>
      </c>
      <c r="K7" s="8"/>
      <c r="L7" s="8"/>
    </row>
    <row r="8" spans="1:12">
      <c r="A8" s="8" t="s">
        <v>98</v>
      </c>
      <c r="B8" s="8"/>
      <c r="C8" s="8"/>
      <c r="D8" s="8"/>
      <c r="E8" s="8"/>
      <c r="F8" s="8"/>
      <c r="G8" s="8" t="s">
        <v>99</v>
      </c>
      <c r="H8" s="257" t="s">
        <v>253</v>
      </c>
      <c r="I8" s="8"/>
      <c r="J8" s="8" t="s">
        <v>103</v>
      </c>
      <c r="K8" s="8"/>
      <c r="L8" s="8"/>
    </row>
    <row r="9" spans="1:12">
      <c r="A9" s="8" t="s">
        <v>101</v>
      </c>
      <c r="G9" s="8" t="s">
        <v>102</v>
      </c>
    </row>
    <row r="11" spans="1:12">
      <c r="H11" s="257"/>
    </row>
    <row r="12" spans="1:12">
      <c r="H12" s="258"/>
    </row>
    <row r="13" spans="1:12">
      <c r="H13" s="257"/>
    </row>
    <row r="14" spans="1:12">
      <c r="H14" s="258"/>
    </row>
    <row r="18" spans="1:14">
      <c r="H18" s="258"/>
    </row>
    <row r="20" spans="1:14">
      <c r="A20" s="8" t="s">
        <v>104</v>
      </c>
      <c r="B20" s="8" t="s">
        <v>105</v>
      </c>
      <c r="C20" s="8" t="s">
        <v>106</v>
      </c>
      <c r="D20" s="8" t="s">
        <v>107</v>
      </c>
      <c r="E20" s="8" t="s">
        <v>108</v>
      </c>
      <c r="F20" s="8" t="s">
        <v>109</v>
      </c>
      <c r="G20" s="8" t="s">
        <v>110</v>
      </c>
      <c r="H20" s="8" t="s">
        <v>40</v>
      </c>
      <c r="I20" s="8" t="s">
        <v>111</v>
      </c>
      <c r="J20" s="8" t="s">
        <v>256</v>
      </c>
      <c r="K20" s="8" t="s">
        <v>112</v>
      </c>
      <c r="L20" s="8" t="s">
        <v>113</v>
      </c>
      <c r="M20" s="8" t="s">
        <v>114</v>
      </c>
      <c r="N20" s="8" t="s">
        <v>115</v>
      </c>
    </row>
    <row r="21" spans="1:14">
      <c r="A21" s="3"/>
      <c r="B21" s="8"/>
      <c r="G21" s="8" t="s">
        <v>117</v>
      </c>
      <c r="H21" s="8" t="s">
        <v>118</v>
      </c>
      <c r="N21" s="8"/>
    </row>
    <row r="22" spans="1:14">
      <c r="A22" s="3" t="s">
        <v>14</v>
      </c>
      <c r="B22" s="8"/>
      <c r="C22" s="4" t="s">
        <v>23</v>
      </c>
      <c r="D22" s="8" t="s">
        <v>18</v>
      </c>
      <c r="E22" s="8" t="s">
        <v>116</v>
      </c>
      <c r="F22" s="8" t="s">
        <v>32</v>
      </c>
      <c r="G22" s="1"/>
      <c r="H22" s="8" t="s">
        <v>123</v>
      </c>
      <c r="I22" s="8" t="s">
        <v>25</v>
      </c>
      <c r="J22" s="8" t="s">
        <v>16</v>
      </c>
      <c r="K22" s="6" t="s">
        <v>28</v>
      </c>
      <c r="L22" s="8" t="s">
        <v>36</v>
      </c>
      <c r="M22" s="8" t="s">
        <v>119</v>
      </c>
      <c r="N22" s="8" t="s">
        <v>30</v>
      </c>
    </row>
    <row r="23" spans="1:14">
      <c r="A23" s="3" t="s">
        <v>120</v>
      </c>
      <c r="B23" s="8"/>
      <c r="C23" s="8" t="s">
        <v>121</v>
      </c>
      <c r="D23" s="8" t="s">
        <v>25</v>
      </c>
      <c r="E23" s="8" t="s">
        <v>59</v>
      </c>
      <c r="F23" s="8" t="s">
        <v>122</v>
      </c>
      <c r="G23" s="2"/>
      <c r="H23" s="8" t="s">
        <v>127</v>
      </c>
      <c r="I23" s="8" t="s">
        <v>18</v>
      </c>
      <c r="J23" s="8" t="s">
        <v>21</v>
      </c>
      <c r="K23" s="8" t="s">
        <v>124</v>
      </c>
      <c r="L23" s="8" t="s">
        <v>125</v>
      </c>
      <c r="M23" s="8" t="s">
        <v>27</v>
      </c>
      <c r="N23" s="8" t="s">
        <v>130</v>
      </c>
    </row>
    <row r="24" spans="1:14">
      <c r="A24" s="3" t="s">
        <v>45</v>
      </c>
      <c r="B24" s="8"/>
      <c r="C24" s="8" t="s">
        <v>126</v>
      </c>
      <c r="D24" s="8"/>
      <c r="E24" s="8" t="s">
        <v>87</v>
      </c>
      <c r="F24" s="8"/>
      <c r="G24" s="1"/>
      <c r="H24" s="8" t="s">
        <v>131</v>
      </c>
      <c r="I24" s="8" t="s">
        <v>224</v>
      </c>
      <c r="J24" s="8" t="s">
        <v>259</v>
      </c>
      <c r="K24" s="8" t="s">
        <v>128</v>
      </c>
      <c r="L24" s="8"/>
      <c r="M24" s="8" t="s">
        <v>129</v>
      </c>
      <c r="N24" s="8" t="s">
        <v>133</v>
      </c>
    </row>
    <row r="25" spans="1:14">
      <c r="A25" s="3" t="s">
        <v>19</v>
      </c>
      <c r="B25" s="10"/>
      <c r="C25" s="10"/>
      <c r="D25" s="10"/>
      <c r="E25" s="10" t="s">
        <v>4</v>
      </c>
      <c r="F25" s="10"/>
      <c r="G25" s="5"/>
      <c r="H25" s="10"/>
      <c r="I25" s="10" t="s">
        <v>225</v>
      </c>
      <c r="J25" s="10"/>
      <c r="K25" s="10"/>
      <c r="L25" s="10"/>
      <c r="M25" s="8" t="s">
        <v>132</v>
      </c>
      <c r="N25" s="10" t="s">
        <v>135</v>
      </c>
    </row>
    <row r="26" spans="1:14">
      <c r="A26" s="8" t="s">
        <v>260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 t="s">
        <v>134</v>
      </c>
      <c r="N26" s="8" t="s">
        <v>137</v>
      </c>
    </row>
    <row r="27" spans="1:14">
      <c r="A27" s="271" t="s">
        <v>259</v>
      </c>
      <c r="M27" s="8" t="s">
        <v>136</v>
      </c>
    </row>
    <row r="33" spans="1:7">
      <c r="A33" s="8" t="s">
        <v>138</v>
      </c>
      <c r="B33" s="8" t="s">
        <v>105</v>
      </c>
      <c r="C33" s="8" t="s">
        <v>145</v>
      </c>
      <c r="D33" t="s">
        <v>212</v>
      </c>
      <c r="E33" t="s">
        <v>254</v>
      </c>
      <c r="G33" s="273" t="s">
        <v>257</v>
      </c>
    </row>
    <row r="34" spans="1:7">
      <c r="B34" s="8" t="s">
        <v>31</v>
      </c>
      <c r="C34" s="8"/>
      <c r="G34" s="281" t="s">
        <v>258</v>
      </c>
    </row>
    <row r="35" spans="1:7">
      <c r="A35" s="8" t="s">
        <v>139</v>
      </c>
      <c r="B35" s="8" t="s">
        <v>140</v>
      </c>
      <c r="C35" s="8"/>
      <c r="D35" t="s">
        <v>213</v>
      </c>
      <c r="E35" t="s">
        <v>247</v>
      </c>
      <c r="G35" s="280" t="s">
        <v>261</v>
      </c>
    </row>
    <row r="36" spans="1:7">
      <c r="A36" s="8" t="s">
        <v>34</v>
      </c>
      <c r="B36" s="8"/>
      <c r="C36" s="8"/>
      <c r="D36" t="s">
        <v>214</v>
      </c>
      <c r="E36" t="s">
        <v>255</v>
      </c>
      <c r="G36" s="3" t="s">
        <v>263</v>
      </c>
    </row>
    <row r="37" spans="1:7">
      <c r="A37" s="8" t="s">
        <v>141</v>
      </c>
      <c r="B37" s="8"/>
      <c r="C37" s="8"/>
      <c r="D37" t="s">
        <v>215</v>
      </c>
      <c r="G37" s="8"/>
    </row>
    <row r="38" spans="1:7">
      <c r="A38" s="8" t="s">
        <v>142</v>
      </c>
      <c r="B38" s="8"/>
      <c r="C38" s="8"/>
      <c r="G38" s="8"/>
    </row>
    <row r="39" spans="1:7">
      <c r="A39" s="8" t="s">
        <v>143</v>
      </c>
      <c r="G39" s="8"/>
    </row>
    <row r="40" spans="1:7">
      <c r="G40" s="8"/>
    </row>
  </sheetData>
  <hyperlinks>
    <hyperlink ref="A22" r:id="rId1" display="https://www.addgene.org/89992/" xr:uid="{0FDFAA23-A0AD-4970-A0E6-FC52DF36FEDE}"/>
    <hyperlink ref="A23" r:id="rId2" display="https://www.addgene.org/89991/" xr:uid="{F19BC6E3-49C9-467B-80A5-9544A7D4B2E3}"/>
    <hyperlink ref="A24" r:id="rId3" display="https://www.addgene.org/26821/" xr:uid="{7D6063DE-8F4D-4CC1-9B91-32A4E8FB8C3D}"/>
    <hyperlink ref="A25" r:id="rId4" display="https://www.addgene.org/99608/" xr:uid="{D8ECF171-9568-4490-8A55-A8699F74E37B}"/>
    <hyperlink ref="G34" r:id="rId5" xr:uid="{E4A32BCB-67C0-463D-AE73-7DC2D4742435}"/>
    <hyperlink ref="G35" r:id="rId6" xr:uid="{EC2B5D9A-CBB1-488F-98CE-D008C04480F1}"/>
    <hyperlink ref="G36" r:id="rId7" xr:uid="{2256FCE0-5A9A-4478-8835-2949C9DA0221}"/>
  </hyperlinks>
  <pageMargins left="0.7" right="0.7" top="0.75" bottom="0.75" header="0.3" footer="0.3"/>
  <tableParts count="6">
    <tablePart r:id="rId8"/>
    <tablePart r:id="rId9"/>
    <tablePart r:id="rId10"/>
    <tablePart r:id="rId11"/>
    <tablePart r:id="rId12"/>
    <tablePart r:id="rId1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22F55-3A32-4F9A-8DAC-35D40E4752F7}">
  <sheetPr codeName="Sheet1"/>
  <dimension ref="A1:G10"/>
  <sheetViews>
    <sheetView workbookViewId="0">
      <selection activeCell="G26" sqref="G26"/>
    </sheetView>
  </sheetViews>
  <sheetFormatPr defaultRowHeight="14.25"/>
  <cols>
    <col min="1" max="1" width="13.265625" bestFit="1" customWidth="1"/>
    <col min="2" max="2" width="4.33203125" bestFit="1" customWidth="1"/>
    <col min="3" max="3" width="19.265625" bestFit="1" customWidth="1"/>
    <col min="4" max="4" width="8" bestFit="1" customWidth="1"/>
    <col min="5" max="5" width="2.73046875" bestFit="1" customWidth="1"/>
    <col min="6" max="6" width="4.796875" bestFit="1" customWidth="1"/>
    <col min="7" max="7" width="48" bestFit="1" customWidth="1"/>
  </cols>
  <sheetData>
    <row r="1" spans="1:7">
      <c r="A1" t="s">
        <v>105</v>
      </c>
      <c r="B1" t="s">
        <v>145</v>
      </c>
      <c r="C1" t="s">
        <v>325</v>
      </c>
      <c r="D1" t="s">
        <v>326</v>
      </c>
      <c r="E1" t="s">
        <v>327</v>
      </c>
      <c r="F1" t="s">
        <v>328</v>
      </c>
      <c r="G1" t="s">
        <v>329</v>
      </c>
    </row>
    <row r="2" spans="1:7">
      <c r="A2" s="206"/>
    </row>
    <row r="3" spans="1:7">
      <c r="A3" s="206"/>
    </row>
    <row r="4" spans="1:7">
      <c r="A4" s="206"/>
    </row>
    <row r="5" spans="1:7">
      <c r="A5" s="206"/>
    </row>
    <row r="6" spans="1:7">
      <c r="A6" s="206"/>
    </row>
    <row r="7" spans="1:7">
      <c r="A7" s="206"/>
      <c r="B7" s="8"/>
      <c r="C7" s="8"/>
      <c r="D7" s="8"/>
      <c r="E7" s="8"/>
      <c r="F7" s="8"/>
      <c r="G7" s="8"/>
    </row>
    <row r="8" spans="1:7">
      <c r="A8" s="206"/>
      <c r="B8" s="8"/>
      <c r="C8" s="8"/>
      <c r="D8" s="8"/>
      <c r="E8" s="8"/>
      <c r="F8" s="8"/>
      <c r="G8" s="8"/>
    </row>
    <row r="9" spans="1:7">
      <c r="A9" s="206"/>
      <c r="B9" s="8"/>
      <c r="C9" s="8"/>
      <c r="D9" s="8"/>
      <c r="E9" s="8"/>
      <c r="F9" s="8"/>
      <c r="G9" s="8"/>
    </row>
    <row r="10" spans="1:7">
      <c r="A10" s="206"/>
      <c r="B10" s="8"/>
      <c r="C10" s="8"/>
      <c r="D10" s="8"/>
      <c r="E10" s="8"/>
      <c r="F10" s="8"/>
      <c r="G10" s="8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4DBDF-696E-412D-972E-07BEF6C9BEC8}">
  <sheetPr codeName="Sheet2"/>
  <dimension ref="A1:G46"/>
  <sheetViews>
    <sheetView workbookViewId="0">
      <selection activeCell="D13" sqref="D13"/>
    </sheetView>
  </sheetViews>
  <sheetFormatPr defaultRowHeight="14.25"/>
  <cols>
    <col min="1" max="1" width="14.265625" bestFit="1" customWidth="1"/>
    <col min="2" max="2" width="4.33203125" bestFit="1" customWidth="1"/>
    <col min="3" max="3" width="28.796875" bestFit="1" customWidth="1"/>
    <col min="4" max="4" width="6.86328125" bestFit="1" customWidth="1"/>
    <col min="5" max="5" width="2.73046875" bestFit="1" customWidth="1"/>
    <col min="6" max="6" width="4.796875" bestFit="1" customWidth="1"/>
    <col min="7" max="7" width="80.53125" bestFit="1" customWidth="1"/>
  </cols>
  <sheetData>
    <row r="1" spans="1:7">
      <c r="A1" t="s">
        <v>105</v>
      </c>
      <c r="B1" t="s">
        <v>145</v>
      </c>
      <c r="C1" t="s">
        <v>325</v>
      </c>
      <c r="D1" t="s">
        <v>326</v>
      </c>
      <c r="E1" t="s">
        <v>327</v>
      </c>
      <c r="F1" t="s">
        <v>328</v>
      </c>
      <c r="G1" t="s">
        <v>329</v>
      </c>
    </row>
    <row r="2" spans="1:7">
      <c r="A2" s="206"/>
    </row>
    <row r="3" spans="1:7">
      <c r="A3" s="206"/>
    </row>
    <row r="4" spans="1:7">
      <c r="A4" s="206"/>
    </row>
    <row r="5" spans="1:7">
      <c r="A5" s="206"/>
    </row>
    <row r="6" spans="1:7">
      <c r="A6" s="206"/>
    </row>
    <row r="7" spans="1:7">
      <c r="A7" s="206"/>
    </row>
    <row r="8" spans="1:7">
      <c r="A8" s="206"/>
    </row>
    <row r="9" spans="1:7">
      <c r="A9" s="206"/>
    </row>
    <row r="10" spans="1:7">
      <c r="A10" s="206"/>
    </row>
    <row r="11" spans="1:7">
      <c r="A11" s="206"/>
    </row>
    <row r="12" spans="1:7">
      <c r="A12" s="206"/>
    </row>
    <row r="13" spans="1:7">
      <c r="A13" s="206"/>
    </row>
    <row r="14" spans="1:7">
      <c r="A14" s="206"/>
    </row>
    <row r="15" spans="1:7">
      <c r="A15" s="206"/>
    </row>
    <row r="16" spans="1:7">
      <c r="A16" s="206"/>
    </row>
    <row r="17" spans="1:7">
      <c r="A17" s="206"/>
    </row>
    <row r="18" spans="1:7">
      <c r="A18" s="206"/>
    </row>
    <row r="19" spans="1:7">
      <c r="A19" s="206"/>
    </row>
    <row r="20" spans="1:7">
      <c r="A20" s="206"/>
    </row>
    <row r="21" spans="1:7">
      <c r="A21" s="206"/>
    </row>
    <row r="22" spans="1:7">
      <c r="A22" s="206"/>
    </row>
    <row r="23" spans="1:7">
      <c r="A23" s="206"/>
    </row>
    <row r="24" spans="1:7">
      <c r="A24" s="206"/>
    </row>
    <row r="25" spans="1:7">
      <c r="A25" s="206"/>
    </row>
    <row r="26" spans="1:7">
      <c r="A26" s="206"/>
    </row>
    <row r="27" spans="1:7">
      <c r="A27" s="206"/>
    </row>
    <row r="28" spans="1:7">
      <c r="A28" s="206"/>
    </row>
    <row r="29" spans="1:7">
      <c r="A29" s="206"/>
    </row>
    <row r="30" spans="1:7">
      <c r="A30" s="206"/>
    </row>
    <row r="31" spans="1:7">
      <c r="A31" s="206"/>
      <c r="B31" s="8"/>
      <c r="C31" s="8"/>
      <c r="D31" s="8"/>
      <c r="E31" s="8"/>
      <c r="F31" s="8"/>
      <c r="G31" s="8"/>
    </row>
    <row r="32" spans="1:7">
      <c r="A32" s="206"/>
      <c r="B32" s="8"/>
      <c r="C32" s="8"/>
      <c r="D32" s="8"/>
      <c r="E32" s="8"/>
      <c r="F32" s="8"/>
      <c r="G32" s="8"/>
    </row>
    <row r="33" spans="1:7">
      <c r="A33" s="206"/>
      <c r="B33" s="8"/>
      <c r="C33" s="8"/>
      <c r="D33" s="8"/>
      <c r="E33" s="8"/>
      <c r="F33" s="8"/>
      <c r="G33" s="8"/>
    </row>
    <row r="34" spans="1:7">
      <c r="A34" s="206"/>
      <c r="B34" s="8"/>
      <c r="C34" s="8"/>
      <c r="D34" s="8"/>
      <c r="E34" s="8"/>
      <c r="F34" s="8"/>
      <c r="G34" s="8"/>
    </row>
    <row r="35" spans="1:7">
      <c r="A35" s="206"/>
      <c r="B35" s="8"/>
      <c r="C35" s="8"/>
      <c r="D35" s="8"/>
      <c r="E35" s="8"/>
      <c r="F35" s="8"/>
      <c r="G35" s="8"/>
    </row>
    <row r="36" spans="1:7">
      <c r="A36" s="206"/>
      <c r="B36" s="8"/>
      <c r="C36" s="8"/>
      <c r="D36" s="8"/>
      <c r="E36" s="8"/>
      <c r="F36" s="8"/>
      <c r="G36" s="8"/>
    </row>
    <row r="37" spans="1:7">
      <c r="A37" s="206"/>
      <c r="B37" s="8"/>
      <c r="C37" s="8"/>
      <c r="D37" s="8"/>
      <c r="E37" s="8"/>
      <c r="F37" s="8"/>
      <c r="G37" s="8"/>
    </row>
    <row r="38" spans="1:7">
      <c r="A38" s="206"/>
      <c r="B38" s="8"/>
      <c r="C38" s="8"/>
      <c r="D38" s="8"/>
      <c r="E38" s="8"/>
      <c r="F38" s="8"/>
      <c r="G38" s="8"/>
    </row>
    <row r="39" spans="1:7">
      <c r="A39" s="206"/>
      <c r="B39" s="8"/>
      <c r="C39" s="8"/>
      <c r="D39" s="8"/>
      <c r="E39" s="8"/>
      <c r="F39" s="8"/>
      <c r="G39" s="8"/>
    </row>
    <row r="40" spans="1:7">
      <c r="A40" s="206"/>
      <c r="B40" s="8"/>
      <c r="C40" s="8"/>
      <c r="D40" s="8"/>
      <c r="E40" s="8"/>
      <c r="F40" s="8"/>
      <c r="G40" s="8"/>
    </row>
    <row r="41" spans="1:7">
      <c r="A41" s="206"/>
      <c r="B41" s="8"/>
      <c r="C41" s="8"/>
      <c r="D41" s="8"/>
      <c r="E41" s="8"/>
      <c r="F41" s="8"/>
      <c r="G41" s="8"/>
    </row>
    <row r="42" spans="1:7">
      <c r="A42" s="206"/>
      <c r="B42" s="8"/>
      <c r="C42" s="8"/>
      <c r="D42" s="8"/>
      <c r="E42" s="8"/>
      <c r="F42" s="8"/>
      <c r="G42" s="8"/>
    </row>
    <row r="43" spans="1:7">
      <c r="A43" s="206"/>
      <c r="B43" s="8"/>
      <c r="C43" s="8"/>
      <c r="D43" s="8"/>
      <c r="E43" s="8"/>
      <c r="F43" s="8"/>
      <c r="G43" s="8"/>
    </row>
    <row r="44" spans="1:7">
      <c r="A44" s="206"/>
      <c r="B44" s="8"/>
      <c r="C44" s="8"/>
      <c r="D44" s="8"/>
      <c r="E44" s="8"/>
      <c r="F44" s="8"/>
      <c r="G44" s="8"/>
    </row>
    <row r="45" spans="1:7">
      <c r="A45" s="206"/>
      <c r="B45" s="8"/>
      <c r="C45" s="8"/>
      <c r="D45" s="8"/>
      <c r="E45" s="8"/>
      <c r="F45" s="8"/>
      <c r="G45" s="8"/>
    </row>
    <row r="46" spans="1:7">
      <c r="A46" s="206"/>
      <c r="B46" s="8"/>
      <c r="C46" s="8"/>
      <c r="D46" s="8"/>
      <c r="E46" s="8"/>
      <c r="F46" s="8"/>
      <c r="G46" s="8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D30F-B4BB-4277-826D-A61C8F02C5CD}">
  <sheetPr codeName="Sheet3"/>
  <dimension ref="A1:G14"/>
  <sheetViews>
    <sheetView workbookViewId="0">
      <selection activeCell="G33" sqref="G33"/>
    </sheetView>
  </sheetViews>
  <sheetFormatPr defaultRowHeight="14.25"/>
  <cols>
    <col min="1" max="1" width="14.265625" bestFit="1" customWidth="1"/>
    <col min="2" max="2" width="4.33203125" bestFit="1" customWidth="1"/>
    <col min="3" max="3" width="28.46484375" bestFit="1" customWidth="1"/>
    <col min="4" max="4" width="10" bestFit="1" customWidth="1"/>
    <col min="5" max="5" width="6.265625" customWidth="1"/>
    <col min="6" max="6" width="4.796875" bestFit="1" customWidth="1"/>
    <col min="7" max="7" width="60.46484375" bestFit="1" customWidth="1"/>
  </cols>
  <sheetData>
    <row r="1" spans="1:7">
      <c r="A1" t="s">
        <v>105</v>
      </c>
      <c r="B1" t="s">
        <v>145</v>
      </c>
      <c r="C1" t="s">
        <v>325</v>
      </c>
      <c r="D1" t="s">
        <v>326</v>
      </c>
      <c r="E1" t="s">
        <v>327</v>
      </c>
      <c r="F1" t="s">
        <v>328</v>
      </c>
      <c r="G1" t="s">
        <v>329</v>
      </c>
    </row>
    <row r="2" spans="1:7">
      <c r="A2" s="206"/>
    </row>
    <row r="3" spans="1:7">
      <c r="A3" s="206"/>
    </row>
    <row r="4" spans="1:7">
      <c r="A4" s="206"/>
    </row>
    <row r="5" spans="1:7">
      <c r="A5" s="206"/>
    </row>
    <row r="6" spans="1:7">
      <c r="A6" s="206"/>
    </row>
    <row r="7" spans="1:7">
      <c r="A7" s="206"/>
    </row>
    <row r="8" spans="1:7">
      <c r="A8" s="206"/>
    </row>
    <row r="9" spans="1:7">
      <c r="A9" s="206"/>
      <c r="B9" s="8"/>
      <c r="C9" s="8"/>
      <c r="D9" s="8"/>
      <c r="E9" s="8"/>
      <c r="F9" s="8"/>
      <c r="G9" s="8"/>
    </row>
    <row r="10" spans="1:7">
      <c r="A10" s="206"/>
      <c r="B10" s="8"/>
      <c r="C10" s="8"/>
      <c r="D10" s="8"/>
      <c r="E10" s="8"/>
      <c r="F10" s="8"/>
      <c r="G10" s="8"/>
    </row>
    <row r="11" spans="1:7">
      <c r="A11" s="206"/>
      <c r="B11" s="8"/>
      <c r="C11" s="8"/>
      <c r="D11" s="8"/>
      <c r="E11" s="8"/>
      <c r="F11" s="8"/>
      <c r="G11" s="8"/>
    </row>
    <row r="12" spans="1:7">
      <c r="A12" s="206"/>
      <c r="B12" s="8"/>
      <c r="C12" s="8"/>
      <c r="D12" s="8"/>
      <c r="E12" s="8"/>
      <c r="F12" s="8"/>
      <c r="G12" s="8"/>
    </row>
    <row r="13" spans="1:7">
      <c r="A13" s="206"/>
      <c r="B13" s="8"/>
      <c r="C13" s="8"/>
      <c r="D13" s="8"/>
      <c r="E13" s="8"/>
      <c r="F13" s="8"/>
      <c r="G13" s="8"/>
    </row>
    <row r="14" spans="1:7">
      <c r="A14" s="206"/>
      <c r="B14" s="8"/>
      <c r="C14" s="8"/>
      <c r="D14" s="8"/>
      <c r="E14" s="8"/>
      <c r="F14" s="8"/>
      <c r="G14" s="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3140E-FF90-40A7-86BF-2D3A67ECEE37}">
  <sheetPr codeName="Sheet5"/>
  <dimension ref="A1:G904"/>
  <sheetViews>
    <sheetView workbookViewId="0">
      <selection activeCell="G899" sqref="G899"/>
    </sheetView>
  </sheetViews>
  <sheetFormatPr defaultRowHeight="14.25"/>
  <cols>
    <col min="1" max="2" width="13.265625" bestFit="1" customWidth="1"/>
    <col min="3" max="3" width="27.86328125" bestFit="1" customWidth="1"/>
    <col min="4" max="4" width="15.59765625" bestFit="1" customWidth="1"/>
    <col min="5" max="5" width="2.73046875" bestFit="1" customWidth="1"/>
    <col min="6" max="6" width="4.796875" bestFit="1" customWidth="1"/>
    <col min="7" max="7" width="77.73046875" bestFit="1" customWidth="1"/>
  </cols>
  <sheetData>
    <row r="1" spans="1:7">
      <c r="A1" t="s">
        <v>105</v>
      </c>
      <c r="B1" t="s">
        <v>145</v>
      </c>
      <c r="C1" t="s">
        <v>325</v>
      </c>
      <c r="D1" t="s">
        <v>326</v>
      </c>
      <c r="E1" t="s">
        <v>327</v>
      </c>
      <c r="F1" t="s">
        <v>328</v>
      </c>
      <c r="G1" t="s">
        <v>329</v>
      </c>
    </row>
    <row r="2" spans="1:7">
      <c r="A2" s="206"/>
    </row>
    <row r="3" spans="1:7">
      <c r="A3" s="206"/>
    </row>
    <row r="4" spans="1:7">
      <c r="A4" s="206"/>
    </row>
    <row r="5" spans="1:7">
      <c r="A5" s="206"/>
    </row>
    <row r="6" spans="1:7">
      <c r="A6" s="206"/>
    </row>
    <row r="7" spans="1:7">
      <c r="A7" s="206"/>
      <c r="G7" s="8"/>
    </row>
    <row r="8" spans="1:7">
      <c r="A8" s="206"/>
    </row>
    <row r="9" spans="1:7">
      <c r="A9" s="206"/>
      <c r="G9" s="8"/>
    </row>
    <row r="10" spans="1:7">
      <c r="A10" s="206"/>
      <c r="G10" s="207"/>
    </row>
    <row r="11" spans="1:7">
      <c r="A11" s="206"/>
      <c r="G11" s="207"/>
    </row>
    <row r="12" spans="1:7">
      <c r="A12" s="206"/>
      <c r="G12" s="207"/>
    </row>
    <row r="13" spans="1:7">
      <c r="A13" s="206"/>
    </row>
    <row r="14" spans="1:7">
      <c r="A14" s="206"/>
      <c r="G14" s="207"/>
    </row>
    <row r="15" spans="1:7">
      <c r="A15" s="206"/>
      <c r="G15" s="207"/>
    </row>
    <row r="16" spans="1:7">
      <c r="A16" s="206"/>
    </row>
    <row r="17" spans="1:7">
      <c r="A17" s="206"/>
      <c r="G17" s="8"/>
    </row>
    <row r="18" spans="1:7">
      <c r="A18" s="206"/>
      <c r="G18" s="207"/>
    </row>
    <row r="19" spans="1:7">
      <c r="A19" s="206"/>
      <c r="G19" s="8"/>
    </row>
    <row r="20" spans="1:7">
      <c r="A20" s="206"/>
      <c r="G20" s="207"/>
    </row>
    <row r="21" spans="1:7">
      <c r="A21" s="206"/>
    </row>
    <row r="22" spans="1:7">
      <c r="A22" s="206"/>
    </row>
    <row r="23" spans="1:7">
      <c r="A23" s="206"/>
    </row>
    <row r="24" spans="1:7">
      <c r="A24" s="206"/>
      <c r="G24" s="8"/>
    </row>
    <row r="25" spans="1:7">
      <c r="A25" s="206"/>
      <c r="G25" s="207"/>
    </row>
    <row r="26" spans="1:7">
      <c r="A26" s="206"/>
    </row>
    <row r="27" spans="1:7">
      <c r="A27" s="206"/>
      <c r="G27" s="8"/>
    </row>
    <row r="28" spans="1:7">
      <c r="A28" s="206"/>
    </row>
    <row r="29" spans="1:7">
      <c r="A29" s="206"/>
      <c r="G29" s="8"/>
    </row>
    <row r="30" spans="1:7">
      <c r="A30" s="206"/>
    </row>
    <row r="31" spans="1:7">
      <c r="A31" s="206"/>
    </row>
    <row r="32" spans="1:7">
      <c r="A32" s="206"/>
    </row>
    <row r="33" spans="1:7">
      <c r="A33" s="206"/>
      <c r="G33" s="207"/>
    </row>
    <row r="34" spans="1:7">
      <c r="A34" s="206"/>
    </row>
    <row r="35" spans="1:7">
      <c r="A35" s="206"/>
      <c r="G35" s="8"/>
    </row>
    <row r="36" spans="1:7">
      <c r="A36" s="206"/>
    </row>
    <row r="37" spans="1:7">
      <c r="A37" s="206"/>
      <c r="G37" s="207"/>
    </row>
    <row r="38" spans="1:7">
      <c r="A38" s="206"/>
    </row>
    <row r="39" spans="1:7">
      <c r="A39" s="206"/>
      <c r="G39" s="8"/>
    </row>
    <row r="40" spans="1:7">
      <c r="A40" s="206"/>
    </row>
    <row r="41" spans="1:7">
      <c r="A41" s="206"/>
    </row>
    <row r="42" spans="1:7">
      <c r="A42" s="206"/>
    </row>
    <row r="43" spans="1:7">
      <c r="A43" s="206"/>
    </row>
    <row r="44" spans="1:7">
      <c r="A44" s="206"/>
      <c r="G44" s="207"/>
    </row>
    <row r="45" spans="1:7">
      <c r="A45" s="206"/>
    </row>
    <row r="46" spans="1:7">
      <c r="A46" s="206"/>
      <c r="G46" s="8"/>
    </row>
    <row r="47" spans="1:7">
      <c r="A47" s="206"/>
      <c r="G47" s="8"/>
    </row>
    <row r="48" spans="1:7">
      <c r="A48" s="206"/>
      <c r="G48" s="8"/>
    </row>
    <row r="49" spans="1:7">
      <c r="A49" s="206"/>
    </row>
    <row r="50" spans="1:7">
      <c r="A50" s="206"/>
      <c r="G50" s="207"/>
    </row>
    <row r="51" spans="1:7">
      <c r="A51" s="206"/>
      <c r="G51" s="207"/>
    </row>
    <row r="52" spans="1:7">
      <c r="A52" s="206"/>
    </row>
    <row r="53" spans="1:7">
      <c r="A53" s="206"/>
    </row>
    <row r="54" spans="1:7">
      <c r="A54" s="206"/>
    </row>
    <row r="55" spans="1:7">
      <c r="A55" s="206"/>
      <c r="G55" s="8"/>
    </row>
    <row r="56" spans="1:7">
      <c r="A56" s="206"/>
      <c r="G56" s="207"/>
    </row>
    <row r="57" spans="1:7">
      <c r="A57" s="206"/>
    </row>
    <row r="58" spans="1:7">
      <c r="A58" s="206"/>
      <c r="G58" s="207"/>
    </row>
    <row r="59" spans="1:7">
      <c r="A59" s="206"/>
      <c r="G59" s="207"/>
    </row>
    <row r="60" spans="1:7">
      <c r="A60" s="206"/>
      <c r="G60" s="207"/>
    </row>
    <row r="61" spans="1:7">
      <c r="A61" s="206"/>
      <c r="G61" s="207"/>
    </row>
    <row r="62" spans="1:7">
      <c r="A62" s="206"/>
      <c r="G62" s="207"/>
    </row>
    <row r="63" spans="1:7">
      <c r="A63" s="206"/>
      <c r="G63" s="8"/>
    </row>
    <row r="64" spans="1:7">
      <c r="A64" s="206"/>
    </row>
    <row r="65" spans="1:7">
      <c r="A65" s="206"/>
    </row>
    <row r="66" spans="1:7">
      <c r="A66" s="206"/>
      <c r="G66" s="207"/>
    </row>
    <row r="67" spans="1:7">
      <c r="A67" s="206"/>
      <c r="G67" s="8"/>
    </row>
    <row r="68" spans="1:7">
      <c r="A68" s="206"/>
    </row>
    <row r="69" spans="1:7">
      <c r="A69" s="206"/>
      <c r="G69" s="207"/>
    </row>
    <row r="70" spans="1:7">
      <c r="A70" s="206"/>
      <c r="G70" s="8"/>
    </row>
    <row r="71" spans="1:7">
      <c r="A71" s="206"/>
    </row>
    <row r="72" spans="1:7">
      <c r="A72" s="206"/>
      <c r="G72" s="8"/>
    </row>
    <row r="73" spans="1:7">
      <c r="A73" s="206"/>
    </row>
    <row r="74" spans="1:7">
      <c r="A74" s="206"/>
    </row>
    <row r="75" spans="1:7">
      <c r="A75" s="206"/>
      <c r="G75" s="207"/>
    </row>
    <row r="76" spans="1:7">
      <c r="A76" s="206"/>
    </row>
    <row r="77" spans="1:7">
      <c r="A77" s="206"/>
      <c r="G77" s="207"/>
    </row>
    <row r="78" spans="1:7">
      <c r="A78" s="206"/>
      <c r="G78" s="8"/>
    </row>
    <row r="79" spans="1:7">
      <c r="A79" s="206"/>
    </row>
    <row r="80" spans="1:7">
      <c r="A80" s="206"/>
      <c r="G80" s="8"/>
    </row>
    <row r="81" spans="1:7">
      <c r="A81" s="206"/>
    </row>
    <row r="82" spans="1:7">
      <c r="A82" s="206"/>
    </row>
    <row r="83" spans="1:7">
      <c r="A83" s="206"/>
      <c r="G83" s="207"/>
    </row>
    <row r="84" spans="1:7">
      <c r="A84" s="206"/>
      <c r="G84" s="8"/>
    </row>
    <row r="85" spans="1:7">
      <c r="A85" s="206"/>
    </row>
    <row r="86" spans="1:7">
      <c r="A86" s="206"/>
      <c r="G86" s="207"/>
    </row>
    <row r="87" spans="1:7">
      <c r="A87" s="206"/>
    </row>
    <row r="88" spans="1:7">
      <c r="A88" s="206"/>
      <c r="G88" s="8"/>
    </row>
    <row r="89" spans="1:7">
      <c r="A89" s="206"/>
    </row>
    <row r="90" spans="1:7">
      <c r="A90" s="206"/>
      <c r="G90" s="207"/>
    </row>
    <row r="91" spans="1:7">
      <c r="A91" s="206"/>
      <c r="G91" s="8"/>
    </row>
    <row r="92" spans="1:7">
      <c r="A92" s="206"/>
      <c r="G92" s="207"/>
    </row>
    <row r="93" spans="1:7">
      <c r="A93" s="206"/>
    </row>
    <row r="94" spans="1:7">
      <c r="A94" s="206"/>
    </row>
    <row r="95" spans="1:7">
      <c r="A95" s="206"/>
    </row>
    <row r="96" spans="1:7">
      <c r="A96" s="206"/>
    </row>
    <row r="97" spans="1:7">
      <c r="A97" s="206"/>
      <c r="G97" s="8"/>
    </row>
    <row r="98" spans="1:7">
      <c r="A98" s="206"/>
    </row>
    <row r="99" spans="1:7">
      <c r="A99" s="206"/>
    </row>
    <row r="100" spans="1:7">
      <c r="A100" s="206"/>
    </row>
    <row r="101" spans="1:7">
      <c r="A101" s="206"/>
    </row>
    <row r="102" spans="1:7">
      <c r="A102" s="206"/>
    </row>
    <row r="103" spans="1:7">
      <c r="A103" s="206"/>
    </row>
    <row r="104" spans="1:7">
      <c r="A104" s="206"/>
    </row>
    <row r="105" spans="1:7">
      <c r="A105" s="206"/>
      <c r="G105" s="207"/>
    </row>
    <row r="106" spans="1:7">
      <c r="A106" s="206"/>
      <c r="G106" s="207"/>
    </row>
    <row r="107" spans="1:7">
      <c r="A107" s="206"/>
    </row>
    <row r="108" spans="1:7">
      <c r="A108" s="206"/>
      <c r="G108" s="207"/>
    </row>
    <row r="109" spans="1:7">
      <c r="A109" s="206"/>
      <c r="G109" s="207"/>
    </row>
    <row r="110" spans="1:7">
      <c r="A110" s="206"/>
    </row>
    <row r="111" spans="1:7">
      <c r="A111" s="206"/>
    </row>
    <row r="112" spans="1:7">
      <c r="A112" s="206"/>
      <c r="G112" s="207"/>
    </row>
    <row r="113" spans="1:7">
      <c r="A113" s="206"/>
    </row>
    <row r="114" spans="1:7">
      <c r="A114" s="206"/>
      <c r="G114" s="8"/>
    </row>
    <row r="115" spans="1:7">
      <c r="A115" s="206"/>
    </row>
    <row r="116" spans="1:7">
      <c r="A116" s="206"/>
    </row>
    <row r="117" spans="1:7">
      <c r="A117" s="206"/>
    </row>
    <row r="118" spans="1:7">
      <c r="A118" s="206"/>
      <c r="G118" s="207"/>
    </row>
    <row r="119" spans="1:7">
      <c r="A119" s="206"/>
    </row>
    <row r="120" spans="1:7">
      <c r="A120" s="206"/>
    </row>
    <row r="121" spans="1:7">
      <c r="A121" s="206"/>
    </row>
    <row r="122" spans="1:7">
      <c r="A122" s="206"/>
    </row>
    <row r="123" spans="1:7">
      <c r="A123" s="206"/>
      <c r="G123" s="8"/>
    </row>
    <row r="124" spans="1:7">
      <c r="A124" s="206"/>
    </row>
    <row r="125" spans="1:7">
      <c r="A125" s="206"/>
      <c r="G125" s="207"/>
    </row>
    <row r="126" spans="1:7">
      <c r="A126" s="206"/>
      <c r="G126" s="8"/>
    </row>
    <row r="127" spans="1:7">
      <c r="A127" s="206"/>
      <c r="G127" s="207"/>
    </row>
    <row r="128" spans="1:7">
      <c r="A128" s="206"/>
    </row>
    <row r="129" spans="1:7">
      <c r="A129" s="206"/>
    </row>
    <row r="130" spans="1:7">
      <c r="A130" s="206"/>
    </row>
    <row r="131" spans="1:7">
      <c r="A131" s="206"/>
      <c r="G131" s="207"/>
    </row>
    <row r="132" spans="1:7">
      <c r="A132" s="206"/>
    </row>
    <row r="133" spans="1:7">
      <c r="A133" s="206"/>
      <c r="G133" s="207"/>
    </row>
    <row r="134" spans="1:7">
      <c r="A134" s="206"/>
      <c r="G134" s="8"/>
    </row>
    <row r="135" spans="1:7">
      <c r="A135" s="206"/>
      <c r="G135" s="207"/>
    </row>
    <row r="136" spans="1:7">
      <c r="A136" s="206"/>
      <c r="G136" s="207"/>
    </row>
    <row r="137" spans="1:7">
      <c r="A137" s="206"/>
      <c r="G137" s="207"/>
    </row>
    <row r="138" spans="1:7">
      <c r="A138" s="206"/>
      <c r="G138" s="8"/>
    </row>
    <row r="139" spans="1:7">
      <c r="A139" s="206"/>
    </row>
    <row r="140" spans="1:7">
      <c r="A140" s="206"/>
    </row>
    <row r="141" spans="1:7">
      <c r="A141" s="206"/>
    </row>
    <row r="142" spans="1:7">
      <c r="A142" s="206"/>
    </row>
    <row r="143" spans="1:7">
      <c r="A143" s="206"/>
      <c r="G143" s="207"/>
    </row>
    <row r="144" spans="1:7">
      <c r="A144" s="206"/>
      <c r="G144" s="8"/>
    </row>
    <row r="145" spans="1:7">
      <c r="A145" s="206"/>
      <c r="G145" s="207"/>
    </row>
    <row r="146" spans="1:7">
      <c r="A146" s="206"/>
    </row>
    <row r="147" spans="1:7">
      <c r="A147" s="206"/>
      <c r="G147" s="8"/>
    </row>
    <row r="148" spans="1:7">
      <c r="A148" s="206"/>
    </row>
    <row r="149" spans="1:7">
      <c r="A149" s="206"/>
      <c r="G149" s="207"/>
    </row>
    <row r="150" spans="1:7">
      <c r="A150" s="206"/>
      <c r="G150" s="207"/>
    </row>
    <row r="151" spans="1:7">
      <c r="A151" s="206"/>
    </row>
    <row r="152" spans="1:7">
      <c r="A152" s="206"/>
      <c r="G152" s="207"/>
    </row>
    <row r="153" spans="1:7">
      <c r="A153" s="206"/>
    </row>
    <row r="154" spans="1:7">
      <c r="A154" s="206"/>
      <c r="G154" s="8"/>
    </row>
    <row r="155" spans="1:7">
      <c r="A155" s="206"/>
      <c r="G155" s="8"/>
    </row>
    <row r="156" spans="1:7">
      <c r="A156" s="206"/>
    </row>
    <row r="157" spans="1:7">
      <c r="A157" s="206"/>
    </row>
    <row r="158" spans="1:7">
      <c r="A158" s="206"/>
    </row>
    <row r="159" spans="1:7">
      <c r="A159" s="206"/>
      <c r="G159" s="207"/>
    </row>
    <row r="160" spans="1:7">
      <c r="A160" s="206"/>
    </row>
    <row r="161" spans="1:7">
      <c r="A161" s="206"/>
    </row>
    <row r="162" spans="1:7">
      <c r="A162" s="206"/>
    </row>
    <row r="163" spans="1:7">
      <c r="A163" s="206"/>
    </row>
    <row r="164" spans="1:7">
      <c r="A164" s="206"/>
      <c r="G164" s="207"/>
    </row>
    <row r="165" spans="1:7">
      <c r="A165" s="206"/>
    </row>
    <row r="166" spans="1:7">
      <c r="A166" s="206"/>
      <c r="G166" s="207"/>
    </row>
    <row r="167" spans="1:7">
      <c r="A167" s="206"/>
    </row>
    <row r="168" spans="1:7">
      <c r="A168" s="206"/>
    </row>
    <row r="169" spans="1:7">
      <c r="A169" s="206"/>
    </row>
    <row r="170" spans="1:7">
      <c r="A170" s="206"/>
      <c r="G170" s="207"/>
    </row>
    <row r="171" spans="1:7">
      <c r="A171" s="206"/>
    </row>
    <row r="172" spans="1:7">
      <c r="A172" s="206"/>
      <c r="G172" s="207"/>
    </row>
    <row r="173" spans="1:7">
      <c r="A173" s="206"/>
    </row>
    <row r="174" spans="1:7">
      <c r="A174" s="206"/>
    </row>
    <row r="175" spans="1:7">
      <c r="A175" s="206"/>
    </row>
    <row r="176" spans="1:7">
      <c r="A176" s="206"/>
    </row>
    <row r="177" spans="1:7">
      <c r="A177" s="206"/>
    </row>
    <row r="178" spans="1:7">
      <c r="A178" s="206"/>
    </row>
    <row r="179" spans="1:7">
      <c r="A179" s="206"/>
    </row>
    <row r="180" spans="1:7">
      <c r="A180" s="206"/>
    </row>
    <row r="181" spans="1:7">
      <c r="A181" s="206"/>
      <c r="G181" s="8"/>
    </row>
    <row r="182" spans="1:7">
      <c r="A182" s="206"/>
    </row>
    <row r="183" spans="1:7">
      <c r="A183" s="206"/>
    </row>
    <row r="184" spans="1:7">
      <c r="A184" s="206"/>
      <c r="G184" s="207"/>
    </row>
    <row r="185" spans="1:7">
      <c r="A185" s="206"/>
      <c r="G185" s="8"/>
    </row>
    <row r="186" spans="1:7">
      <c r="A186" s="206"/>
    </row>
    <row r="187" spans="1:7">
      <c r="A187" s="206"/>
      <c r="G187" s="8"/>
    </row>
    <row r="188" spans="1:7">
      <c r="A188" s="206"/>
      <c r="G188" s="207"/>
    </row>
    <row r="189" spans="1:7">
      <c r="A189" s="206"/>
      <c r="G189" s="207"/>
    </row>
    <row r="190" spans="1:7">
      <c r="A190" s="206"/>
    </row>
    <row r="191" spans="1:7">
      <c r="A191" s="206"/>
    </row>
    <row r="192" spans="1:7">
      <c r="A192" s="206"/>
    </row>
    <row r="193" spans="1:7">
      <c r="A193" s="206"/>
    </row>
    <row r="194" spans="1:7">
      <c r="A194" s="206"/>
      <c r="G194" s="8"/>
    </row>
    <row r="195" spans="1:7">
      <c r="A195" s="206"/>
    </row>
    <row r="196" spans="1:7">
      <c r="A196" s="206"/>
    </row>
    <row r="197" spans="1:7">
      <c r="A197" s="206"/>
      <c r="G197" s="8"/>
    </row>
    <row r="198" spans="1:7">
      <c r="A198" s="206"/>
    </row>
    <row r="199" spans="1:7">
      <c r="A199" s="206"/>
      <c r="G199" s="207"/>
    </row>
    <row r="200" spans="1:7">
      <c r="A200" s="206"/>
    </row>
    <row r="201" spans="1:7">
      <c r="A201" s="206"/>
      <c r="G201" s="207"/>
    </row>
    <row r="202" spans="1:7">
      <c r="A202" s="206"/>
    </row>
    <row r="203" spans="1:7">
      <c r="A203" s="206"/>
    </row>
    <row r="204" spans="1:7">
      <c r="A204" s="206"/>
      <c r="G204" s="207"/>
    </row>
    <row r="205" spans="1:7">
      <c r="A205" s="206"/>
      <c r="G205" s="8"/>
    </row>
    <row r="206" spans="1:7">
      <c r="A206" s="206"/>
    </row>
    <row r="207" spans="1:7">
      <c r="A207" s="206"/>
      <c r="G207" s="8"/>
    </row>
    <row r="208" spans="1:7">
      <c r="A208" s="206"/>
    </row>
    <row r="209" spans="1:7">
      <c r="A209" s="206"/>
      <c r="G209" s="207"/>
    </row>
    <row r="210" spans="1:7">
      <c r="A210" s="206"/>
      <c r="G210" s="207"/>
    </row>
    <row r="211" spans="1:7">
      <c r="A211" s="206"/>
    </row>
    <row r="212" spans="1:7">
      <c r="A212" s="206"/>
      <c r="G212" s="207"/>
    </row>
    <row r="213" spans="1:7">
      <c r="A213" s="206"/>
      <c r="G213" s="8"/>
    </row>
    <row r="214" spans="1:7">
      <c r="A214" s="206"/>
      <c r="G214" s="207"/>
    </row>
    <row r="215" spans="1:7">
      <c r="A215" s="206"/>
      <c r="G215" s="207"/>
    </row>
    <row r="216" spans="1:7">
      <c r="A216" s="206"/>
    </row>
    <row r="217" spans="1:7">
      <c r="A217" s="206"/>
      <c r="G217" s="8"/>
    </row>
    <row r="218" spans="1:7">
      <c r="A218" s="206"/>
    </row>
    <row r="219" spans="1:7">
      <c r="A219" s="206"/>
    </row>
    <row r="220" spans="1:7">
      <c r="A220" s="206"/>
      <c r="G220" s="8"/>
    </row>
    <row r="221" spans="1:7">
      <c r="A221" s="206"/>
    </row>
    <row r="222" spans="1:7">
      <c r="A222" s="206"/>
    </row>
    <row r="223" spans="1:7">
      <c r="A223" s="206"/>
    </row>
    <row r="224" spans="1:7">
      <c r="A224" s="206"/>
    </row>
    <row r="225" spans="1:7">
      <c r="A225" s="206"/>
      <c r="G225" s="207"/>
    </row>
    <row r="226" spans="1:7">
      <c r="A226" s="206"/>
    </row>
    <row r="227" spans="1:7">
      <c r="A227" s="206"/>
    </row>
    <row r="228" spans="1:7">
      <c r="A228" s="206"/>
    </row>
    <row r="229" spans="1:7">
      <c r="A229" s="206"/>
      <c r="G229" s="8"/>
    </row>
    <row r="230" spans="1:7">
      <c r="A230" s="206"/>
    </row>
    <row r="231" spans="1:7">
      <c r="A231" s="206"/>
    </row>
    <row r="232" spans="1:7">
      <c r="A232" s="206"/>
    </row>
    <row r="233" spans="1:7">
      <c r="A233" s="206"/>
      <c r="G233" s="8"/>
    </row>
    <row r="234" spans="1:7">
      <c r="A234" s="206"/>
    </row>
    <row r="235" spans="1:7">
      <c r="A235" s="206"/>
      <c r="G235" s="207"/>
    </row>
    <row r="236" spans="1:7">
      <c r="A236" s="206"/>
    </row>
    <row r="237" spans="1:7">
      <c r="A237" s="206"/>
      <c r="G237" s="207"/>
    </row>
    <row r="238" spans="1:7">
      <c r="A238" s="206"/>
      <c r="G238" s="207"/>
    </row>
    <row r="239" spans="1:7">
      <c r="A239" s="206"/>
      <c r="G239" s="207"/>
    </row>
    <row r="240" spans="1:7">
      <c r="A240" s="206"/>
      <c r="G240" s="207"/>
    </row>
    <row r="241" spans="1:7">
      <c r="A241" s="206"/>
    </row>
    <row r="242" spans="1:7">
      <c r="A242" s="206"/>
      <c r="G242" s="8"/>
    </row>
    <row r="243" spans="1:7">
      <c r="A243" s="206"/>
      <c r="G243" s="8"/>
    </row>
    <row r="244" spans="1:7">
      <c r="A244" s="206"/>
    </row>
    <row r="245" spans="1:7">
      <c r="A245" s="206"/>
      <c r="G245" s="207"/>
    </row>
    <row r="246" spans="1:7">
      <c r="A246" s="206"/>
      <c r="G246" s="8"/>
    </row>
    <row r="247" spans="1:7">
      <c r="A247" s="206"/>
      <c r="G247" s="8"/>
    </row>
    <row r="248" spans="1:7">
      <c r="A248" s="206"/>
    </row>
    <row r="249" spans="1:7">
      <c r="A249" s="206"/>
    </row>
    <row r="250" spans="1:7">
      <c r="A250" s="206"/>
      <c r="G250" s="207"/>
    </row>
    <row r="251" spans="1:7">
      <c r="A251" s="206"/>
      <c r="G251" s="207"/>
    </row>
    <row r="252" spans="1:7">
      <c r="A252" s="206"/>
    </row>
    <row r="253" spans="1:7">
      <c r="A253" s="206"/>
    </row>
    <row r="254" spans="1:7">
      <c r="A254" s="206"/>
    </row>
    <row r="255" spans="1:7">
      <c r="A255" s="206"/>
      <c r="G255" s="8"/>
    </row>
    <row r="256" spans="1:7">
      <c r="A256" s="206"/>
    </row>
    <row r="257" spans="1:7">
      <c r="A257" s="206"/>
    </row>
    <row r="258" spans="1:7">
      <c r="A258" s="206"/>
    </row>
    <row r="259" spans="1:7">
      <c r="A259" s="206"/>
      <c r="G259" s="8"/>
    </row>
    <row r="260" spans="1:7">
      <c r="A260" s="206"/>
      <c r="G260" s="8"/>
    </row>
    <row r="261" spans="1:7">
      <c r="A261" s="206"/>
    </row>
    <row r="262" spans="1:7">
      <c r="A262" s="206"/>
      <c r="G262" s="207"/>
    </row>
    <row r="263" spans="1:7">
      <c r="A263" s="206"/>
    </row>
    <row r="264" spans="1:7">
      <c r="A264" s="206"/>
    </row>
    <row r="265" spans="1:7">
      <c r="A265" s="206"/>
    </row>
    <row r="266" spans="1:7">
      <c r="A266" s="206"/>
    </row>
    <row r="267" spans="1:7">
      <c r="A267" s="206"/>
    </row>
    <row r="268" spans="1:7">
      <c r="A268" s="206"/>
      <c r="G268" s="207"/>
    </row>
    <row r="269" spans="1:7">
      <c r="A269" s="206"/>
    </row>
    <row r="270" spans="1:7">
      <c r="A270" s="206"/>
    </row>
    <row r="271" spans="1:7">
      <c r="A271" s="206"/>
    </row>
    <row r="272" spans="1:7">
      <c r="A272" s="206"/>
    </row>
    <row r="273" spans="1:7">
      <c r="A273" s="206"/>
      <c r="G273" s="8"/>
    </row>
    <row r="274" spans="1:7">
      <c r="A274" s="206"/>
      <c r="G274" s="8"/>
    </row>
    <row r="275" spans="1:7">
      <c r="A275" s="206"/>
    </row>
    <row r="276" spans="1:7">
      <c r="A276" s="206"/>
    </row>
    <row r="277" spans="1:7">
      <c r="A277" s="206"/>
    </row>
    <row r="278" spans="1:7">
      <c r="A278" s="206"/>
      <c r="G278" s="8"/>
    </row>
    <row r="279" spans="1:7">
      <c r="A279" s="206"/>
      <c r="G279" s="207"/>
    </row>
    <row r="280" spans="1:7">
      <c r="A280" s="206"/>
      <c r="G280" s="8"/>
    </row>
    <row r="281" spans="1:7">
      <c r="A281" s="206"/>
    </row>
    <row r="282" spans="1:7">
      <c r="A282" s="206"/>
      <c r="G282" s="207"/>
    </row>
    <row r="283" spans="1:7">
      <c r="A283" s="206"/>
      <c r="G283" s="8"/>
    </row>
    <row r="284" spans="1:7">
      <c r="A284" s="206"/>
    </row>
    <row r="285" spans="1:7">
      <c r="A285" s="206"/>
      <c r="G285" s="207"/>
    </row>
    <row r="286" spans="1:7">
      <c r="A286" s="206"/>
    </row>
    <row r="287" spans="1:7">
      <c r="A287" s="206"/>
      <c r="B287" s="8"/>
      <c r="C287" s="8"/>
      <c r="D287" s="8"/>
      <c r="E287" s="8"/>
      <c r="F287" s="8"/>
      <c r="G287" s="8"/>
    </row>
    <row r="288" spans="1:7">
      <c r="A288" s="206"/>
      <c r="B288" s="8"/>
      <c r="C288" s="8"/>
      <c r="D288" s="8"/>
      <c r="E288" s="8"/>
      <c r="F288" s="8"/>
      <c r="G288" s="8"/>
    </row>
    <row r="289" spans="1:7">
      <c r="A289" s="206"/>
      <c r="B289" s="8"/>
      <c r="C289" s="8"/>
      <c r="D289" s="8"/>
      <c r="E289" s="8"/>
      <c r="F289" s="8"/>
      <c r="G289" s="207"/>
    </row>
    <row r="290" spans="1:7">
      <c r="A290" s="206"/>
      <c r="B290" s="8"/>
      <c r="C290" s="8"/>
      <c r="D290" s="8"/>
      <c r="E290" s="8"/>
      <c r="F290" s="8"/>
      <c r="G290" s="207"/>
    </row>
    <row r="291" spans="1:7">
      <c r="A291" s="206"/>
      <c r="B291" s="8"/>
      <c r="C291" s="8"/>
      <c r="D291" s="8"/>
      <c r="E291" s="8"/>
      <c r="F291" s="8"/>
      <c r="G291" s="207"/>
    </row>
    <row r="292" spans="1:7">
      <c r="A292" s="206"/>
      <c r="B292" s="8"/>
      <c r="C292" s="8"/>
      <c r="D292" s="8"/>
      <c r="E292" s="8"/>
      <c r="F292" s="8"/>
      <c r="G292" s="207"/>
    </row>
    <row r="293" spans="1:7">
      <c r="A293" s="206"/>
      <c r="B293" s="8"/>
      <c r="C293" s="8"/>
      <c r="D293" s="8"/>
      <c r="E293" s="8"/>
      <c r="F293" s="8"/>
      <c r="G293" s="207"/>
    </row>
    <row r="294" spans="1:7">
      <c r="A294" s="206"/>
      <c r="B294" s="8"/>
      <c r="C294" s="8"/>
      <c r="D294" s="8"/>
      <c r="E294" s="8"/>
      <c r="F294" s="8"/>
      <c r="G294" s="207"/>
    </row>
    <row r="295" spans="1:7">
      <c r="A295" s="206"/>
      <c r="B295" s="8"/>
      <c r="C295" s="8"/>
      <c r="D295" s="8"/>
      <c r="E295" s="8"/>
      <c r="F295" s="8"/>
      <c r="G295" s="207"/>
    </row>
    <row r="296" spans="1:7">
      <c r="A296" s="206"/>
      <c r="B296" s="8"/>
      <c r="C296" s="8"/>
      <c r="D296" s="8"/>
      <c r="E296" s="8"/>
      <c r="F296" s="8"/>
      <c r="G296" s="207"/>
    </row>
    <row r="297" spans="1:7">
      <c r="A297" s="206"/>
      <c r="B297" s="8"/>
      <c r="C297" s="8"/>
      <c r="D297" s="8"/>
      <c r="E297" s="8"/>
      <c r="F297" s="8"/>
      <c r="G297" s="207"/>
    </row>
    <row r="298" spans="1:7">
      <c r="A298" s="206"/>
      <c r="B298" s="8"/>
      <c r="C298" s="8"/>
      <c r="D298" s="8"/>
      <c r="E298" s="8"/>
      <c r="F298" s="8"/>
      <c r="G298" s="207"/>
    </row>
    <row r="299" spans="1:7">
      <c r="A299" s="206"/>
      <c r="B299" s="8"/>
      <c r="C299" s="8"/>
      <c r="D299" s="8"/>
      <c r="E299" s="8"/>
      <c r="F299" s="8"/>
      <c r="G299" s="207"/>
    </row>
    <row r="300" spans="1:7">
      <c r="A300" s="206"/>
      <c r="B300" s="8"/>
      <c r="C300" s="8"/>
      <c r="D300" s="8"/>
      <c r="E300" s="8"/>
      <c r="F300" s="8"/>
      <c r="G300" s="207"/>
    </row>
    <row r="301" spans="1:7">
      <c r="A301" s="206"/>
      <c r="B301" s="8"/>
      <c r="C301" s="8"/>
      <c r="D301" s="8"/>
      <c r="E301" s="8"/>
      <c r="F301" s="8"/>
      <c r="G301" s="207"/>
    </row>
    <row r="302" spans="1:7">
      <c r="A302" s="206"/>
      <c r="B302" s="8"/>
      <c r="C302" s="8"/>
      <c r="D302" s="8"/>
      <c r="E302" s="8"/>
      <c r="F302" s="8"/>
      <c r="G302" s="207"/>
    </row>
    <row r="303" spans="1:7">
      <c r="A303" s="206"/>
      <c r="B303" s="8"/>
      <c r="C303" s="8"/>
      <c r="D303" s="8"/>
      <c r="E303" s="8"/>
      <c r="F303" s="8"/>
      <c r="G303" s="207"/>
    </row>
    <row r="304" spans="1:7">
      <c r="A304" s="206"/>
      <c r="B304" s="8"/>
      <c r="C304" s="8"/>
      <c r="D304" s="8"/>
      <c r="E304" s="8"/>
      <c r="F304" s="8"/>
      <c r="G304" s="207"/>
    </row>
    <row r="305" spans="1:7">
      <c r="A305" s="206"/>
      <c r="B305" s="8"/>
      <c r="C305" s="8"/>
      <c r="D305" s="8"/>
      <c r="E305" s="8"/>
      <c r="F305" s="8"/>
      <c r="G305" s="207"/>
    </row>
    <row r="306" spans="1:7">
      <c r="A306" s="206"/>
      <c r="B306" s="8"/>
      <c r="C306" s="8"/>
      <c r="D306" s="8"/>
      <c r="E306" s="8"/>
      <c r="F306" s="8"/>
      <c r="G306" s="207"/>
    </row>
    <row r="307" spans="1:7">
      <c r="A307" s="206"/>
      <c r="B307" s="8"/>
      <c r="C307" s="8"/>
      <c r="D307" s="8"/>
      <c r="E307" s="8"/>
      <c r="F307" s="8"/>
      <c r="G307" s="207"/>
    </row>
    <row r="313" spans="1:7">
      <c r="A313" t="s">
        <v>105</v>
      </c>
      <c r="B313" t="s">
        <v>145</v>
      </c>
      <c r="C313" t="s">
        <v>325</v>
      </c>
      <c r="D313" t="s">
        <v>326</v>
      </c>
      <c r="E313" t="s">
        <v>327</v>
      </c>
      <c r="F313" t="s">
        <v>328</v>
      </c>
      <c r="G313" t="s">
        <v>329</v>
      </c>
    </row>
    <row r="314" spans="1:7">
      <c r="A314" s="206"/>
    </row>
    <row r="315" spans="1:7">
      <c r="A315" s="206"/>
    </row>
    <row r="316" spans="1:7">
      <c r="A316" s="206"/>
    </row>
    <row r="317" spans="1:7">
      <c r="A317" s="206"/>
    </row>
    <row r="318" spans="1:7">
      <c r="A318" s="206"/>
    </row>
    <row r="319" spans="1:7">
      <c r="A319" s="206"/>
    </row>
    <row r="320" spans="1:7">
      <c r="A320" s="206"/>
    </row>
    <row r="321" spans="1:1">
      <c r="A321" s="206"/>
    </row>
    <row r="322" spans="1:1">
      <c r="A322" s="206"/>
    </row>
    <row r="323" spans="1:1">
      <c r="A323" s="206"/>
    </row>
    <row r="324" spans="1:1">
      <c r="A324" s="206"/>
    </row>
    <row r="325" spans="1:1">
      <c r="A325" s="206"/>
    </row>
    <row r="326" spans="1:1">
      <c r="A326" s="206"/>
    </row>
    <row r="327" spans="1:1">
      <c r="A327" s="206"/>
    </row>
    <row r="328" spans="1:1">
      <c r="A328" s="206"/>
    </row>
    <row r="329" spans="1:1">
      <c r="A329" s="206"/>
    </row>
    <row r="330" spans="1:1">
      <c r="A330" s="206"/>
    </row>
    <row r="331" spans="1:1">
      <c r="A331" s="206"/>
    </row>
    <row r="332" spans="1:1">
      <c r="A332" s="206"/>
    </row>
    <row r="333" spans="1:1">
      <c r="A333" s="206"/>
    </row>
    <row r="334" spans="1:1">
      <c r="A334" s="206"/>
    </row>
    <row r="335" spans="1:1">
      <c r="A335" s="206"/>
    </row>
    <row r="336" spans="1:1">
      <c r="A336" s="206"/>
    </row>
    <row r="337" spans="1:1">
      <c r="A337" s="206"/>
    </row>
    <row r="338" spans="1:1">
      <c r="A338" s="206"/>
    </row>
    <row r="339" spans="1:1">
      <c r="A339" s="206"/>
    </row>
    <row r="340" spans="1:1">
      <c r="A340" s="206"/>
    </row>
    <row r="341" spans="1:1">
      <c r="A341" s="206"/>
    </row>
    <row r="342" spans="1:1">
      <c r="A342" s="206"/>
    </row>
    <row r="343" spans="1:1">
      <c r="A343" s="206"/>
    </row>
    <row r="344" spans="1:1">
      <c r="A344" s="206"/>
    </row>
    <row r="345" spans="1:1">
      <c r="A345" s="206"/>
    </row>
    <row r="346" spans="1:1">
      <c r="A346" s="206"/>
    </row>
    <row r="347" spans="1:1">
      <c r="A347" s="206"/>
    </row>
    <row r="348" spans="1:1">
      <c r="A348" s="206"/>
    </row>
    <row r="349" spans="1:1">
      <c r="A349" s="206"/>
    </row>
    <row r="350" spans="1:1">
      <c r="A350" s="206"/>
    </row>
    <row r="351" spans="1:1">
      <c r="A351" s="206"/>
    </row>
    <row r="352" spans="1:1">
      <c r="A352" s="206"/>
    </row>
    <row r="353" spans="1:1">
      <c r="A353" s="206"/>
    </row>
    <row r="354" spans="1:1">
      <c r="A354" s="206"/>
    </row>
    <row r="355" spans="1:1">
      <c r="A355" s="206"/>
    </row>
    <row r="356" spans="1:1">
      <c r="A356" s="206"/>
    </row>
    <row r="357" spans="1:1">
      <c r="A357" s="206"/>
    </row>
    <row r="358" spans="1:1">
      <c r="A358" s="206"/>
    </row>
    <row r="359" spans="1:1">
      <c r="A359" s="206"/>
    </row>
    <row r="360" spans="1:1">
      <c r="A360" s="206"/>
    </row>
    <row r="361" spans="1:1">
      <c r="A361" s="206"/>
    </row>
    <row r="362" spans="1:1">
      <c r="A362" s="206"/>
    </row>
    <row r="363" spans="1:1">
      <c r="A363" s="206"/>
    </row>
    <row r="364" spans="1:1">
      <c r="A364" s="206"/>
    </row>
    <row r="365" spans="1:1">
      <c r="A365" s="206"/>
    </row>
    <row r="366" spans="1:1">
      <c r="A366" s="206"/>
    </row>
    <row r="367" spans="1:1">
      <c r="A367" s="206"/>
    </row>
    <row r="368" spans="1:1">
      <c r="A368" s="206"/>
    </row>
    <row r="369" spans="1:1">
      <c r="A369" s="206"/>
    </row>
    <row r="370" spans="1:1">
      <c r="A370" s="206"/>
    </row>
    <row r="371" spans="1:1">
      <c r="A371" s="206"/>
    </row>
    <row r="372" spans="1:1">
      <c r="A372" s="206"/>
    </row>
    <row r="373" spans="1:1">
      <c r="A373" s="206"/>
    </row>
    <row r="374" spans="1:1">
      <c r="A374" s="206"/>
    </row>
    <row r="375" spans="1:1">
      <c r="A375" s="206"/>
    </row>
    <row r="376" spans="1:1">
      <c r="A376" s="206"/>
    </row>
    <row r="377" spans="1:1">
      <c r="A377" s="206"/>
    </row>
    <row r="378" spans="1:1">
      <c r="A378" s="206"/>
    </row>
    <row r="379" spans="1:1">
      <c r="A379" s="206"/>
    </row>
    <row r="380" spans="1:1">
      <c r="A380" s="206"/>
    </row>
    <row r="381" spans="1:1">
      <c r="A381" s="206"/>
    </row>
    <row r="382" spans="1:1">
      <c r="A382" s="206"/>
    </row>
    <row r="383" spans="1:1">
      <c r="A383" s="206"/>
    </row>
    <row r="384" spans="1:1">
      <c r="A384" s="206"/>
    </row>
    <row r="385" spans="1:7">
      <c r="A385" s="206"/>
    </row>
    <row r="386" spans="1:7">
      <c r="A386" s="206"/>
    </row>
    <row r="387" spans="1:7">
      <c r="A387" s="206"/>
    </row>
    <row r="388" spans="1:7">
      <c r="A388" s="206"/>
    </row>
    <row r="389" spans="1:7">
      <c r="A389" s="206"/>
    </row>
    <row r="390" spans="1:7">
      <c r="A390" s="206"/>
    </row>
    <row r="391" spans="1:7">
      <c r="A391" s="206"/>
    </row>
    <row r="392" spans="1:7">
      <c r="A392" s="206"/>
    </row>
    <row r="393" spans="1:7">
      <c r="A393" s="206"/>
    </row>
    <row r="394" spans="1:7">
      <c r="A394" s="206"/>
    </row>
    <row r="395" spans="1:7">
      <c r="A395" s="206"/>
    </row>
    <row r="396" spans="1:7">
      <c r="A396" s="206"/>
    </row>
    <row r="397" spans="1:7">
      <c r="A397" s="206"/>
    </row>
    <row r="398" spans="1:7">
      <c r="A398" s="206"/>
    </row>
    <row r="399" spans="1:7">
      <c r="A399" s="206"/>
    </row>
    <row r="400" spans="1:7">
      <c r="A400" s="206"/>
      <c r="B400" s="8"/>
      <c r="C400" s="8"/>
      <c r="D400" s="8"/>
      <c r="E400" s="8"/>
      <c r="F400" s="8"/>
      <c r="G400" s="8"/>
    </row>
    <row r="401" spans="1:7">
      <c r="A401" s="206"/>
      <c r="B401" s="8"/>
      <c r="C401" s="8"/>
      <c r="D401" s="8"/>
      <c r="E401" s="8"/>
      <c r="F401" s="8"/>
      <c r="G401" s="8"/>
    </row>
    <row r="402" spans="1:7">
      <c r="A402" s="206"/>
      <c r="B402" s="8"/>
      <c r="C402" s="8"/>
      <c r="D402" s="8"/>
      <c r="E402" s="8"/>
      <c r="F402" s="8"/>
      <c r="G402" s="8"/>
    </row>
    <row r="403" spans="1:7">
      <c r="A403" s="206"/>
      <c r="B403" s="8"/>
      <c r="C403" s="8"/>
      <c r="D403" s="8"/>
      <c r="E403" s="8"/>
      <c r="F403" s="8"/>
      <c r="G403" s="8"/>
    </row>
    <row r="404" spans="1:7">
      <c r="A404" s="206"/>
      <c r="B404" s="8"/>
      <c r="C404" s="8"/>
      <c r="D404" s="8"/>
      <c r="E404" s="8"/>
      <c r="F404" s="8"/>
      <c r="G404" s="8"/>
    </row>
    <row r="405" spans="1:7">
      <c r="A405" s="206"/>
      <c r="B405" s="8"/>
      <c r="C405" s="8"/>
      <c r="D405" s="8"/>
      <c r="E405" s="8"/>
      <c r="F405" s="8"/>
      <c r="G405" s="8"/>
    </row>
    <row r="406" spans="1:7">
      <c r="A406" s="206"/>
      <c r="B406" s="8"/>
      <c r="C406" s="8"/>
      <c r="D406" s="8"/>
      <c r="E406" s="8"/>
      <c r="F406" s="8"/>
      <c r="G406" s="8"/>
    </row>
    <row r="407" spans="1:7">
      <c r="A407" s="206"/>
      <c r="B407" s="8"/>
      <c r="C407" s="8"/>
      <c r="D407" s="8"/>
      <c r="E407" s="8"/>
      <c r="F407" s="8"/>
      <c r="G407" s="8"/>
    </row>
    <row r="408" spans="1:7">
      <c r="A408" s="206"/>
      <c r="B408" s="8"/>
      <c r="C408" s="8"/>
      <c r="D408" s="8"/>
      <c r="E408" s="8"/>
      <c r="F408" s="8"/>
      <c r="G408" s="8"/>
    </row>
    <row r="409" spans="1:7">
      <c r="A409" s="206"/>
      <c r="B409" s="8"/>
      <c r="C409" s="8"/>
      <c r="D409" s="8"/>
      <c r="E409" s="8"/>
      <c r="F409" s="8"/>
      <c r="G409" s="8"/>
    </row>
    <row r="410" spans="1:7">
      <c r="A410" s="206"/>
      <c r="B410" s="8"/>
      <c r="C410" s="8"/>
      <c r="D410" s="8"/>
      <c r="E410" s="8"/>
      <c r="F410" s="8"/>
      <c r="G410" s="8"/>
    </row>
    <row r="415" spans="1:7">
      <c r="A415" t="s">
        <v>105</v>
      </c>
      <c r="B415" t="s">
        <v>145</v>
      </c>
      <c r="C415" t="s">
        <v>325</v>
      </c>
      <c r="D415" t="s">
        <v>326</v>
      </c>
      <c r="E415" t="s">
        <v>327</v>
      </c>
      <c r="F415" t="s">
        <v>328</v>
      </c>
      <c r="G415" t="s">
        <v>329</v>
      </c>
    </row>
    <row r="416" spans="1:7">
      <c r="A416" s="206"/>
    </row>
    <row r="417" spans="1:1">
      <c r="A417" s="206"/>
    </row>
    <row r="418" spans="1:1">
      <c r="A418" s="206"/>
    </row>
    <row r="419" spans="1:1">
      <c r="A419" s="206"/>
    </row>
    <row r="420" spans="1:1">
      <c r="A420" s="206"/>
    </row>
    <row r="421" spans="1:1">
      <c r="A421" s="206"/>
    </row>
    <row r="422" spans="1:1">
      <c r="A422" s="206"/>
    </row>
    <row r="423" spans="1:1">
      <c r="A423" s="206"/>
    </row>
    <row r="424" spans="1:1">
      <c r="A424" s="206"/>
    </row>
    <row r="425" spans="1:1">
      <c r="A425" s="206"/>
    </row>
    <row r="426" spans="1:1">
      <c r="A426" s="206"/>
    </row>
    <row r="427" spans="1:1">
      <c r="A427" s="206"/>
    </row>
    <row r="428" spans="1:1">
      <c r="A428" s="206"/>
    </row>
    <row r="429" spans="1:1">
      <c r="A429" s="206"/>
    </row>
    <row r="430" spans="1:1">
      <c r="A430" s="206"/>
    </row>
    <row r="431" spans="1:1">
      <c r="A431" s="206"/>
    </row>
    <row r="432" spans="1:1">
      <c r="A432" s="206"/>
    </row>
    <row r="433" spans="1:1">
      <c r="A433" s="206"/>
    </row>
    <row r="434" spans="1:1">
      <c r="A434" s="206"/>
    </row>
    <row r="435" spans="1:1">
      <c r="A435" s="206"/>
    </row>
    <row r="436" spans="1:1">
      <c r="A436" s="206"/>
    </row>
    <row r="437" spans="1:1">
      <c r="A437" s="206"/>
    </row>
    <row r="438" spans="1:1">
      <c r="A438" s="206"/>
    </row>
    <row r="439" spans="1:1">
      <c r="A439" s="206"/>
    </row>
    <row r="440" spans="1:1">
      <c r="A440" s="206"/>
    </row>
    <row r="441" spans="1:1">
      <c r="A441" s="206"/>
    </row>
    <row r="442" spans="1:1">
      <c r="A442" s="206"/>
    </row>
    <row r="443" spans="1:1">
      <c r="A443" s="206"/>
    </row>
    <row r="444" spans="1:1">
      <c r="A444" s="206"/>
    </row>
    <row r="445" spans="1:1">
      <c r="A445" s="206"/>
    </row>
    <row r="446" spans="1:1">
      <c r="A446" s="206"/>
    </row>
    <row r="447" spans="1:1">
      <c r="A447" s="206"/>
    </row>
    <row r="448" spans="1:1">
      <c r="A448" s="206"/>
    </row>
    <row r="449" spans="1:1">
      <c r="A449" s="206"/>
    </row>
    <row r="450" spans="1:1">
      <c r="A450" s="206"/>
    </row>
    <row r="451" spans="1:1">
      <c r="A451" s="206"/>
    </row>
    <row r="452" spans="1:1">
      <c r="A452" s="206"/>
    </row>
    <row r="453" spans="1:1">
      <c r="A453" s="206"/>
    </row>
    <row r="454" spans="1:1">
      <c r="A454" s="206"/>
    </row>
    <row r="455" spans="1:1">
      <c r="A455" s="206"/>
    </row>
    <row r="456" spans="1:1">
      <c r="A456" s="206"/>
    </row>
    <row r="457" spans="1:1">
      <c r="A457" s="206"/>
    </row>
    <row r="458" spans="1:1">
      <c r="A458" s="206"/>
    </row>
    <row r="459" spans="1:1">
      <c r="A459" s="206"/>
    </row>
    <row r="460" spans="1:1">
      <c r="A460" s="206"/>
    </row>
    <row r="461" spans="1:1">
      <c r="A461" s="206"/>
    </row>
    <row r="462" spans="1:1">
      <c r="A462" s="206"/>
    </row>
    <row r="463" spans="1:1">
      <c r="A463" s="206"/>
    </row>
    <row r="464" spans="1:1">
      <c r="A464" s="206"/>
    </row>
    <row r="465" spans="1:1">
      <c r="A465" s="206"/>
    </row>
    <row r="466" spans="1:1">
      <c r="A466" s="206"/>
    </row>
    <row r="467" spans="1:1">
      <c r="A467" s="206"/>
    </row>
    <row r="468" spans="1:1">
      <c r="A468" s="206"/>
    </row>
    <row r="469" spans="1:1">
      <c r="A469" s="206"/>
    </row>
    <row r="470" spans="1:1">
      <c r="A470" s="206"/>
    </row>
    <row r="471" spans="1:1">
      <c r="A471" s="206"/>
    </row>
    <row r="472" spans="1:1">
      <c r="A472" s="206"/>
    </row>
    <row r="473" spans="1:1">
      <c r="A473" s="206"/>
    </row>
    <row r="474" spans="1:1">
      <c r="A474" s="206"/>
    </row>
    <row r="475" spans="1:1">
      <c r="A475" s="206"/>
    </row>
    <row r="476" spans="1:1">
      <c r="A476" s="206"/>
    </row>
    <row r="477" spans="1:1">
      <c r="A477" s="206"/>
    </row>
    <row r="478" spans="1:1">
      <c r="A478" s="206"/>
    </row>
    <row r="479" spans="1:1">
      <c r="A479" s="206"/>
    </row>
    <row r="480" spans="1:1">
      <c r="A480" s="206"/>
    </row>
    <row r="481" spans="1:1">
      <c r="A481" s="206"/>
    </row>
    <row r="482" spans="1:1">
      <c r="A482" s="206"/>
    </row>
    <row r="483" spans="1:1">
      <c r="A483" s="206"/>
    </row>
    <row r="484" spans="1:1">
      <c r="A484" s="206"/>
    </row>
    <row r="485" spans="1:1">
      <c r="A485" s="206"/>
    </row>
    <row r="486" spans="1:1">
      <c r="A486" s="206"/>
    </row>
    <row r="487" spans="1:1">
      <c r="A487" s="206"/>
    </row>
    <row r="488" spans="1:1">
      <c r="A488" s="206"/>
    </row>
    <row r="489" spans="1:1">
      <c r="A489" s="206"/>
    </row>
    <row r="490" spans="1:1">
      <c r="A490" s="206"/>
    </row>
    <row r="491" spans="1:1">
      <c r="A491" s="206"/>
    </row>
    <row r="492" spans="1:1">
      <c r="A492" s="206"/>
    </row>
    <row r="493" spans="1:1">
      <c r="A493" s="206"/>
    </row>
    <row r="494" spans="1:1">
      <c r="A494" s="206"/>
    </row>
    <row r="495" spans="1:1">
      <c r="A495" s="206"/>
    </row>
    <row r="496" spans="1:1">
      <c r="A496" s="206"/>
    </row>
    <row r="497" spans="1:1">
      <c r="A497" s="206"/>
    </row>
    <row r="498" spans="1:1">
      <c r="A498" s="206"/>
    </row>
    <row r="499" spans="1:1">
      <c r="A499" s="206"/>
    </row>
    <row r="500" spans="1:1">
      <c r="A500" s="206"/>
    </row>
    <row r="501" spans="1:1">
      <c r="A501" s="206"/>
    </row>
    <row r="502" spans="1:1">
      <c r="A502" s="206"/>
    </row>
    <row r="503" spans="1:1">
      <c r="A503" s="206"/>
    </row>
    <row r="504" spans="1:1">
      <c r="A504" s="206"/>
    </row>
    <row r="505" spans="1:1">
      <c r="A505" s="206"/>
    </row>
    <row r="506" spans="1:1">
      <c r="A506" s="206"/>
    </row>
    <row r="507" spans="1:1">
      <c r="A507" s="206"/>
    </row>
    <row r="508" spans="1:1">
      <c r="A508" s="206"/>
    </row>
    <row r="509" spans="1:1">
      <c r="A509" s="206"/>
    </row>
    <row r="510" spans="1:1">
      <c r="A510" s="206"/>
    </row>
    <row r="511" spans="1:1">
      <c r="A511" s="206"/>
    </row>
    <row r="512" spans="1:1">
      <c r="A512" s="206"/>
    </row>
    <row r="513" spans="1:1">
      <c r="A513" s="206"/>
    </row>
    <row r="514" spans="1:1">
      <c r="A514" s="206"/>
    </row>
    <row r="515" spans="1:1">
      <c r="A515" s="206"/>
    </row>
    <row r="516" spans="1:1">
      <c r="A516" s="206"/>
    </row>
    <row r="517" spans="1:1">
      <c r="A517" s="206"/>
    </row>
    <row r="518" spans="1:1">
      <c r="A518" s="206"/>
    </row>
    <row r="519" spans="1:1">
      <c r="A519" s="206"/>
    </row>
    <row r="520" spans="1:1">
      <c r="A520" s="206"/>
    </row>
    <row r="521" spans="1:1">
      <c r="A521" s="206"/>
    </row>
    <row r="522" spans="1:1">
      <c r="A522" s="206"/>
    </row>
    <row r="523" spans="1:1">
      <c r="A523" s="206"/>
    </row>
    <row r="524" spans="1:1">
      <c r="A524" s="206"/>
    </row>
    <row r="525" spans="1:1">
      <c r="A525" s="206"/>
    </row>
    <row r="526" spans="1:1">
      <c r="A526" s="206"/>
    </row>
    <row r="527" spans="1:1">
      <c r="A527" s="206"/>
    </row>
    <row r="528" spans="1:1">
      <c r="A528" s="206"/>
    </row>
    <row r="529" spans="1:1">
      <c r="A529" s="206"/>
    </row>
    <row r="530" spans="1:1">
      <c r="A530" s="206"/>
    </row>
    <row r="531" spans="1:1">
      <c r="A531" s="206"/>
    </row>
    <row r="532" spans="1:1">
      <c r="A532" s="206"/>
    </row>
    <row r="533" spans="1:1">
      <c r="A533" s="206"/>
    </row>
    <row r="534" spans="1:1">
      <c r="A534" s="206"/>
    </row>
    <row r="535" spans="1:1">
      <c r="A535" s="206"/>
    </row>
    <row r="536" spans="1:1">
      <c r="A536" s="206"/>
    </row>
    <row r="537" spans="1:1">
      <c r="A537" s="206"/>
    </row>
    <row r="538" spans="1:1">
      <c r="A538" s="206"/>
    </row>
    <row r="539" spans="1:1">
      <c r="A539" s="206"/>
    </row>
    <row r="540" spans="1:1">
      <c r="A540" s="206"/>
    </row>
    <row r="541" spans="1:1">
      <c r="A541" s="206"/>
    </row>
    <row r="542" spans="1:1">
      <c r="A542" s="206"/>
    </row>
    <row r="543" spans="1:1">
      <c r="A543" s="206"/>
    </row>
    <row r="544" spans="1:1">
      <c r="A544" s="206"/>
    </row>
    <row r="545" spans="1:1">
      <c r="A545" s="206"/>
    </row>
    <row r="546" spans="1:1">
      <c r="A546" s="206"/>
    </row>
    <row r="547" spans="1:1">
      <c r="A547" s="206"/>
    </row>
    <row r="548" spans="1:1">
      <c r="A548" s="206"/>
    </row>
    <row r="549" spans="1:1">
      <c r="A549" s="206"/>
    </row>
    <row r="550" spans="1:1">
      <c r="A550" s="206"/>
    </row>
    <row r="551" spans="1:1">
      <c r="A551" s="206"/>
    </row>
    <row r="552" spans="1:1">
      <c r="A552" s="206"/>
    </row>
    <row r="553" spans="1:1">
      <c r="A553" s="206"/>
    </row>
    <row r="554" spans="1:1">
      <c r="A554" s="206"/>
    </row>
    <row r="555" spans="1:1">
      <c r="A555" s="206"/>
    </row>
    <row r="556" spans="1:1">
      <c r="A556" s="206"/>
    </row>
    <row r="557" spans="1:1">
      <c r="A557" s="206"/>
    </row>
    <row r="558" spans="1:1">
      <c r="A558" s="206"/>
    </row>
    <row r="559" spans="1:1">
      <c r="A559" s="206"/>
    </row>
    <row r="560" spans="1:1">
      <c r="A560" s="206"/>
    </row>
    <row r="561" spans="1:1">
      <c r="A561" s="206"/>
    </row>
    <row r="562" spans="1:1">
      <c r="A562" s="206"/>
    </row>
    <row r="563" spans="1:1">
      <c r="A563" s="206"/>
    </row>
    <row r="564" spans="1:1">
      <c r="A564" s="206"/>
    </row>
    <row r="565" spans="1:1">
      <c r="A565" s="206"/>
    </row>
    <row r="566" spans="1:1">
      <c r="A566" s="206"/>
    </row>
    <row r="567" spans="1:1">
      <c r="A567" s="206"/>
    </row>
    <row r="568" spans="1:1">
      <c r="A568" s="206"/>
    </row>
    <row r="569" spans="1:1">
      <c r="A569" s="206"/>
    </row>
    <row r="570" spans="1:1">
      <c r="A570" s="206"/>
    </row>
    <row r="571" spans="1:1">
      <c r="A571" s="206"/>
    </row>
    <row r="572" spans="1:1">
      <c r="A572" s="206"/>
    </row>
    <row r="573" spans="1:1">
      <c r="A573" s="206"/>
    </row>
    <row r="574" spans="1:1">
      <c r="A574" s="206"/>
    </row>
    <row r="575" spans="1:1">
      <c r="A575" s="206"/>
    </row>
    <row r="576" spans="1:1">
      <c r="A576" s="206"/>
    </row>
    <row r="577" spans="1:1">
      <c r="A577" s="206"/>
    </row>
    <row r="578" spans="1:1">
      <c r="A578" s="206"/>
    </row>
    <row r="579" spans="1:1">
      <c r="A579" s="206"/>
    </row>
    <row r="580" spans="1:1">
      <c r="A580" s="206"/>
    </row>
    <row r="581" spans="1:1">
      <c r="A581" s="206"/>
    </row>
    <row r="582" spans="1:1">
      <c r="A582" s="206"/>
    </row>
    <row r="583" spans="1:1">
      <c r="A583" s="206"/>
    </row>
    <row r="584" spans="1:1">
      <c r="A584" s="206"/>
    </row>
    <row r="585" spans="1:1">
      <c r="A585" s="206"/>
    </row>
    <row r="586" spans="1:1">
      <c r="A586" s="206"/>
    </row>
    <row r="587" spans="1:1">
      <c r="A587" s="206"/>
    </row>
    <row r="588" spans="1:1">
      <c r="A588" s="206"/>
    </row>
    <row r="589" spans="1:1">
      <c r="A589" s="206"/>
    </row>
    <row r="590" spans="1:1">
      <c r="A590" s="206"/>
    </row>
    <row r="591" spans="1:1">
      <c r="A591" s="206"/>
    </row>
    <row r="592" spans="1:1">
      <c r="A592" s="206"/>
    </row>
    <row r="593" spans="1:1">
      <c r="A593" s="206"/>
    </row>
    <row r="594" spans="1:1">
      <c r="A594" s="206"/>
    </row>
    <row r="595" spans="1:1">
      <c r="A595" s="206"/>
    </row>
    <row r="596" spans="1:1">
      <c r="A596" s="206"/>
    </row>
    <row r="597" spans="1:1">
      <c r="A597" s="206"/>
    </row>
    <row r="598" spans="1:1">
      <c r="A598" s="206"/>
    </row>
    <row r="599" spans="1:1">
      <c r="A599" s="206"/>
    </row>
    <row r="600" spans="1:1">
      <c r="A600" s="206"/>
    </row>
    <row r="601" spans="1:1">
      <c r="A601" s="206"/>
    </row>
    <row r="602" spans="1:1">
      <c r="A602" s="206"/>
    </row>
    <row r="603" spans="1:1">
      <c r="A603" s="206"/>
    </row>
    <row r="604" spans="1:1">
      <c r="A604" s="206"/>
    </row>
    <row r="605" spans="1:1">
      <c r="A605" s="206"/>
    </row>
    <row r="606" spans="1:1">
      <c r="A606" s="206"/>
    </row>
    <row r="607" spans="1:1">
      <c r="A607" s="206"/>
    </row>
    <row r="608" spans="1:1">
      <c r="A608" s="206"/>
    </row>
    <row r="609" spans="1:1">
      <c r="A609" s="206"/>
    </row>
    <row r="610" spans="1:1">
      <c r="A610" s="206"/>
    </row>
    <row r="611" spans="1:1">
      <c r="A611" s="206"/>
    </row>
    <row r="612" spans="1:1">
      <c r="A612" s="206"/>
    </row>
    <row r="613" spans="1:1">
      <c r="A613" s="206"/>
    </row>
    <row r="614" spans="1:1">
      <c r="A614" s="206"/>
    </row>
    <row r="615" spans="1:1">
      <c r="A615" s="206"/>
    </row>
    <row r="616" spans="1:1">
      <c r="A616" s="206"/>
    </row>
    <row r="617" spans="1:1">
      <c r="A617" s="206"/>
    </row>
    <row r="618" spans="1:1">
      <c r="A618" s="206"/>
    </row>
    <row r="619" spans="1:1">
      <c r="A619" s="206"/>
    </row>
    <row r="620" spans="1:1">
      <c r="A620" s="206"/>
    </row>
    <row r="621" spans="1:1">
      <c r="A621" s="206"/>
    </row>
    <row r="622" spans="1:1">
      <c r="A622" s="206"/>
    </row>
    <row r="623" spans="1:1">
      <c r="A623" s="206"/>
    </row>
    <row r="624" spans="1:1">
      <c r="A624" s="206"/>
    </row>
    <row r="625" spans="1:1">
      <c r="A625" s="206"/>
    </row>
    <row r="626" spans="1:1">
      <c r="A626" s="206"/>
    </row>
    <row r="627" spans="1:1">
      <c r="A627" s="206"/>
    </row>
    <row r="628" spans="1:1">
      <c r="A628" s="206"/>
    </row>
    <row r="629" spans="1:1">
      <c r="A629" s="206"/>
    </row>
    <row r="630" spans="1:1">
      <c r="A630" s="206"/>
    </row>
    <row r="631" spans="1:1">
      <c r="A631" s="206"/>
    </row>
    <row r="632" spans="1:1">
      <c r="A632" s="206"/>
    </row>
    <row r="633" spans="1:1">
      <c r="A633" s="206"/>
    </row>
    <row r="634" spans="1:1">
      <c r="A634" s="206"/>
    </row>
    <row r="635" spans="1:1">
      <c r="A635" s="206"/>
    </row>
    <row r="636" spans="1:1">
      <c r="A636" s="206"/>
    </row>
    <row r="637" spans="1:1">
      <c r="A637" s="206"/>
    </row>
    <row r="638" spans="1:1">
      <c r="A638" s="206"/>
    </row>
    <row r="639" spans="1:1">
      <c r="A639" s="206"/>
    </row>
    <row r="640" spans="1:1">
      <c r="A640" s="206"/>
    </row>
    <row r="641" spans="1:1">
      <c r="A641" s="206"/>
    </row>
    <row r="642" spans="1:1">
      <c r="A642" s="206"/>
    </row>
    <row r="643" spans="1:1">
      <c r="A643" s="206"/>
    </row>
    <row r="644" spans="1:1">
      <c r="A644" s="206"/>
    </row>
    <row r="645" spans="1:1">
      <c r="A645" s="206"/>
    </row>
    <row r="646" spans="1:1">
      <c r="A646" s="206"/>
    </row>
    <row r="647" spans="1:1">
      <c r="A647" s="206"/>
    </row>
    <row r="648" spans="1:1">
      <c r="A648" s="206"/>
    </row>
    <row r="649" spans="1:1">
      <c r="A649" s="206"/>
    </row>
    <row r="650" spans="1:1">
      <c r="A650" s="206"/>
    </row>
    <row r="651" spans="1:1">
      <c r="A651" s="206"/>
    </row>
    <row r="652" spans="1:1">
      <c r="A652" s="206"/>
    </row>
    <row r="653" spans="1:1">
      <c r="A653" s="206"/>
    </row>
    <row r="654" spans="1:1">
      <c r="A654" s="206"/>
    </row>
    <row r="655" spans="1:1">
      <c r="A655" s="206"/>
    </row>
    <row r="656" spans="1:1">
      <c r="A656" s="206"/>
    </row>
    <row r="657" spans="1:1">
      <c r="A657" s="206"/>
    </row>
    <row r="658" spans="1:1">
      <c r="A658" s="206"/>
    </row>
    <row r="659" spans="1:1">
      <c r="A659" s="206"/>
    </row>
    <row r="660" spans="1:1">
      <c r="A660" s="206"/>
    </row>
    <row r="661" spans="1:1">
      <c r="A661" s="206"/>
    </row>
    <row r="662" spans="1:1">
      <c r="A662" s="206"/>
    </row>
    <row r="663" spans="1:1">
      <c r="A663" s="206"/>
    </row>
    <row r="664" spans="1:1">
      <c r="A664" s="206"/>
    </row>
    <row r="665" spans="1:1">
      <c r="A665" s="206"/>
    </row>
    <row r="666" spans="1:1">
      <c r="A666" s="206"/>
    </row>
    <row r="667" spans="1:1">
      <c r="A667" s="206"/>
    </row>
    <row r="668" spans="1:1">
      <c r="A668" s="206"/>
    </row>
    <row r="669" spans="1:1">
      <c r="A669" s="206"/>
    </row>
    <row r="670" spans="1:1">
      <c r="A670" s="206"/>
    </row>
    <row r="671" spans="1:1">
      <c r="A671" s="206"/>
    </row>
    <row r="672" spans="1:1">
      <c r="A672" s="206"/>
    </row>
    <row r="673" spans="1:7">
      <c r="A673" s="206"/>
    </row>
    <row r="674" spans="1:7">
      <c r="A674" s="206"/>
    </row>
    <row r="675" spans="1:7">
      <c r="A675" s="206"/>
    </row>
    <row r="676" spans="1:7">
      <c r="A676" s="206"/>
    </row>
    <row r="677" spans="1:7">
      <c r="A677" s="206"/>
    </row>
    <row r="678" spans="1:7">
      <c r="A678" s="206"/>
      <c r="B678" s="8"/>
      <c r="C678" s="8"/>
      <c r="D678" s="8"/>
      <c r="E678" s="8"/>
      <c r="F678" s="8"/>
      <c r="G678" s="8"/>
    </row>
    <row r="679" spans="1:7">
      <c r="A679" s="206"/>
      <c r="B679" s="8"/>
      <c r="C679" s="8"/>
      <c r="D679" s="8"/>
      <c r="E679" s="8"/>
      <c r="F679" s="8"/>
      <c r="G679" s="8"/>
    </row>
    <row r="680" spans="1:7">
      <c r="A680" s="206"/>
      <c r="B680" s="8"/>
      <c r="C680" s="8"/>
      <c r="D680" s="8"/>
      <c r="E680" s="8"/>
      <c r="F680" s="8"/>
      <c r="G680" s="8"/>
    </row>
    <row r="681" spans="1:7">
      <c r="A681" s="206"/>
      <c r="B681" s="8"/>
      <c r="C681" s="8"/>
      <c r="D681" s="8"/>
      <c r="E681" s="8"/>
      <c r="F681" s="8"/>
      <c r="G681" s="8"/>
    </row>
    <row r="682" spans="1:7">
      <c r="A682" s="206"/>
      <c r="B682" s="8"/>
      <c r="C682" s="8"/>
      <c r="D682" s="8"/>
      <c r="E682" s="8"/>
      <c r="F682" s="8"/>
      <c r="G682" s="8"/>
    </row>
    <row r="683" spans="1:7">
      <c r="A683" s="206"/>
      <c r="B683" s="8"/>
      <c r="C683" s="8"/>
      <c r="D683" s="8"/>
      <c r="E683" s="8"/>
      <c r="F683" s="8"/>
      <c r="G683" s="8"/>
    </row>
    <row r="684" spans="1:7">
      <c r="A684" s="206"/>
      <c r="B684" s="8"/>
      <c r="C684" s="8"/>
      <c r="D684" s="8"/>
      <c r="E684" s="8"/>
      <c r="F684" s="8"/>
      <c r="G684" s="8"/>
    </row>
    <row r="685" spans="1:7">
      <c r="A685" s="206"/>
      <c r="B685" s="8"/>
      <c r="C685" s="8"/>
      <c r="D685" s="8"/>
      <c r="E685" s="8"/>
      <c r="F685" s="8"/>
      <c r="G685" s="8"/>
    </row>
    <row r="686" spans="1:7">
      <c r="A686" s="206"/>
      <c r="B686" s="8"/>
      <c r="C686" s="8"/>
      <c r="D686" s="8"/>
      <c r="E686" s="8"/>
      <c r="F686" s="8"/>
      <c r="G686" s="8"/>
    </row>
    <row r="687" spans="1:7">
      <c r="A687" s="206"/>
      <c r="B687" s="8"/>
      <c r="C687" s="8"/>
      <c r="D687" s="8"/>
      <c r="E687" s="8"/>
      <c r="F687" s="8"/>
      <c r="G687" s="8"/>
    </row>
    <row r="688" spans="1:7">
      <c r="A688" s="206"/>
      <c r="B688" s="8"/>
      <c r="C688" s="8"/>
      <c r="D688" s="8"/>
      <c r="E688" s="8"/>
      <c r="F688" s="8"/>
      <c r="G688" s="8"/>
    </row>
    <row r="689" spans="1:7">
      <c r="A689" s="206"/>
      <c r="B689" s="8"/>
      <c r="C689" s="8"/>
      <c r="D689" s="8"/>
      <c r="E689" s="8"/>
      <c r="F689" s="8"/>
      <c r="G689" s="8"/>
    </row>
    <row r="690" spans="1:7">
      <c r="A690" s="206"/>
      <c r="B690" s="8"/>
      <c r="C690" s="8"/>
      <c r="D690" s="8"/>
      <c r="E690" s="8"/>
      <c r="F690" s="8"/>
      <c r="G690" s="8"/>
    </row>
    <row r="691" spans="1:7">
      <c r="A691" s="206"/>
      <c r="B691" s="8"/>
      <c r="C691" s="8"/>
      <c r="D691" s="8"/>
      <c r="E691" s="8"/>
      <c r="F691" s="8"/>
      <c r="G691" s="8"/>
    </row>
    <row r="692" spans="1:7">
      <c r="A692" s="206"/>
      <c r="B692" s="8"/>
      <c r="C692" s="8"/>
      <c r="D692" s="8"/>
      <c r="E692" s="8"/>
      <c r="F692" s="8"/>
      <c r="G692" s="8"/>
    </row>
    <row r="693" spans="1:7">
      <c r="A693" s="206"/>
      <c r="B693" s="8"/>
      <c r="C693" s="8"/>
      <c r="D693" s="8"/>
      <c r="E693" s="8"/>
      <c r="F693" s="8"/>
      <c r="G693" s="8"/>
    </row>
    <row r="694" spans="1:7">
      <c r="A694" s="206"/>
      <c r="B694" s="8"/>
      <c r="C694" s="8"/>
      <c r="D694" s="8"/>
      <c r="E694" s="8"/>
      <c r="F694" s="8"/>
      <c r="G694" s="8"/>
    </row>
    <row r="695" spans="1:7">
      <c r="A695" s="206"/>
      <c r="B695" s="8"/>
      <c r="C695" s="8"/>
      <c r="D695" s="8"/>
      <c r="E695" s="8"/>
      <c r="F695" s="8"/>
      <c r="G695" s="8"/>
    </row>
    <row r="696" spans="1:7">
      <c r="A696" s="206"/>
      <c r="B696" s="8"/>
      <c r="C696" s="8"/>
      <c r="D696" s="8"/>
      <c r="E696" s="8"/>
      <c r="F696" s="8"/>
      <c r="G696" s="8"/>
    </row>
    <row r="697" spans="1:7">
      <c r="A697" s="206"/>
      <c r="B697" s="8"/>
      <c r="C697" s="8"/>
      <c r="D697" s="8"/>
      <c r="E697" s="8"/>
      <c r="F697" s="8"/>
      <c r="G697" s="8"/>
    </row>
    <row r="698" spans="1:7">
      <c r="A698" s="206"/>
      <c r="B698" s="8"/>
      <c r="C698" s="8"/>
      <c r="D698" s="8"/>
      <c r="E698" s="8"/>
      <c r="F698" s="8"/>
      <c r="G698" s="8"/>
    </row>
    <row r="699" spans="1:7">
      <c r="A699" s="206"/>
      <c r="B699" s="8"/>
      <c r="C699" s="8"/>
      <c r="D699" s="8"/>
      <c r="E699" s="8"/>
      <c r="F699" s="8"/>
      <c r="G699" s="8"/>
    </row>
    <row r="700" spans="1:7">
      <c r="A700" s="206"/>
      <c r="B700" s="8"/>
      <c r="C700" s="8"/>
      <c r="D700" s="8"/>
      <c r="E700" s="8"/>
      <c r="F700" s="8"/>
      <c r="G700" s="8"/>
    </row>
    <row r="701" spans="1:7">
      <c r="A701" s="206"/>
      <c r="B701" s="8"/>
      <c r="C701" s="8"/>
      <c r="D701" s="8"/>
      <c r="E701" s="8"/>
      <c r="F701" s="8"/>
      <c r="G701" s="8"/>
    </row>
    <row r="702" spans="1:7">
      <c r="A702" s="206"/>
      <c r="B702" s="8"/>
      <c r="C702" s="8"/>
      <c r="D702" s="8"/>
      <c r="E702" s="8"/>
      <c r="F702" s="8"/>
      <c r="G702" s="8"/>
    </row>
    <row r="703" spans="1:7">
      <c r="A703" s="206"/>
      <c r="B703" s="8"/>
      <c r="C703" s="8"/>
      <c r="D703" s="8"/>
      <c r="E703" s="8"/>
      <c r="F703" s="8"/>
      <c r="G703" s="8"/>
    </row>
    <row r="704" spans="1:7">
      <c r="A704" s="206"/>
      <c r="B704" s="8"/>
      <c r="C704" s="8"/>
      <c r="D704" s="8"/>
      <c r="E704" s="8"/>
      <c r="F704" s="8"/>
      <c r="G704" s="8"/>
    </row>
    <row r="705" spans="1:7">
      <c r="A705" s="206"/>
      <c r="B705" s="8"/>
      <c r="C705" s="8"/>
      <c r="D705" s="8"/>
      <c r="E705" s="8"/>
      <c r="F705" s="8"/>
      <c r="G705" s="8"/>
    </row>
    <row r="706" spans="1:7">
      <c r="A706" s="206"/>
      <c r="B706" s="8"/>
      <c r="C706" s="8"/>
      <c r="D706" s="8"/>
      <c r="E706" s="8"/>
      <c r="F706" s="8"/>
      <c r="G706" s="8"/>
    </row>
    <row r="707" spans="1:7">
      <c r="A707" s="206"/>
      <c r="B707" s="8"/>
      <c r="C707" s="8"/>
      <c r="D707" s="8"/>
      <c r="E707" s="8"/>
      <c r="F707" s="8"/>
      <c r="G707" s="8"/>
    </row>
    <row r="708" spans="1:7">
      <c r="A708" s="206"/>
      <c r="B708" s="8"/>
      <c r="C708" s="8"/>
      <c r="D708" s="8"/>
      <c r="E708" s="8"/>
      <c r="F708" s="8"/>
      <c r="G708" s="8"/>
    </row>
    <row r="709" spans="1:7">
      <c r="A709" s="206"/>
      <c r="B709" s="8"/>
      <c r="C709" s="8"/>
      <c r="D709" s="8"/>
      <c r="E709" s="8"/>
      <c r="F709" s="8"/>
      <c r="G709" s="8"/>
    </row>
    <row r="710" spans="1:7">
      <c r="A710" s="206"/>
      <c r="B710" s="8"/>
      <c r="C710" s="8"/>
      <c r="D710" s="8"/>
      <c r="E710" s="8"/>
      <c r="F710" s="8"/>
      <c r="G710" s="8"/>
    </row>
    <row r="711" spans="1:7">
      <c r="A711" s="206"/>
      <c r="B711" s="8"/>
      <c r="C711" s="8"/>
      <c r="D711" s="8"/>
      <c r="E711" s="8"/>
      <c r="F711" s="8"/>
      <c r="G711" s="8"/>
    </row>
    <row r="712" spans="1:7">
      <c r="A712" s="206"/>
      <c r="B712" s="8"/>
      <c r="C712" s="8"/>
      <c r="D712" s="8"/>
      <c r="E712" s="8"/>
      <c r="F712" s="8"/>
      <c r="G712" s="8"/>
    </row>
    <row r="713" spans="1:7">
      <c r="A713" s="206"/>
      <c r="B713" s="8"/>
      <c r="C713" s="8"/>
      <c r="D713" s="8"/>
      <c r="E713" s="8"/>
      <c r="F713" s="8"/>
      <c r="G713" s="8"/>
    </row>
    <row r="714" spans="1:7">
      <c r="A714" s="206"/>
      <c r="B714" s="8"/>
      <c r="C714" s="8"/>
      <c r="D714" s="8"/>
      <c r="E714" s="8"/>
      <c r="F714" s="8"/>
      <c r="G714" s="8"/>
    </row>
    <row r="715" spans="1:7">
      <c r="A715" s="206"/>
      <c r="B715" s="8"/>
      <c r="C715" s="8"/>
      <c r="D715" s="8"/>
      <c r="E715" s="8"/>
      <c r="F715" s="8"/>
      <c r="G715" s="8"/>
    </row>
    <row r="718" spans="1:7">
      <c r="A718" t="s">
        <v>105</v>
      </c>
      <c r="B718" t="s">
        <v>145</v>
      </c>
      <c r="C718" t="s">
        <v>325</v>
      </c>
      <c r="D718" t="s">
        <v>326</v>
      </c>
      <c r="E718" t="s">
        <v>327</v>
      </c>
      <c r="F718" t="s">
        <v>328</v>
      </c>
      <c r="G718" t="s">
        <v>329</v>
      </c>
    </row>
    <row r="719" spans="1:7">
      <c r="A719" s="206"/>
    </row>
    <row r="720" spans="1:7">
      <c r="A720" s="206"/>
    </row>
    <row r="721" spans="1:1">
      <c r="A721" s="206"/>
    </row>
    <row r="722" spans="1:1">
      <c r="A722" s="206"/>
    </row>
    <row r="723" spans="1:1">
      <c r="A723" s="206"/>
    </row>
    <row r="724" spans="1:1">
      <c r="A724" s="206"/>
    </row>
    <row r="725" spans="1:1">
      <c r="A725" s="206"/>
    </row>
    <row r="726" spans="1:1">
      <c r="A726" s="206"/>
    </row>
    <row r="727" spans="1:1">
      <c r="A727" s="206"/>
    </row>
    <row r="728" spans="1:1">
      <c r="A728" s="206"/>
    </row>
    <row r="729" spans="1:1">
      <c r="A729" s="206"/>
    </row>
    <row r="730" spans="1:1">
      <c r="A730" s="206"/>
    </row>
    <row r="731" spans="1:1">
      <c r="A731" s="206"/>
    </row>
    <row r="732" spans="1:1">
      <c r="A732" s="206"/>
    </row>
    <row r="733" spans="1:1">
      <c r="A733" s="206"/>
    </row>
    <row r="734" spans="1:1">
      <c r="A734" s="206"/>
    </row>
    <row r="735" spans="1:1">
      <c r="A735" s="206"/>
    </row>
    <row r="736" spans="1:1">
      <c r="A736" s="206"/>
    </row>
    <row r="737" spans="1:1">
      <c r="A737" s="206"/>
    </row>
    <row r="738" spans="1:1">
      <c r="A738" s="206"/>
    </row>
    <row r="739" spans="1:1">
      <c r="A739" s="206"/>
    </row>
    <row r="740" spans="1:1">
      <c r="A740" s="206"/>
    </row>
    <row r="741" spans="1:1">
      <c r="A741" s="206"/>
    </row>
    <row r="742" spans="1:1">
      <c r="A742" s="206"/>
    </row>
    <row r="743" spans="1:1">
      <c r="A743" s="206"/>
    </row>
    <row r="744" spans="1:1">
      <c r="A744" s="206"/>
    </row>
    <row r="745" spans="1:1">
      <c r="A745" s="206"/>
    </row>
    <row r="746" spans="1:1">
      <c r="A746" s="206"/>
    </row>
    <row r="747" spans="1:1">
      <c r="A747" s="206"/>
    </row>
    <row r="748" spans="1:1">
      <c r="A748" s="206"/>
    </row>
    <row r="749" spans="1:1">
      <c r="A749" s="206"/>
    </row>
    <row r="750" spans="1:1">
      <c r="A750" s="206"/>
    </row>
    <row r="751" spans="1:1">
      <c r="A751" s="206"/>
    </row>
    <row r="752" spans="1:1">
      <c r="A752" s="206"/>
    </row>
    <row r="753" spans="1:1">
      <c r="A753" s="206"/>
    </row>
    <row r="754" spans="1:1">
      <c r="A754" s="206"/>
    </row>
    <row r="755" spans="1:1">
      <c r="A755" s="206"/>
    </row>
    <row r="756" spans="1:1">
      <c r="A756" s="206"/>
    </row>
    <row r="757" spans="1:1">
      <c r="A757" s="206"/>
    </row>
    <row r="758" spans="1:1">
      <c r="A758" s="206"/>
    </row>
    <row r="759" spans="1:1">
      <c r="A759" s="206"/>
    </row>
    <row r="760" spans="1:1">
      <c r="A760" s="206"/>
    </row>
    <row r="761" spans="1:1">
      <c r="A761" s="206"/>
    </row>
    <row r="762" spans="1:1">
      <c r="A762" s="206"/>
    </row>
    <row r="763" spans="1:1">
      <c r="A763" s="206"/>
    </row>
    <row r="764" spans="1:1">
      <c r="A764" s="206"/>
    </row>
    <row r="765" spans="1:1">
      <c r="A765" s="206"/>
    </row>
    <row r="766" spans="1:1">
      <c r="A766" s="206"/>
    </row>
    <row r="767" spans="1:1">
      <c r="A767" s="206"/>
    </row>
    <row r="768" spans="1:1">
      <c r="A768" s="206"/>
    </row>
    <row r="769" spans="1:1">
      <c r="A769" s="206"/>
    </row>
    <row r="770" spans="1:1">
      <c r="A770" s="206"/>
    </row>
    <row r="771" spans="1:1">
      <c r="A771" s="206"/>
    </row>
    <row r="772" spans="1:1">
      <c r="A772" s="206"/>
    </row>
    <row r="773" spans="1:1">
      <c r="A773" s="206"/>
    </row>
    <row r="774" spans="1:1">
      <c r="A774" s="206"/>
    </row>
    <row r="775" spans="1:1">
      <c r="A775" s="206"/>
    </row>
    <row r="776" spans="1:1">
      <c r="A776" s="206"/>
    </row>
    <row r="777" spans="1:1">
      <c r="A777" s="206"/>
    </row>
    <row r="778" spans="1:1">
      <c r="A778" s="206"/>
    </row>
    <row r="779" spans="1:1">
      <c r="A779" s="206"/>
    </row>
    <row r="780" spans="1:1">
      <c r="A780" s="206"/>
    </row>
    <row r="781" spans="1:1">
      <c r="A781" s="206"/>
    </row>
    <row r="782" spans="1:1">
      <c r="A782" s="206"/>
    </row>
    <row r="783" spans="1:1">
      <c r="A783" s="206"/>
    </row>
    <row r="784" spans="1:1">
      <c r="A784" s="206"/>
    </row>
    <row r="785" spans="1:7">
      <c r="A785" s="206"/>
    </row>
    <row r="786" spans="1:7">
      <c r="A786" s="206"/>
    </row>
    <row r="787" spans="1:7">
      <c r="A787" s="206"/>
    </row>
    <row r="788" spans="1:7">
      <c r="A788" s="206"/>
    </row>
    <row r="789" spans="1:7">
      <c r="A789" s="206"/>
    </row>
    <row r="790" spans="1:7">
      <c r="A790" s="206"/>
    </row>
    <row r="791" spans="1:7">
      <c r="A791" s="206"/>
    </row>
    <row r="792" spans="1:7">
      <c r="A792" s="206"/>
      <c r="B792" s="8"/>
      <c r="C792" s="8"/>
      <c r="D792" s="8"/>
      <c r="E792" s="8"/>
      <c r="F792" s="8"/>
      <c r="G792" s="8"/>
    </row>
    <row r="793" spans="1:7">
      <c r="A793" s="206"/>
      <c r="B793" s="8"/>
      <c r="C793" s="8"/>
      <c r="D793" s="8"/>
      <c r="E793" s="8"/>
      <c r="F793" s="8"/>
      <c r="G793" s="8"/>
    </row>
    <row r="794" spans="1:7">
      <c r="A794" s="206"/>
      <c r="B794" s="8"/>
      <c r="C794" s="8"/>
      <c r="D794" s="8"/>
      <c r="E794" s="8"/>
      <c r="F794" s="8"/>
      <c r="G794" s="8"/>
    </row>
    <row r="795" spans="1:7">
      <c r="A795" s="206"/>
      <c r="B795" s="8"/>
      <c r="C795" s="8"/>
      <c r="D795" s="8"/>
      <c r="E795" s="8"/>
      <c r="F795" s="8"/>
      <c r="G795" s="8"/>
    </row>
    <row r="796" spans="1:7">
      <c r="A796" s="206"/>
      <c r="B796" s="8"/>
      <c r="C796" s="8"/>
      <c r="D796" s="8"/>
      <c r="E796" s="8"/>
      <c r="F796" s="8"/>
      <c r="G796" s="8"/>
    </row>
    <row r="797" spans="1:7">
      <c r="A797" s="206"/>
      <c r="B797" s="8"/>
      <c r="C797" s="8"/>
      <c r="D797" s="8"/>
      <c r="E797" s="8"/>
      <c r="F797" s="8"/>
      <c r="G797" s="8"/>
    </row>
    <row r="798" spans="1:7">
      <c r="A798" s="206"/>
      <c r="B798" s="8"/>
      <c r="C798" s="8"/>
      <c r="D798" s="8"/>
      <c r="E798" s="8"/>
      <c r="F798" s="8"/>
      <c r="G798" s="8"/>
    </row>
    <row r="799" spans="1:7">
      <c r="A799" s="206"/>
      <c r="B799" s="8"/>
      <c r="C799" s="8"/>
      <c r="D799" s="8"/>
      <c r="E799" s="8"/>
      <c r="F799" s="8"/>
      <c r="G799" s="8"/>
    </row>
    <row r="800" spans="1:7">
      <c r="A800" s="206"/>
      <c r="B800" s="8"/>
      <c r="C800" s="8"/>
      <c r="D800" s="8"/>
      <c r="E800" s="8"/>
      <c r="F800" s="8"/>
      <c r="G800" s="8"/>
    </row>
    <row r="801" spans="1:7">
      <c r="A801" s="206"/>
      <c r="B801" s="8"/>
      <c r="C801" s="8"/>
      <c r="D801" s="8"/>
      <c r="E801" s="8"/>
      <c r="F801" s="8"/>
      <c r="G801" s="8"/>
    </row>
    <row r="802" spans="1:7">
      <c r="A802" s="206"/>
      <c r="B802" s="8"/>
      <c r="C802" s="8"/>
      <c r="D802" s="8"/>
      <c r="E802" s="8"/>
      <c r="F802" s="8"/>
      <c r="G802" s="8"/>
    </row>
    <row r="803" spans="1:7">
      <c r="A803" s="206"/>
      <c r="B803" s="8"/>
      <c r="C803" s="8"/>
      <c r="D803" s="8"/>
      <c r="E803" s="8"/>
      <c r="F803" s="8"/>
      <c r="G803" s="8"/>
    </row>
    <row r="804" spans="1:7">
      <c r="A804" s="206"/>
      <c r="B804" s="8"/>
      <c r="C804" s="8"/>
      <c r="D804" s="8"/>
      <c r="E804" s="8"/>
      <c r="F804" s="8"/>
      <c r="G804" s="8"/>
    </row>
    <row r="805" spans="1:7">
      <c r="A805" s="206"/>
      <c r="B805" s="8"/>
      <c r="C805" s="8"/>
      <c r="D805" s="8"/>
      <c r="E805" s="8"/>
      <c r="F805" s="8"/>
      <c r="G805" s="8"/>
    </row>
    <row r="806" spans="1:7">
      <c r="A806" s="206"/>
      <c r="B806" s="8"/>
      <c r="C806" s="8"/>
      <c r="D806" s="8"/>
      <c r="E806" s="8"/>
      <c r="F806" s="8"/>
      <c r="G806" s="8"/>
    </row>
    <row r="807" spans="1:7">
      <c r="A807" s="206"/>
      <c r="B807" s="8"/>
      <c r="C807" s="8"/>
      <c r="D807" s="8"/>
      <c r="E807" s="8"/>
      <c r="F807" s="8"/>
      <c r="G807" s="8"/>
    </row>
    <row r="808" spans="1:7">
      <c r="A808" s="206"/>
      <c r="B808" s="8"/>
      <c r="C808" s="8"/>
      <c r="D808" s="8"/>
      <c r="E808" s="8"/>
      <c r="F808" s="8"/>
      <c r="G808" s="8"/>
    </row>
    <row r="809" spans="1:7">
      <c r="A809" s="206"/>
      <c r="B809" s="8"/>
      <c r="C809" s="8"/>
      <c r="D809" s="8"/>
      <c r="E809" s="8"/>
      <c r="F809" s="8"/>
      <c r="G809" s="8"/>
    </row>
    <row r="810" spans="1:7">
      <c r="A810" s="206"/>
      <c r="B810" s="8"/>
      <c r="C810" s="8"/>
      <c r="D810" s="8"/>
      <c r="E810" s="8"/>
      <c r="F810" s="8"/>
      <c r="G810" s="8"/>
    </row>
    <row r="811" spans="1:7">
      <c r="A811" s="206"/>
      <c r="B811" s="8"/>
      <c r="C811" s="8"/>
      <c r="D811" s="8"/>
      <c r="E811" s="8"/>
      <c r="F811" s="8"/>
      <c r="G811" s="8"/>
    </row>
    <row r="812" spans="1:7">
      <c r="A812" s="206"/>
      <c r="B812" s="8"/>
      <c r="C812" s="8"/>
      <c r="D812" s="8"/>
      <c r="E812" s="8"/>
      <c r="F812" s="8"/>
      <c r="G812" s="8"/>
    </row>
    <row r="813" spans="1:7">
      <c r="A813" s="206"/>
      <c r="B813" s="8"/>
      <c r="C813" s="8"/>
      <c r="D813" s="8"/>
      <c r="E813" s="8"/>
      <c r="F813" s="8"/>
      <c r="G813" s="8"/>
    </row>
    <row r="814" spans="1:7">
      <c r="A814" s="206"/>
      <c r="B814" s="8"/>
      <c r="C814" s="8"/>
      <c r="D814" s="8"/>
      <c r="E814" s="8"/>
      <c r="F814" s="8"/>
      <c r="G814" s="8"/>
    </row>
    <row r="815" spans="1:7">
      <c r="A815" s="206"/>
      <c r="B815" s="8"/>
      <c r="C815" s="8"/>
      <c r="D815" s="8"/>
      <c r="E815" s="8"/>
      <c r="F815" s="8"/>
      <c r="G815" s="8"/>
    </row>
    <row r="816" spans="1:7">
      <c r="A816" s="206"/>
      <c r="B816" s="8"/>
      <c r="C816" s="8"/>
      <c r="D816" s="8"/>
      <c r="E816" s="8"/>
      <c r="F816" s="8"/>
      <c r="G816" s="8"/>
    </row>
    <row r="817" spans="1:7">
      <c r="A817" s="206"/>
      <c r="B817" s="8"/>
      <c r="C817" s="8"/>
      <c r="D817" s="8"/>
      <c r="E817" s="8"/>
      <c r="F817" s="8"/>
      <c r="G817" s="8"/>
    </row>
    <row r="818" spans="1:7">
      <c r="A818" s="206"/>
      <c r="B818" s="8"/>
      <c r="C818" s="8"/>
      <c r="D818" s="8"/>
      <c r="E818" s="8"/>
      <c r="F818" s="8"/>
      <c r="G818" s="8"/>
    </row>
    <row r="819" spans="1:7">
      <c r="A819" s="206"/>
      <c r="B819" s="8"/>
      <c r="C819" s="8"/>
      <c r="D819" s="8"/>
      <c r="E819" s="8"/>
      <c r="F819" s="8"/>
      <c r="G819" s="8"/>
    </row>
    <row r="820" spans="1:7">
      <c r="A820" s="206"/>
      <c r="B820" s="8"/>
      <c r="C820" s="8"/>
      <c r="D820" s="8"/>
      <c r="E820" s="8"/>
      <c r="F820" s="8"/>
      <c r="G820" s="8"/>
    </row>
    <row r="821" spans="1:7">
      <c r="A821" s="206"/>
      <c r="B821" s="8"/>
      <c r="C821" s="8"/>
      <c r="D821" s="8"/>
      <c r="E821" s="8"/>
      <c r="F821" s="8"/>
      <c r="G821" s="8"/>
    </row>
    <row r="822" spans="1:7">
      <c r="A822" s="206"/>
      <c r="B822" s="8"/>
      <c r="C822" s="8"/>
      <c r="D822" s="8"/>
      <c r="E822" s="8"/>
      <c r="F822" s="8"/>
      <c r="G822" s="8"/>
    </row>
    <row r="823" spans="1:7">
      <c r="A823" s="206"/>
      <c r="B823" s="8"/>
      <c r="C823" s="8"/>
      <c r="D823" s="8"/>
      <c r="E823" s="8"/>
      <c r="F823" s="8"/>
      <c r="G823" s="8"/>
    </row>
    <row r="824" spans="1:7">
      <c r="A824" s="206"/>
      <c r="B824" s="8"/>
      <c r="C824" s="8"/>
      <c r="D824" s="8"/>
      <c r="E824" s="8"/>
      <c r="F824" s="8"/>
      <c r="G824" s="8"/>
    </row>
    <row r="825" spans="1:7">
      <c r="A825" s="206"/>
      <c r="B825" s="8"/>
      <c r="C825" s="8"/>
      <c r="D825" s="8"/>
      <c r="E825" s="8"/>
      <c r="F825" s="8"/>
      <c r="G825" s="8"/>
    </row>
    <row r="826" spans="1:7">
      <c r="A826" s="206"/>
      <c r="B826" s="8"/>
      <c r="C826" s="8"/>
      <c r="D826" s="8"/>
      <c r="E826" s="8"/>
      <c r="F826" s="8"/>
      <c r="G826" s="8"/>
    </row>
    <row r="827" spans="1:7">
      <c r="A827" s="206"/>
      <c r="B827" s="8"/>
      <c r="C827" s="8"/>
      <c r="D827" s="8"/>
      <c r="E827" s="8"/>
      <c r="F827" s="8"/>
      <c r="G827" s="8"/>
    </row>
    <row r="828" spans="1:7">
      <c r="A828" s="206"/>
      <c r="B828" s="8"/>
      <c r="C828" s="8"/>
      <c r="D828" s="8"/>
      <c r="E828" s="8"/>
      <c r="F828" s="8"/>
      <c r="G828" s="8"/>
    </row>
    <row r="829" spans="1:7">
      <c r="A829" s="206"/>
      <c r="B829" s="8"/>
      <c r="C829" s="8"/>
      <c r="D829" s="8"/>
      <c r="E829" s="8"/>
      <c r="F829" s="8"/>
      <c r="G829" s="8"/>
    </row>
    <row r="830" spans="1:7">
      <c r="A830" s="206"/>
      <c r="B830" s="8"/>
      <c r="C830" s="8"/>
      <c r="D830" s="8"/>
      <c r="E830" s="8"/>
      <c r="F830" s="8"/>
      <c r="G830" s="8"/>
    </row>
    <row r="831" spans="1:7">
      <c r="A831" s="206"/>
      <c r="B831" s="8"/>
      <c r="C831" s="8"/>
      <c r="D831" s="8"/>
      <c r="E831" s="8"/>
      <c r="F831" s="8"/>
      <c r="G831" s="8"/>
    </row>
    <row r="832" spans="1:7">
      <c r="A832" s="206"/>
      <c r="B832" s="8"/>
      <c r="C832" s="8"/>
      <c r="D832" s="8"/>
      <c r="E832" s="8"/>
      <c r="F832" s="8"/>
      <c r="G832" s="8"/>
    </row>
    <row r="833" spans="1:7">
      <c r="A833" s="206"/>
      <c r="B833" s="8"/>
      <c r="C833" s="8"/>
      <c r="D833" s="8"/>
      <c r="E833" s="8"/>
      <c r="F833" s="8"/>
      <c r="G833" s="8"/>
    </row>
    <row r="834" spans="1:7">
      <c r="A834" s="206"/>
      <c r="B834" s="8"/>
      <c r="C834" s="8"/>
      <c r="D834" s="8"/>
      <c r="E834" s="8"/>
      <c r="F834" s="8"/>
      <c r="G834" s="8"/>
    </row>
    <row r="835" spans="1:7">
      <c r="A835" s="206"/>
      <c r="B835" s="8"/>
      <c r="C835" s="8"/>
      <c r="D835" s="8"/>
      <c r="E835" s="8"/>
      <c r="F835" s="8"/>
      <c r="G835" s="8"/>
    </row>
    <row r="836" spans="1:7">
      <c r="A836" s="206"/>
      <c r="B836" s="8"/>
      <c r="C836" s="8"/>
      <c r="D836" s="8"/>
      <c r="E836" s="8"/>
      <c r="F836" s="8"/>
      <c r="G836" s="8"/>
    </row>
    <row r="837" spans="1:7">
      <c r="A837" s="206"/>
      <c r="B837" s="8"/>
      <c r="C837" s="8"/>
      <c r="D837" s="8"/>
      <c r="E837" s="8"/>
      <c r="F837" s="8"/>
      <c r="G837" s="8"/>
    </row>
    <row r="838" spans="1:7">
      <c r="A838" s="206"/>
      <c r="B838" s="8"/>
      <c r="C838" s="8"/>
      <c r="D838" s="8"/>
      <c r="E838" s="8"/>
      <c r="F838" s="8"/>
      <c r="G838" s="8"/>
    </row>
    <row r="839" spans="1:7">
      <c r="A839" s="206"/>
      <c r="B839" s="8"/>
      <c r="C839" s="8"/>
      <c r="D839" s="8"/>
      <c r="E839" s="8"/>
      <c r="F839" s="8"/>
      <c r="G839" s="8"/>
    </row>
    <row r="840" spans="1:7">
      <c r="A840" s="206"/>
      <c r="B840" s="8"/>
      <c r="C840" s="8"/>
      <c r="D840" s="8"/>
      <c r="E840" s="8"/>
      <c r="F840" s="8"/>
      <c r="G840" s="8"/>
    </row>
    <row r="841" spans="1:7">
      <c r="A841" s="206"/>
      <c r="B841" s="8"/>
      <c r="C841" s="8"/>
      <c r="D841" s="8"/>
      <c r="E841" s="8"/>
      <c r="F841" s="8"/>
      <c r="G841" s="8"/>
    </row>
    <row r="842" spans="1:7">
      <c r="A842" s="206"/>
      <c r="B842" s="8"/>
      <c r="C842" s="8"/>
      <c r="D842" s="8"/>
      <c r="E842" s="8"/>
      <c r="F842" s="8"/>
      <c r="G842" s="8"/>
    </row>
    <row r="843" spans="1:7">
      <c r="A843" s="206"/>
      <c r="B843" s="8"/>
      <c r="C843" s="8"/>
      <c r="D843" s="8"/>
      <c r="E843" s="8"/>
      <c r="F843" s="8"/>
      <c r="G843" s="8"/>
    </row>
    <row r="844" spans="1:7">
      <c r="A844" s="206"/>
      <c r="B844" s="8"/>
      <c r="C844" s="8"/>
      <c r="D844" s="8"/>
      <c r="E844" s="8"/>
      <c r="F844" s="8"/>
      <c r="G844" s="8"/>
    </row>
    <row r="845" spans="1:7">
      <c r="A845" s="206"/>
      <c r="B845" s="8"/>
      <c r="C845" s="8"/>
      <c r="D845" s="8"/>
      <c r="E845" s="8"/>
      <c r="F845" s="8"/>
      <c r="G845" s="8"/>
    </row>
    <row r="846" spans="1:7">
      <c r="A846" s="206"/>
      <c r="B846" s="8"/>
      <c r="C846" s="8"/>
      <c r="D846" s="8"/>
      <c r="E846" s="8"/>
      <c r="F846" s="8"/>
      <c r="G846" s="8"/>
    </row>
    <row r="847" spans="1:7">
      <c r="A847" s="206"/>
      <c r="B847" s="8"/>
      <c r="C847" s="8"/>
      <c r="D847" s="8"/>
      <c r="E847" s="8"/>
      <c r="F847" s="8"/>
      <c r="G847" s="8"/>
    </row>
    <row r="848" spans="1:7">
      <c r="A848" s="206"/>
      <c r="B848" s="8"/>
      <c r="C848" s="8"/>
      <c r="D848" s="8"/>
      <c r="E848" s="8"/>
      <c r="F848" s="8"/>
      <c r="G848" s="8"/>
    </row>
    <row r="849" spans="1:7">
      <c r="A849" s="206"/>
      <c r="B849" s="8"/>
      <c r="C849" s="8"/>
      <c r="D849" s="8"/>
      <c r="E849" s="8"/>
      <c r="F849" s="8"/>
      <c r="G849" s="8"/>
    </row>
    <row r="850" spans="1:7">
      <c r="A850" s="206"/>
      <c r="B850" s="8"/>
      <c r="C850" s="8"/>
      <c r="D850" s="8"/>
      <c r="E850" s="8"/>
      <c r="F850" s="8"/>
      <c r="G850" s="8"/>
    </row>
    <row r="851" spans="1:7">
      <c r="A851" s="206"/>
      <c r="B851" s="8"/>
      <c r="C851" s="8"/>
      <c r="D851" s="8"/>
      <c r="E851" s="8"/>
      <c r="F851" s="8"/>
      <c r="G851" s="8"/>
    </row>
    <row r="852" spans="1:7">
      <c r="A852" s="206"/>
      <c r="B852" s="8"/>
      <c r="C852" s="8"/>
      <c r="D852" s="8"/>
      <c r="E852" s="8"/>
      <c r="F852" s="8"/>
      <c r="G852" s="8"/>
    </row>
    <row r="853" spans="1:7">
      <c r="A853" s="206"/>
      <c r="B853" s="8"/>
      <c r="C853" s="8"/>
      <c r="D853" s="8"/>
      <c r="E853" s="8"/>
      <c r="F853" s="8"/>
      <c r="G853" s="8"/>
    </row>
    <row r="854" spans="1:7">
      <c r="A854" s="206"/>
      <c r="B854" s="8"/>
      <c r="C854" s="8"/>
      <c r="D854" s="8"/>
      <c r="E854" s="8"/>
      <c r="F854" s="8"/>
      <c r="G854" s="8"/>
    </row>
    <row r="855" spans="1:7">
      <c r="A855" s="206"/>
      <c r="B855" s="8"/>
      <c r="C855" s="8"/>
      <c r="D855" s="8"/>
      <c r="E855" s="8"/>
      <c r="F855" s="8"/>
      <c r="G855" s="8"/>
    </row>
    <row r="856" spans="1:7">
      <c r="A856" s="206"/>
      <c r="B856" s="8"/>
      <c r="C856" s="8"/>
      <c r="D856" s="8"/>
      <c r="E856" s="8"/>
      <c r="F856" s="8"/>
      <c r="G856" s="8"/>
    </row>
    <row r="857" spans="1:7">
      <c r="A857" s="206"/>
      <c r="B857" s="8"/>
      <c r="C857" s="8"/>
      <c r="D857" s="8"/>
      <c r="E857" s="8"/>
      <c r="F857" s="8"/>
      <c r="G857" s="8"/>
    </row>
    <row r="858" spans="1:7">
      <c r="A858" s="206"/>
      <c r="B858" s="8"/>
      <c r="C858" s="8"/>
      <c r="D858" s="8"/>
      <c r="E858" s="8"/>
      <c r="F858" s="8"/>
      <c r="G858" s="8"/>
    </row>
    <row r="859" spans="1:7">
      <c r="A859" s="206"/>
      <c r="B859" s="8"/>
      <c r="C859" s="8"/>
      <c r="D859" s="8"/>
      <c r="E859" s="8"/>
      <c r="F859" s="8"/>
      <c r="G859" s="8"/>
    </row>
    <row r="860" spans="1:7">
      <c r="A860" s="206"/>
      <c r="B860" s="8"/>
      <c r="C860" s="8"/>
      <c r="D860" s="8"/>
      <c r="E860" s="8"/>
      <c r="F860" s="8"/>
      <c r="G860" s="8"/>
    </row>
    <row r="861" spans="1:7">
      <c r="A861" s="206"/>
      <c r="B861" s="8"/>
      <c r="C861" s="8"/>
      <c r="D861" s="8"/>
      <c r="E861" s="8"/>
      <c r="F861" s="8"/>
      <c r="G861" s="8"/>
    </row>
    <row r="862" spans="1:7">
      <c r="A862" s="206"/>
      <c r="B862" s="8"/>
      <c r="C862" s="8"/>
      <c r="D862" s="8"/>
      <c r="E862" s="8"/>
      <c r="F862" s="8"/>
      <c r="G862" s="8"/>
    </row>
    <row r="863" spans="1:7">
      <c r="A863" s="206"/>
      <c r="B863" s="8"/>
      <c r="C863" s="8"/>
      <c r="D863" s="8"/>
      <c r="E863" s="8"/>
      <c r="F863" s="8"/>
      <c r="G863" s="8"/>
    </row>
    <row r="864" spans="1:7">
      <c r="A864" s="206"/>
      <c r="B864" s="8"/>
      <c r="C864" s="8"/>
      <c r="D864" s="8"/>
      <c r="E864" s="8"/>
      <c r="F864" s="8"/>
      <c r="G864" s="8"/>
    </row>
    <row r="865" spans="1:7">
      <c r="A865" s="206"/>
      <c r="B865" s="8"/>
      <c r="C865" s="8"/>
      <c r="D865" s="8"/>
      <c r="E865" s="8"/>
      <c r="F865" s="8"/>
      <c r="G865" s="8"/>
    </row>
    <row r="866" spans="1:7">
      <c r="A866" s="206"/>
      <c r="B866" s="8"/>
      <c r="C866" s="8"/>
      <c r="D866" s="8"/>
      <c r="E866" s="8"/>
      <c r="F866" s="8"/>
      <c r="G866" s="8"/>
    </row>
    <row r="867" spans="1:7">
      <c r="A867" s="206"/>
      <c r="B867" s="8"/>
      <c r="C867" s="8"/>
      <c r="D867" s="8"/>
      <c r="E867" s="8"/>
      <c r="F867" s="8"/>
      <c r="G867" s="8"/>
    </row>
    <row r="868" spans="1:7">
      <c r="A868" s="206"/>
      <c r="B868" s="8"/>
      <c r="C868" s="8"/>
      <c r="D868" s="8"/>
      <c r="E868" s="8"/>
      <c r="F868" s="8"/>
      <c r="G868" s="8"/>
    </row>
    <row r="869" spans="1:7">
      <c r="A869" s="206"/>
      <c r="B869" s="8"/>
      <c r="C869" s="8"/>
      <c r="D869" s="8"/>
      <c r="E869" s="8"/>
      <c r="F869" s="8"/>
      <c r="G869" s="8"/>
    </row>
    <row r="870" spans="1:7">
      <c r="A870" s="206"/>
      <c r="B870" s="8"/>
      <c r="C870" s="8"/>
      <c r="D870" s="8"/>
      <c r="E870" s="8"/>
      <c r="F870" s="8"/>
      <c r="G870" s="8"/>
    </row>
    <row r="871" spans="1:7">
      <c r="A871" s="206"/>
      <c r="B871" s="8"/>
      <c r="C871" s="8"/>
      <c r="D871" s="8"/>
      <c r="E871" s="8"/>
      <c r="F871" s="8"/>
      <c r="G871" s="8"/>
    </row>
    <row r="872" spans="1:7">
      <c r="A872" s="206"/>
      <c r="B872" s="8"/>
      <c r="C872" s="8"/>
      <c r="D872" s="8"/>
      <c r="E872" s="8"/>
      <c r="F872" s="8"/>
      <c r="G872" s="8"/>
    </row>
    <row r="873" spans="1:7">
      <c r="A873" s="206"/>
      <c r="B873" s="8"/>
      <c r="C873" s="8"/>
      <c r="D873" s="8"/>
      <c r="E873" s="8"/>
      <c r="F873" s="8"/>
      <c r="G873" s="8"/>
    </row>
    <row r="874" spans="1:7">
      <c r="A874" s="206"/>
      <c r="B874" s="8"/>
      <c r="C874" s="8"/>
      <c r="D874" s="8"/>
      <c r="E874" s="8"/>
      <c r="F874" s="8"/>
      <c r="G874" s="8"/>
    </row>
    <row r="875" spans="1:7">
      <c r="A875" s="206"/>
      <c r="B875" s="8"/>
      <c r="C875" s="8"/>
      <c r="D875" s="8"/>
      <c r="E875" s="8"/>
      <c r="F875" s="8"/>
      <c r="G875" s="8"/>
    </row>
    <row r="876" spans="1:7">
      <c r="A876" s="206"/>
      <c r="B876" s="8"/>
      <c r="C876" s="8"/>
      <c r="D876" s="8"/>
      <c r="E876" s="8"/>
      <c r="F876" s="8"/>
      <c r="G876" s="8"/>
    </row>
    <row r="877" spans="1:7">
      <c r="A877" s="206"/>
      <c r="B877" s="8"/>
      <c r="C877" s="8"/>
      <c r="D877" s="8"/>
      <c r="E877" s="8"/>
      <c r="F877" s="8"/>
      <c r="G877" s="8"/>
    </row>
    <row r="878" spans="1:7">
      <c r="A878" s="206"/>
      <c r="B878" s="8"/>
      <c r="C878" s="8"/>
      <c r="D878" s="8"/>
      <c r="E878" s="8"/>
      <c r="F878" s="8"/>
      <c r="G878" s="8"/>
    </row>
    <row r="879" spans="1:7">
      <c r="A879" s="206"/>
      <c r="B879" s="8"/>
      <c r="C879" s="8"/>
      <c r="D879" s="8"/>
      <c r="E879" s="8"/>
      <c r="F879" s="8"/>
      <c r="G879" s="8"/>
    </row>
    <row r="880" spans="1:7">
      <c r="A880" s="206"/>
      <c r="B880" s="8"/>
      <c r="C880" s="8"/>
      <c r="D880" s="8"/>
      <c r="E880" s="8"/>
      <c r="F880" s="8"/>
      <c r="G880" s="8"/>
    </row>
    <row r="881" spans="1:7">
      <c r="A881" s="206"/>
      <c r="B881" s="8"/>
      <c r="C881" s="8"/>
      <c r="D881" s="8"/>
      <c r="E881" s="8"/>
      <c r="F881" s="8"/>
      <c r="G881" s="8"/>
    </row>
    <row r="882" spans="1:7">
      <c r="A882" s="206"/>
      <c r="B882" s="8"/>
      <c r="C882" s="8"/>
      <c r="D882" s="8"/>
      <c r="E882" s="8"/>
      <c r="F882" s="8"/>
      <c r="G882" s="8"/>
    </row>
    <row r="883" spans="1:7">
      <c r="A883" s="206"/>
      <c r="B883" s="8"/>
      <c r="C883" s="8"/>
      <c r="D883" s="8"/>
      <c r="E883" s="8"/>
      <c r="F883" s="8"/>
      <c r="G883" s="8"/>
    </row>
    <row r="884" spans="1:7">
      <c r="A884" s="206"/>
      <c r="B884" s="8"/>
      <c r="C884" s="8"/>
      <c r="D884" s="8"/>
      <c r="E884" s="8"/>
      <c r="F884" s="8"/>
      <c r="G884" s="8"/>
    </row>
    <row r="885" spans="1:7">
      <c r="A885" s="206"/>
      <c r="B885" s="8"/>
      <c r="C885" s="8"/>
      <c r="D885" s="8"/>
      <c r="E885" s="8"/>
      <c r="F885" s="8"/>
      <c r="G885" s="8"/>
    </row>
    <row r="886" spans="1:7">
      <c r="A886" s="206"/>
      <c r="B886" s="8"/>
      <c r="C886" s="8"/>
      <c r="D886" s="8"/>
      <c r="E886" s="8"/>
      <c r="F886" s="8"/>
      <c r="G886" s="8"/>
    </row>
    <row r="887" spans="1:7">
      <c r="A887" s="206"/>
      <c r="B887" s="206"/>
      <c r="C887" s="8"/>
      <c r="D887" s="8"/>
      <c r="E887" s="8"/>
      <c r="F887" s="8"/>
      <c r="G887" s="8"/>
    </row>
    <row r="888" spans="1:7">
      <c r="A888" s="206"/>
      <c r="B888" s="206"/>
      <c r="C888" s="8"/>
      <c r="D888" s="8"/>
      <c r="E888" s="8"/>
      <c r="F888" s="8"/>
      <c r="G888" s="8"/>
    </row>
    <row r="889" spans="1:7">
      <c r="A889" s="206"/>
      <c r="B889" s="206"/>
      <c r="C889" s="8"/>
      <c r="D889" s="8"/>
      <c r="E889" s="8"/>
      <c r="F889" s="8"/>
      <c r="G889" s="8"/>
    </row>
    <row r="890" spans="1:7">
      <c r="A890" s="206"/>
      <c r="B890" s="206"/>
      <c r="C890" s="8"/>
      <c r="D890" s="8"/>
      <c r="E890" s="8"/>
      <c r="F890" s="8"/>
      <c r="G890" s="8"/>
    </row>
    <row r="891" spans="1:7">
      <c r="A891" s="206"/>
      <c r="B891" s="206"/>
      <c r="C891" s="8"/>
      <c r="D891" s="8"/>
      <c r="E891" s="8"/>
      <c r="F891" s="8"/>
      <c r="G891" s="8"/>
    </row>
    <row r="892" spans="1:7">
      <c r="A892" s="206"/>
      <c r="B892" s="206"/>
      <c r="C892" s="8"/>
      <c r="D892" s="8"/>
      <c r="E892" s="8"/>
      <c r="F892" s="8"/>
      <c r="G892" s="8"/>
    </row>
    <row r="893" spans="1:7">
      <c r="A893" s="206"/>
      <c r="B893" s="206"/>
      <c r="C893" s="8"/>
      <c r="D893" s="8"/>
      <c r="E893" s="8"/>
      <c r="F893" s="8"/>
      <c r="G893" s="8"/>
    </row>
    <row r="894" spans="1:7">
      <c r="A894" s="206"/>
      <c r="B894" s="206"/>
      <c r="C894" s="8"/>
      <c r="D894" s="8"/>
      <c r="E894" s="8"/>
      <c r="F894" s="8"/>
      <c r="G894" s="8"/>
    </row>
    <row r="895" spans="1:7">
      <c r="A895" s="206"/>
      <c r="B895" s="206"/>
      <c r="C895" s="8"/>
      <c r="D895" s="8"/>
      <c r="E895" s="8"/>
      <c r="F895" s="8"/>
      <c r="G895" s="8"/>
    </row>
    <row r="896" spans="1:7">
      <c r="A896" s="206"/>
      <c r="B896" s="206"/>
      <c r="C896" s="8"/>
      <c r="D896" s="8"/>
      <c r="E896" s="8"/>
      <c r="F896" s="8"/>
      <c r="G896" s="8"/>
    </row>
    <row r="897" spans="1:7">
      <c r="A897" s="206"/>
      <c r="B897" s="206"/>
      <c r="C897" s="8"/>
      <c r="D897" s="8"/>
      <c r="E897" s="8"/>
      <c r="F897" s="8"/>
      <c r="G897" s="8"/>
    </row>
    <row r="898" spans="1:7">
      <c r="A898" s="206"/>
      <c r="B898" s="206"/>
      <c r="C898" s="8"/>
      <c r="D898" s="8"/>
      <c r="E898" s="8"/>
      <c r="F898" s="8"/>
      <c r="G898" s="8"/>
    </row>
    <row r="899" spans="1:7">
      <c r="A899" s="206"/>
      <c r="B899" s="206"/>
      <c r="C899" s="8"/>
      <c r="D899" s="8"/>
      <c r="E899" s="8"/>
      <c r="F899" s="8"/>
      <c r="G899" s="8"/>
    </row>
    <row r="900" spans="1:7">
      <c r="A900" s="206"/>
      <c r="B900" s="206"/>
      <c r="C900" s="8"/>
      <c r="D900" s="8"/>
      <c r="E900" s="8"/>
      <c r="F900" s="8"/>
      <c r="G900" s="8"/>
    </row>
    <row r="901" spans="1:7">
      <c r="A901" s="206"/>
      <c r="B901" s="206"/>
      <c r="C901" s="8"/>
      <c r="D901" s="8"/>
      <c r="E901" s="8"/>
      <c r="F901" s="8"/>
      <c r="G901" s="8"/>
    </row>
    <row r="902" spans="1:7">
      <c r="A902" s="206"/>
      <c r="B902" s="206"/>
      <c r="C902" s="8"/>
      <c r="D902" s="8"/>
      <c r="E902" s="8"/>
      <c r="F902" s="8"/>
      <c r="G902" s="8"/>
    </row>
    <row r="903" spans="1:7">
      <c r="A903" s="206"/>
      <c r="B903" s="206"/>
      <c r="C903" s="8"/>
      <c r="D903" s="8"/>
      <c r="E903" s="8"/>
      <c r="F903" s="8"/>
      <c r="G903" s="8"/>
    </row>
    <row r="904" spans="1:7">
      <c r="A904" s="206"/>
      <c r="B904" s="206"/>
      <c r="C904" s="8"/>
      <c r="D904" s="8"/>
      <c r="E904" s="8"/>
      <c r="F904" s="8"/>
      <c r="G904" s="8"/>
    </row>
  </sheetData>
  <pageMargins left="0.7" right="0.7" top="0.75" bottom="0.75" header="0.3" footer="0.3"/>
  <pageSetup orientation="portrait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8BFBB50C97D943AB8492C175B2AEE3" ma:contentTypeVersion="7" ma:contentTypeDescription="Create a new document." ma:contentTypeScope="" ma:versionID="8c087f37a47b635bf3972e640b85d334">
  <xsd:schema xmlns:xsd="http://www.w3.org/2001/XMLSchema" xmlns:xs="http://www.w3.org/2001/XMLSchema" xmlns:p="http://schemas.microsoft.com/office/2006/metadata/properties" xmlns:ns2="ce3c6246-506e-4a94-a91d-ff0ff608911f" xmlns:ns3="27fab723-c88c-422b-9bfc-223bee44e578" targetNamespace="http://schemas.microsoft.com/office/2006/metadata/properties" ma:root="true" ma:fieldsID="1743170891c15dfb2d06a0b545a96469" ns2:_="" ns3:_="">
    <xsd:import namespace="ce3c6246-506e-4a94-a91d-ff0ff608911f"/>
    <xsd:import namespace="27fab723-c88c-422b-9bfc-223bee44e5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c6246-506e-4a94-a91d-ff0ff60891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fab723-c88c-422b-9bfc-223bee44e57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8A81211-65BC-46F3-8A52-F8ADDD3E9E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1B7A9A-60D2-4DCA-BE53-6156BAD725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3c6246-506e-4a94-a91d-ff0ff608911f"/>
    <ds:schemaRef ds:uri="27fab723-c88c-422b-9bfc-223bee44e5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6CFBC5-C5AC-4E62-A186-B4140D6EC80D}">
  <ds:schemaRefs>
    <ds:schemaRef ds:uri="ce3c6246-506e-4a94-a91d-ff0ff608911f"/>
    <ds:schemaRef ds:uri="http://purl.org/dc/terms/"/>
    <ds:schemaRef ds:uri="http://purl.org/dc/dcmitype/"/>
    <ds:schemaRef ds:uri="27fab723-c88c-422b-9bfc-223bee44e578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Documentation</vt:lpstr>
      <vt:lpstr>Calendar</vt:lpstr>
      <vt:lpstr>Metadata Template</vt:lpstr>
      <vt:lpstr>Data</vt:lpstr>
      <vt:lpstr>ActivityList</vt:lpstr>
      <vt:lpstr>Cell Samples</vt:lpstr>
      <vt:lpstr>Data validation criteria</vt:lpstr>
      <vt:lpstr>TransfectionsReport</vt:lpstr>
      <vt:lpstr>FreezeReport</vt:lpstr>
      <vt:lpstr>DiscontinueReport</vt:lpstr>
      <vt:lpstr>Clone Report</vt:lpstr>
      <vt:lpstr>cellnames</vt:lpstr>
      <vt:lpstr>Calendar!DataEntry</vt:lpstr>
      <vt:lpstr>ReportGeneratorData</vt:lpstr>
      <vt:lpstr>Calendar!StartDate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Stinson, Jeffrey R. (Fed)</dc:creator>
  <cp:keywords/>
  <dc:description/>
  <cp:lastModifiedBy>Plant, Anne L. Dr. (Fed)</cp:lastModifiedBy>
  <cp:revision/>
  <cp:lastPrinted>2020-07-12T19:39:32Z</cp:lastPrinted>
  <dcterms:created xsi:type="dcterms:W3CDTF">2018-10-02T20:00:49Z</dcterms:created>
  <dcterms:modified xsi:type="dcterms:W3CDTF">2021-08-11T18:41:34Z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0x010100498BFBB50C97D943AB8492C175B2AEE3</vt:lpwstr>
  </property>
</Properties>
</file>