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backupFile="1" updateLinks="never" codeName="ThisWorkbook" defaultThemeVersion="166925"/>
  <mc:AlternateContent xmlns:mc="http://schemas.openxmlformats.org/markup-compatibility/2006">
    <mc:Choice Requires="x15">
      <x15ac:absPath xmlns:x15ac="http://schemas.microsoft.com/office/spreadsheetml/2010/11/ac" url="C:\Users\aplant\Desktop\TTforSCReports\"/>
    </mc:Choice>
  </mc:AlternateContent>
  <xr:revisionPtr revIDLastSave="0" documentId="8_{7F334047-85CA-4695-BE7D-8FC4F9363879}" xr6:coauthVersionLast="46" xr6:coauthVersionMax="46" xr10:uidLastSave="{00000000-0000-0000-0000-000000000000}"/>
  <bookViews>
    <workbookView xWindow="1763" yWindow="-98" windowWidth="18854" windowHeight="13875" tabRatio="928" xr2:uid="{A7056974-51CC-4EE2-805D-5FE90EC745DE}"/>
  </bookViews>
  <sheets>
    <sheet name="Documentation" sheetId="99" r:id="rId1"/>
    <sheet name="Calendar" sheetId="62" r:id="rId2"/>
    <sheet name="Metadata Template" sheetId="34" r:id="rId3"/>
    <sheet name="Data" sheetId="64" r:id="rId4"/>
    <sheet name="Cell Samples" sheetId="63" r:id="rId5"/>
    <sheet name="ActivityList" sheetId="52" r:id="rId6"/>
    <sheet name="Data validation criteria" sheetId="2" r:id="rId7"/>
    <sheet name="Passage#s200113_C6" sheetId="82" state="hidden" r:id="rId8"/>
    <sheet name="Passage#s200120_B9" sheetId="85" state="hidden" r:id="rId9"/>
    <sheet name="Passage#s200220_C10" sheetId="88" state="hidden" r:id="rId10"/>
    <sheet name="Notes" sheetId="65" state="hidden" r:id="rId11"/>
  </sheets>
  <externalReferences>
    <externalReference r:id="rId12"/>
    <externalReference r:id="rId13"/>
    <externalReference r:id="rId14"/>
  </externalReferences>
  <definedNames>
    <definedName name="_xlnm._FilterDatabase" localSheetId="4" hidden="1">'Cell Samples'!$B$1:$B$2</definedName>
    <definedName name="_xlnm._FilterDatabase" localSheetId="3" hidden="1">Data!$A$2:$H$2</definedName>
    <definedName name="_xlnm._FilterDatabase" localSheetId="7" hidden="1">'Passage#s200113_C6'!$C$1:$C$151</definedName>
    <definedName name="_xlnm._FilterDatabase" localSheetId="8" hidden="1">'Passage#s200120_B9'!$A$1:$G$65</definedName>
    <definedName name="_xlnm._FilterDatabase" localSheetId="9" hidden="1">'Passage#s200220_C10'!$A$1:$G$74</definedName>
    <definedName name="Activities" localSheetId="0">OFFSET([1]ActivityList!$A$1,1,0,COUNTA([1]ActivityList!$A:$A)-1,1)</definedName>
    <definedName name="Activities">OFFSET(ActivityList!$A$1,1,0,COUNTA(ActivityList!$A:$A)-1,1)</definedName>
    <definedName name="cellnames">'Cell Samples'!$A$1:$A$2</definedName>
    <definedName name="CellSampleNames" localSheetId="0">OFFSET('[1]Cell Samples'!$A$1,1,0,COUNTA('[1]Cell Samples'!$A:$A)-1,1)</definedName>
    <definedName name="CellSampleNames">OFFSET('Cell Samples'!$A$1,1,0,COUNTA('Cell Samples'!$A:$A)-1,1)</definedName>
    <definedName name="DataEntry" localSheetId="0">[1]Calendar!$B$5:$S$19,[1]Calendar!$B$21,[1]Calendar!$H$21,[1]Calendar!$N$21,[1]Calendar!$B$25:$S$39,[1]Calendar!$B$41,[1]Calendar!$H$41,[1]Calendar!$N$41,[1]Calendar!$B$45:$S$59,[1]Calendar!$B$61,[1]Calendar!$H$61,[1]Calendar!$N$61,[1]Calendar!$B$65:$S$78,[1]Calendar!$S$79,[1]Calendar!$N$79:$R$79,[1]Calendar!$H$79:$L$79,[1]Calendar!$B$79:$F$79,[1]Calendar!$B$85:$S$99,[1]Calendar!$N$101,[1]Calendar!$H$101,[1]Calendar!$B$101,[1]Calendar!$B$105:$S$119,[1]Calendar!$N$121,[1]Calendar!$H$121,[1]Calendar!$B$121,[1]Calendar!$B$125:$S$139,[1]Calendar!$N$141</definedName>
    <definedName name="DataEntry">Calendar!$B$5:$S$19,Calendar!$B$21,Calendar!$H$21,Calendar!$N$21,Calendar!$B$25:$S$39,Calendar!$B$41,Calendar!$H$41,Calendar!$N$41,Calendar!$B$45:$S$59,Calendar!$B$61,Calendar!$H$61,Calendar!$N$61,Calendar!$B$65:$S$78,Calendar!$S$79,Calendar!$N$79:$R$79,Calendar!$H$79:$L$79,Calendar!$B$79:$F$79,Calendar!$B$85:$S$99,Calendar!$N$101,Calendar!$H$101,Calendar!$B$101,Calendar!$B$105:$S$119,Calendar!$N$121,Calendar!$H$121,Calendar!$B$121,Calendar!$B$125:$S$139,Calendar!$N$141</definedName>
    <definedName name="delete">OFFSET([2]ActivityList!$A$1,1,0,COUNTA([2]ActivityList!$A:$A)-1,1)</definedName>
    <definedName name="delete1">OFFSET('[2]Cell Samples'!$A$1,1,0,COUNTA('[2]Cell Samples'!$A:$A)-1,1)</definedName>
    <definedName name="delete2">[2]Calendar!$B$5:$S$19,[2]Calendar!$B$21,[2]Calendar!$H$21,[2]Calendar!$N$21,[2]Calendar!$B$25:$S$39,[2]Calendar!$B$41,[2]Calendar!$H$41,[2]Calendar!$N$41,[2]Calendar!$B$45:$S$59,[2]Calendar!$B$61,[2]Calendar!$H$61,[2]Calendar!$N$61,[2]Calendar!$B$65:$S$78,[2]Calendar!$S$79,[2]Calendar!$N$79:$R$79,[2]Calendar!$H$79:$L$79,[2]Calendar!$B$79:$F$79,[2]Calendar!$B$85:$S$99,[2]Calendar!$N$101,[2]Calendar!$H$101,[2]Calendar!$B$101,[2]Calendar!$B$105:$S$119,[2]Calendar!$N$121,[2]Calendar!$H$121,[2]Calendar!$B$121,[2]Calendar!$B$125:$S$139,[2]Calendar!$N$141</definedName>
    <definedName name="delete3">[2]Calendar!$N$3</definedName>
    <definedName name="ReportGeneratorData">Data!$A$1:$H$2</definedName>
    <definedName name="StartDate" localSheetId="0">[1]Calendar!$N$3</definedName>
    <definedName name="StartDate">Calendar!$N$3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3" i="34" l="1"/>
  <c r="F40" i="34"/>
  <c r="F39" i="34"/>
  <c r="C39" i="34"/>
  <c r="L30" i="34"/>
  <c r="I30" i="34"/>
  <c r="I29" i="34"/>
  <c r="E29" i="34"/>
  <c r="L29" i="34" s="1"/>
  <c r="L28" i="34"/>
  <c r="I28" i="34"/>
  <c r="C27" i="34"/>
  <c r="E20" i="34"/>
  <c r="E19" i="34"/>
  <c r="L12" i="34"/>
  <c r="L11" i="34"/>
  <c r="L32" i="34" l="1"/>
  <c r="C35" i="34" s="1"/>
  <c r="C34" i="34"/>
  <c r="C36" i="34" s="1"/>
  <c r="I36" i="34" s="1"/>
  <c r="E36" i="34" l="1"/>
  <c r="M32" i="34"/>
  <c r="G60" i="85"/>
  <c r="D147" i="82"/>
  <c r="D144" i="82"/>
  <c r="D143" i="82"/>
  <c r="D141" i="82"/>
  <c r="D139" i="82"/>
  <c r="D2" i="88" l="1"/>
  <c r="D5" i="88"/>
  <c r="D7" i="88"/>
  <c r="D14" i="88"/>
  <c r="D16" i="88"/>
  <c r="D18" i="88"/>
  <c r="D20" i="88"/>
  <c r="D22" i="88"/>
  <c r="D31" i="88"/>
  <c r="D35" i="88"/>
  <c r="D37" i="88"/>
  <c r="D49" i="88"/>
  <c r="D64" i="88"/>
  <c r="D66" i="88"/>
  <c r="D69" i="88"/>
  <c r="G73" i="88"/>
  <c r="D51" i="85"/>
  <c r="D49" i="85"/>
  <c r="D45" i="85"/>
  <c r="D43" i="85"/>
  <c r="D40" i="85"/>
  <c r="D34" i="85"/>
  <c r="D33" i="85"/>
  <c r="D32" i="85"/>
  <c r="D31" i="85"/>
  <c r="D28" i="85"/>
  <c r="G57" i="85" s="1"/>
  <c r="D26" i="85"/>
  <c r="D19" i="85"/>
  <c r="D17" i="85"/>
  <c r="D15" i="85"/>
  <c r="D13" i="85"/>
  <c r="D9" i="85"/>
  <c r="D7" i="85"/>
  <c r="D6" i="85"/>
  <c r="D154" i="82"/>
  <c r="D158" i="82"/>
  <c r="D160" i="82"/>
  <c r="D99" i="82"/>
  <c r="D114" i="82"/>
  <c r="D116" i="82"/>
  <c r="D2" i="82"/>
  <c r="G116" i="82" s="1"/>
  <c r="D4" i="82"/>
  <c r="D6" i="82"/>
  <c r="D10" i="82"/>
  <c r="D13" i="82"/>
  <c r="D15" i="82"/>
  <c r="D21" i="82"/>
  <c r="D23" i="82"/>
  <c r="D27" i="82"/>
  <c r="D31" i="82"/>
  <c r="D35" i="82"/>
  <c r="D40" i="82"/>
  <c r="D53" i="82"/>
  <c r="D55" i="82"/>
  <c r="D57" i="82"/>
  <c r="D66" i="82"/>
  <c r="D69" i="82"/>
  <c r="D77" i="82"/>
  <c r="D80" i="82"/>
  <c r="D81" i="82"/>
  <c r="D88" i="82"/>
  <c r="D90" i="82"/>
  <c r="D92" i="82"/>
  <c r="H7" i="34"/>
  <c r="C55" i="34"/>
  <c r="H11" i="34"/>
  <c r="D44" i="34"/>
  <c r="E51" i="34"/>
  <c r="N52" i="34" s="1"/>
  <c r="E50" i="34"/>
  <c r="E21" i="34" s="1"/>
  <c r="E23" i="34" s="1"/>
  <c r="H3" i="62"/>
  <c r="H23" i="62" s="1"/>
  <c r="H43" i="62" s="1"/>
  <c r="H63" i="62" s="1"/>
  <c r="H83" i="62" s="1"/>
  <c r="H103" i="62" s="1"/>
  <c r="H123" i="62" s="1"/>
  <c r="N23" i="62"/>
  <c r="N43" i="62" s="1"/>
  <c r="N63" i="62" s="1"/>
  <c r="N83" i="62" s="1"/>
  <c r="N103" i="62" s="1"/>
  <c r="N123" i="62" s="1"/>
  <c r="G50" i="34" l="1"/>
  <c r="I50" i="34" s="1"/>
  <c r="M51" i="34" s="1"/>
  <c r="N51" i="34" s="1"/>
  <c r="G51" i="34"/>
  <c r="I51" i="34" s="1"/>
  <c r="M52" i="34" s="1"/>
  <c r="G92" i="82"/>
  <c r="G160" i="82"/>
  <c r="G100" i="82"/>
  <c r="B3" i="62"/>
  <c r="B23" i="62" s="1"/>
  <c r="B43" i="62" s="1"/>
  <c r="B63" i="62" s="1"/>
  <c r="B83" i="62" s="1"/>
  <c r="B103" i="62" s="1"/>
  <c r="B123" i="62" s="1"/>
</calcChain>
</file>

<file path=xl/sharedStrings.xml><?xml version="1.0" encoding="utf-8"?>
<sst xmlns="http://schemas.openxmlformats.org/spreadsheetml/2006/main" count="1094" uniqueCount="349">
  <si>
    <t>TRANSFECTION METADATA</t>
  </si>
  <si>
    <t>Date of transfection</t>
  </si>
  <si>
    <t>Cell type</t>
  </si>
  <si>
    <t>LaminB-WTC11</t>
  </si>
  <si>
    <t>Cell source</t>
  </si>
  <si>
    <t>Coriell</t>
  </si>
  <si>
    <t>Freeze date</t>
  </si>
  <si>
    <t>Thaw date</t>
  </si>
  <si>
    <t>Passages since thaw</t>
  </si>
  <si>
    <t>Passage number</t>
  </si>
  <si>
    <t>passage#at freeze</t>
  </si>
  <si>
    <t>Karyotype analysis</t>
  </si>
  <si>
    <t>Original plasmid backbone</t>
  </si>
  <si>
    <t>pUC19-OCT4-T2A-NLS-EmGFP-P2A-Puro</t>
  </si>
  <si>
    <t>Source</t>
  </si>
  <si>
    <t>Addgene</t>
  </si>
  <si>
    <t>Other plamid components</t>
  </si>
  <si>
    <t>eGFP</t>
  </si>
  <si>
    <t>pSAD-F3-NPEST-iCRE-2A-mCherryPEST</t>
  </si>
  <si>
    <t>WTC11cells</t>
  </si>
  <si>
    <t>Gene targeted</t>
  </si>
  <si>
    <t>OCT4</t>
  </si>
  <si>
    <t>FluorescentProtein</t>
  </si>
  <si>
    <t>m-Cherry</t>
  </si>
  <si>
    <t>Guide RNA Designation</t>
  </si>
  <si>
    <t>OCT4sg2</t>
  </si>
  <si>
    <t>Synthego</t>
  </si>
  <si>
    <t>Sequence</t>
  </si>
  <si>
    <t>OCT4sg2:GGCACCUCAGUUUGAAUGCA</t>
  </si>
  <si>
    <t>Yes</t>
  </si>
  <si>
    <t>Amaxa</t>
  </si>
  <si>
    <t xml:space="preserve">Electroporation program </t>
  </si>
  <si>
    <t>CB-150</t>
  </si>
  <si>
    <t>Electroporation buffer</t>
  </si>
  <si>
    <t>P3</t>
  </si>
  <si>
    <t>MTeSR+pen/strep</t>
  </si>
  <si>
    <t>TC 96 well</t>
  </si>
  <si>
    <t>Matrigel</t>
  </si>
  <si>
    <t>Control transfections</t>
  </si>
  <si>
    <t xml:space="preserve"> </t>
  </si>
  <si>
    <t>WTC11</t>
  </si>
  <si>
    <t> pcDNA3.3_d2eGFP</t>
  </si>
  <si>
    <t>TC 6 well</t>
  </si>
  <si>
    <t>Operator</t>
  </si>
  <si>
    <t>Instrument</t>
  </si>
  <si>
    <t>CO2</t>
  </si>
  <si>
    <t>Incubator chamber</t>
  </si>
  <si>
    <t>Cell Source</t>
  </si>
  <si>
    <t>in-house genetic modification</t>
  </si>
  <si>
    <t>Culture medium</t>
  </si>
  <si>
    <t>Culture matrix</t>
  </si>
  <si>
    <t>plate type</t>
  </si>
  <si>
    <t>Passage method</t>
  </si>
  <si>
    <t>Imaging mode</t>
  </si>
  <si>
    <t>Zeiss631951</t>
  </si>
  <si>
    <t>ND2</t>
  </si>
  <si>
    <t>Cytation Spa</t>
  </si>
  <si>
    <t>WiCell</t>
  </si>
  <si>
    <t>GFP OCT4</t>
  </si>
  <si>
    <t>RPMI+serum</t>
  </si>
  <si>
    <t>none</t>
  </si>
  <si>
    <t>accutase</t>
  </si>
  <si>
    <t>Zernike Phase</t>
  </si>
  <si>
    <t>Cytation 1810011F</t>
  </si>
  <si>
    <t>Checked</t>
  </si>
  <si>
    <t>Kerbos</t>
  </si>
  <si>
    <t>mCherry OCT4</t>
  </si>
  <si>
    <t>mTeSR</t>
  </si>
  <si>
    <t>TC 24 well</t>
  </si>
  <si>
    <t>trypsin/EDTA</t>
  </si>
  <si>
    <t>Quantitative Phase</t>
  </si>
  <si>
    <t>Zeiss ..</t>
  </si>
  <si>
    <t>Plexiglass</t>
  </si>
  <si>
    <t>Coriell/Allen Institute</t>
  </si>
  <si>
    <t>GFP SOX2</t>
  </si>
  <si>
    <t>laminin</t>
  </si>
  <si>
    <t>TC 12 well</t>
  </si>
  <si>
    <t>collagenase</t>
  </si>
  <si>
    <t>Fluorescence</t>
  </si>
  <si>
    <t>Aplant</t>
  </si>
  <si>
    <t>Zeiss…</t>
  </si>
  <si>
    <t>H09</t>
  </si>
  <si>
    <t>ATCC</t>
  </si>
  <si>
    <t>GFP Nanog</t>
  </si>
  <si>
    <t>Stemflex</t>
  </si>
  <si>
    <t>vitronectin</t>
  </si>
  <si>
    <t>Bright field</t>
  </si>
  <si>
    <t>H09eGFP-OCT4</t>
  </si>
  <si>
    <t>mCherry Nanog</t>
  </si>
  <si>
    <t>gelatin</t>
  </si>
  <si>
    <t>TC 10cm</t>
  </si>
  <si>
    <t>mCherry SOX2</t>
  </si>
  <si>
    <t>glass</t>
  </si>
  <si>
    <t>Other</t>
  </si>
  <si>
    <t>EGFP TN-C</t>
  </si>
  <si>
    <t>Falcon 353219</t>
  </si>
  <si>
    <t>Plasmid components</t>
  </si>
  <si>
    <t>Column1</t>
  </si>
  <si>
    <t>Genetarget</t>
  </si>
  <si>
    <t>Fluoresc Protein</t>
  </si>
  <si>
    <t>cell source</t>
  </si>
  <si>
    <t>transfectn method</t>
  </si>
  <si>
    <t>suspension media</t>
  </si>
  <si>
    <t>other plasmid components</t>
  </si>
  <si>
    <t>Source of gRNA</t>
  </si>
  <si>
    <t>Electro Buffer</t>
  </si>
  <si>
    <t>Guide RNA</t>
  </si>
  <si>
    <t>sgRNASeq</t>
  </si>
  <si>
    <t>WCT11</t>
  </si>
  <si>
    <t>Amaxa X-kit</t>
  </si>
  <si>
    <t>no guide RNA</t>
  </si>
  <si>
    <t>OCT4sg1</t>
  </si>
  <si>
    <t>pUC19-SOX2-T2A-2xNLS-tdTomato-F2A-Puro</t>
  </si>
  <si>
    <t>SOX2</t>
  </si>
  <si>
    <t>Lipofectamin</t>
  </si>
  <si>
    <t>no donor plasmid</t>
  </si>
  <si>
    <t>StemCellTechnologies</t>
  </si>
  <si>
    <t>P4</t>
  </si>
  <si>
    <t>Nanog</t>
  </si>
  <si>
    <t>GFPplasmid added</t>
  </si>
  <si>
    <t>IDT</t>
  </si>
  <si>
    <t>OCT4sg3</t>
  </si>
  <si>
    <t>OCT4sg3:UCUCCCAUGCAUUCAAACUG</t>
  </si>
  <si>
    <t>GFPprotein added</t>
  </si>
  <si>
    <t>SOX2sg1</t>
  </si>
  <si>
    <t>SOX2sg1:CGGCCCUCACAUGUGUGAGA</t>
  </si>
  <si>
    <t>SOX2sg2</t>
  </si>
  <si>
    <t>SOX2sg2:GUGAGGGCCGGACAGCGAAC</t>
  </si>
  <si>
    <t>SOX2sg3</t>
  </si>
  <si>
    <t>SOX2sg3:UGCCCCUCUCACACAUGUGA</t>
  </si>
  <si>
    <t>Electroporation Program</t>
  </si>
  <si>
    <t>CA-137</t>
  </si>
  <si>
    <t>No</t>
  </si>
  <si>
    <t>CD-118</t>
  </si>
  <si>
    <t>CM-113</t>
  </si>
  <si>
    <t>DC-100</t>
  </si>
  <si>
    <t>COULTER Counter Results:</t>
  </si>
  <si>
    <t>Column2</t>
  </si>
  <si>
    <t>Thaw</t>
  </si>
  <si>
    <t>Image</t>
  </si>
  <si>
    <t>Passage</t>
  </si>
  <si>
    <t>Transfect</t>
  </si>
  <si>
    <t>#</t>
  </si>
  <si>
    <t>Activity</t>
  </si>
  <si>
    <t>Freeze</t>
  </si>
  <si>
    <t>Feed w Ri</t>
  </si>
  <si>
    <t>Sort</t>
  </si>
  <si>
    <t>Activities</t>
  </si>
  <si>
    <t>Notes</t>
  </si>
  <si>
    <t>Daily Notes</t>
  </si>
  <si>
    <t>Plate</t>
  </si>
  <si>
    <t>Cell Sample Names</t>
  </si>
  <si>
    <t>Cell Sample Name</t>
  </si>
  <si>
    <t>Date</t>
  </si>
  <si>
    <t>Row</t>
  </si>
  <si>
    <t>Activity ID</t>
  </si>
  <si>
    <t>Date Created</t>
  </si>
  <si>
    <t>Transfector</t>
  </si>
  <si>
    <t xml:space="preserve">PURPOSE: </t>
  </si>
  <si>
    <t xml:space="preserve">Date cells received </t>
  </si>
  <si>
    <t>STR anal</t>
  </si>
  <si>
    <t>mycoplasma</t>
  </si>
  <si>
    <t>Transfection method</t>
  </si>
  <si>
    <t>Matrigel coating date</t>
  </si>
  <si>
    <t>input data</t>
  </si>
  <si>
    <t>6well plate harvest</t>
  </si>
  <si>
    <t>resusp to count</t>
  </si>
  <si>
    <t>incl .08mLposttrnsfctnincuba</t>
  </si>
  <si>
    <t>PREPARE REAGENTS FOR TRANSFECTION</t>
  </si>
  <si>
    <t>dilute w TE</t>
  </si>
  <si>
    <t>Stock Conc</t>
  </si>
  <si>
    <t>Dilu factor</t>
  </si>
  <si>
    <t>Working conc</t>
  </si>
  <si>
    <r>
      <rPr>
        <sz val="11"/>
        <color theme="1"/>
        <rFont val="Symbol"/>
        <family val="1"/>
        <charset val="2"/>
      </rPr>
      <t>m</t>
    </r>
    <r>
      <rPr>
        <sz val="11"/>
        <color theme="1"/>
        <rFont val="Calibri"/>
        <family val="2"/>
        <scheme val="minor"/>
      </rPr>
      <t>L of reactants</t>
    </r>
  </si>
  <si>
    <t xml:space="preserve"> Cas9:gRNA</t>
  </si>
  <si>
    <t>pmol Cas9</t>
  </si>
  <si>
    <t>Cas9</t>
  </si>
  <si>
    <r>
      <t xml:space="preserve"> </t>
    </r>
    <r>
      <rPr>
        <b/>
        <sz val="11"/>
        <color theme="1"/>
        <rFont val="Symbol"/>
        <family val="1"/>
        <charset val="2"/>
      </rPr>
      <t>m</t>
    </r>
    <r>
      <rPr>
        <b/>
        <sz val="11"/>
        <color theme="1"/>
        <rFont val="Calibri"/>
        <family val="2"/>
        <scheme val="minor"/>
      </rPr>
      <t>M</t>
    </r>
  </si>
  <si>
    <t>pmol gRNA</t>
  </si>
  <si>
    <t xml:space="preserve">gRNA </t>
  </si>
  <si>
    <r>
      <rPr>
        <sz val="10"/>
        <color theme="1"/>
        <rFont val="Symbol"/>
        <family val="1"/>
        <charset val="2"/>
      </rPr>
      <t>m</t>
    </r>
    <r>
      <rPr>
        <sz val="10"/>
        <color theme="1"/>
        <rFont val="Calibri"/>
        <family val="2"/>
        <scheme val="minor"/>
      </rPr>
      <t>g plsmdDNA</t>
    </r>
  </si>
  <si>
    <t xml:space="preserve">plsmdDNA </t>
  </si>
  <si>
    <r>
      <t xml:space="preserve"> </t>
    </r>
    <r>
      <rPr>
        <b/>
        <sz val="11"/>
        <color theme="1"/>
        <rFont val="Symbol"/>
        <family val="1"/>
        <charset val="2"/>
      </rPr>
      <t>m</t>
    </r>
    <r>
      <rPr>
        <b/>
        <sz val="11"/>
        <color theme="1"/>
        <rFont val="Calibri"/>
        <family val="2"/>
        <scheme val="minor"/>
      </rPr>
      <t>g/</t>
    </r>
    <r>
      <rPr>
        <b/>
        <sz val="11"/>
        <color theme="1"/>
        <rFont val="Symbol"/>
        <family val="1"/>
        <charset val="2"/>
      </rPr>
      <t>m</t>
    </r>
    <r>
      <rPr>
        <b/>
        <sz val="11"/>
        <color theme="1"/>
        <rFont val="Calibri"/>
        <family val="2"/>
        <scheme val="minor"/>
      </rPr>
      <t>L</t>
    </r>
  </si>
  <si>
    <t>Total Volume of reactants</t>
  </si>
  <si>
    <t>Volume of cells</t>
  </si>
  <si>
    <t>Vol reactants</t>
  </si>
  <si>
    <t>Total vol rxn</t>
  </si>
  <si>
    <t>pmol RNA-prot cmplx</t>
  </si>
  <si>
    <t>PREPARE CELLS FOR TRANSFECTION</t>
  </si>
  <si>
    <t>Post transfection plate: 96-well</t>
  </si>
  <si>
    <t>Tot well vol</t>
  </si>
  <si>
    <t>0.1mL</t>
  </si>
  <si>
    <t>mL/well</t>
  </si>
  <si>
    <t>#cellstotal</t>
  </si>
  <si>
    <t>HELPER CELLS</t>
  </si>
  <si>
    <t xml:space="preserve">#cell/mL </t>
  </si>
  <si>
    <t>TRANSFECTANTS</t>
  </si>
  <si>
    <t>helpr cells</t>
  </si>
  <si>
    <t>transfctnts</t>
  </si>
  <si>
    <t>Time of plating post transfection</t>
  </si>
  <si>
    <t>Transfection designator</t>
  </si>
  <si>
    <t>Transfection protocol</t>
  </si>
  <si>
    <t>how shipped</t>
  </si>
  <si>
    <t>cell shipping method</t>
  </si>
  <si>
    <t>live</t>
  </si>
  <si>
    <t>dry ice</t>
  </si>
  <si>
    <t>Dewer flask</t>
  </si>
  <si>
    <t>total mL</t>
  </si>
  <si>
    <t xml:space="preserve">mL </t>
  </si>
  <si>
    <t>vol to fill 96well posttransfctn</t>
  </si>
  <si>
    <r>
      <rPr>
        <sz val="11"/>
        <color theme="1"/>
        <rFont val="Symbol"/>
        <family val="1"/>
        <charset val="2"/>
      </rPr>
      <t>m</t>
    </r>
    <r>
      <rPr>
        <sz val="11"/>
        <color theme="1"/>
        <rFont val="Calibri"/>
        <family val="2"/>
        <scheme val="minor"/>
      </rPr>
      <t>g plasmidDNA</t>
    </r>
  </si>
  <si>
    <t>20200120mChOCT4sg2</t>
  </si>
  <si>
    <t>NOTES</t>
  </si>
  <si>
    <t>Coulter Counter data image</t>
  </si>
  <si>
    <t># cells to be transfected</t>
  </si>
  <si>
    <t>Resource</t>
  </si>
  <si>
    <t>5' homology arm</t>
  </si>
  <si>
    <t>3' homology arm</t>
  </si>
  <si>
    <t>Note: homology arms are 3' and 5' of the stop codon</t>
  </si>
  <si>
    <t>#wells in plate</t>
  </si>
  <si>
    <t>desired # cells/well</t>
  </si>
  <si>
    <t>final vol cell susp (mL)</t>
  </si>
  <si>
    <t xml:space="preserve"> Helper cells:Take volume for posttransfection plating. Transfectants: Centrifuge volume, resuspend in .02mL for transfection and add .08mL for postT incubation.</t>
  </si>
  <si>
    <t>mL/96well</t>
  </si>
  <si>
    <t>Vol of mTESR+Ri (mL)</t>
  </si>
  <si>
    <t>Vol of cells needed(mL)</t>
  </si>
  <si>
    <t>20200113mChOCT4sg2_C6</t>
  </si>
  <si>
    <t>20200113mChOCT4sg2_C6_Sort1</t>
  </si>
  <si>
    <t>20200113mChOCT4sg2_C6_Sort2</t>
  </si>
  <si>
    <t>Extract DNA</t>
  </si>
  <si>
    <t>20200120mChOCT4sg2_B9</t>
  </si>
  <si>
    <t>20200120mChOCT4sg2_B9_Sort1</t>
  </si>
  <si>
    <t>20200120mChOCT4sg2_B9_Sort2</t>
  </si>
  <si>
    <t>20200220mChOCT4sg2_C10</t>
  </si>
  <si>
    <t>20200220mChOCT4sg2_C10_Sort1</t>
  </si>
  <si>
    <t>20200220mChOCT4sg2_C9_Sort1 and D8 Dropped.</t>
  </si>
  <si>
    <t>20200120mChOCT4sg2_B9U_Sort2</t>
  </si>
  <si>
    <t>20200113mChOCT4sg2_C6_Sort3</t>
  </si>
  <si>
    <t>Using mTeSRPLUS. Matrigel coating 20200815</t>
  </si>
  <si>
    <t>20200113mChOCT4sg2_C6_Sort4</t>
  </si>
  <si>
    <t>Feed w mTeSR++Ri</t>
  </si>
  <si>
    <t>Feed w mTeSr+</t>
  </si>
  <si>
    <t>20200113mChOCT4sg2_C7_Sort4</t>
  </si>
  <si>
    <t>20200113mChOCT4sg2_C6_Sort5</t>
  </si>
  <si>
    <t>20200220mChOCT4sg2_C10_Sort2</t>
  </si>
  <si>
    <t>20200113mChOCT4sg2_C6_Sort6</t>
  </si>
  <si>
    <t>20200113mChOCT4sg2_C6_Sort7</t>
  </si>
  <si>
    <t>20200220mChOCT4sg2_C10_Sort3</t>
  </si>
  <si>
    <t>20200220mChOCT4sg2_C10_Sort4</t>
  </si>
  <si>
    <t>Discontinue</t>
  </si>
  <si>
    <t>Send out for analysis</t>
  </si>
  <si>
    <t>20200120mChOCT4sg2_B9U_Sort3</t>
  </si>
  <si>
    <t>#Passages</t>
  </si>
  <si>
    <t>Username</t>
  </si>
  <si>
    <t>Computer Name</t>
  </si>
  <si>
    <t>passageCount</t>
  </si>
  <si>
    <t>PassageCount</t>
  </si>
  <si>
    <t>Passage count</t>
  </si>
  <si>
    <t>Passage#</t>
  </si>
  <si>
    <t>FACS analysis to evaluate fluorescent signature of banked cells after thaw.</t>
  </si>
  <si>
    <t>STR and Mycoplasma at ATCC.</t>
  </si>
  <si>
    <t>PREP media for transf/posttransf</t>
  </si>
  <si>
    <t>Harvest cells from 6well plate and count</t>
  </si>
  <si>
    <t>#wells to harvest</t>
  </si>
  <si>
    <t xml:space="preserve">Total volume </t>
  </si>
  <si>
    <t>Transfection vessel</t>
  </si>
  <si>
    <t>strip well</t>
  </si>
  <si>
    <t xml:space="preserve">Vol cells /vessel </t>
  </si>
  <si>
    <t># vessels</t>
  </si>
  <si>
    <r>
      <rPr>
        <sz val="11"/>
        <color theme="1"/>
        <rFont val="Symbol"/>
        <family val="1"/>
        <charset val="2"/>
      </rPr>
      <t>m</t>
    </r>
    <r>
      <rPr>
        <sz val="11"/>
        <color theme="1"/>
        <rFont val="Calibri"/>
        <family val="2"/>
        <scheme val="minor"/>
      </rPr>
      <t>L</t>
    </r>
  </si>
  <si>
    <t>mTeSR+Ri</t>
  </si>
  <si>
    <t>mTeSR+</t>
  </si>
  <si>
    <t>mTeSR+ +Ri</t>
  </si>
  <si>
    <t>transf vessel</t>
  </si>
  <si>
    <t>cuvette</t>
  </si>
  <si>
    <t>Source of plasmid material</t>
  </si>
  <si>
    <t>Donor Plasmid Name</t>
  </si>
  <si>
    <t>pSOX2_GFP_Long3HA</t>
  </si>
  <si>
    <t>in-house</t>
  </si>
  <si>
    <t>WTC11 genomic DNA</t>
  </si>
  <si>
    <t>pOCT4_mCh long5'HA</t>
  </si>
  <si>
    <t>pSOX2_GFP</t>
  </si>
  <si>
    <t>line 85</t>
  </si>
  <si>
    <t>Shell ("cmd /c md " &amp; Chr(34) &amp; Sheets("Documentation").Range("A6") &amp; "\" &amp; Split(Data(0), "_")(0) &amp; "\" &amp; Split(Data(0), "_")(1) &amp; "\Sort" &amp; SortID &amp; "\" &amp; Chr(34))</t>
  </si>
  <si>
    <t>Shell ("cmd /c md " &amp; Chr(34) &amp; Sheets("Documentation").Range("A6") &amp; "\" &amp; Cells(i, StartCol).Value &amp; Chr(34))</t>
  </si>
  <si>
    <t>line 148</t>
  </si>
  <si>
    <t>new sort directory</t>
  </si>
  <si>
    <t>new transfection directory</t>
  </si>
  <si>
    <t>Shell ("cmd /c md " &amp; Chr(34) &amp; Sheets("Documentation").Range("A6") &amp; "\" &amp; Response &amp; "\" &amp; CloneID &amp; Chr(34))</t>
  </si>
  <si>
    <t>line 304</t>
  </si>
  <si>
    <t>new clone dir</t>
  </si>
  <si>
    <t>line 5</t>
  </si>
  <si>
    <t>Dim savePath, WBname, WBname_backup, WBname_no_extension As String</t>
  </si>
  <si>
    <t>archive excel files</t>
  </si>
  <si>
    <t>Workbook BeforeSave</t>
  </si>
  <si>
    <t>ModDat(Code) Save Data</t>
  </si>
  <si>
    <t>there are no daily notes</t>
  </si>
  <si>
    <t>Excel Version:</t>
  </si>
  <si>
    <t>Microsoft Excel for Microsoft 365 MSO (16.0.13127.21490) 32-bit</t>
  </si>
  <si>
    <t>TO AUTOMATICALLY CREATE HUMAN-READABLE FOLDERS WITHIN A LOGICAL FOLDER-FILE STRUCTURE:</t>
  </si>
  <si>
    <t>PLACE THE URL OF THE HIGHEST LEVEL FOLDERS IN CELL A6 OF THIS WORKSHEET</t>
  </si>
  <si>
    <t>If this feature is not desired, make the following lines of VBA code into comments</t>
  </si>
  <si>
    <t>ModData(Code) SaveData</t>
  </si>
  <si>
    <t>ModData(Code) SelectClone</t>
  </si>
  <si>
    <t>TO AUTOMATICALLY SAVE USERID AND COMPUTER NAME TO DATA WORKSHEET:</t>
  </si>
  <si>
    <t>write username</t>
  </si>
  <si>
    <t>line 188</t>
  </si>
  <si>
    <t>.Range("I" &amp; Row).Value = Environ("UserName")</t>
  </si>
  <si>
    <t>write computer name</t>
  </si>
  <si>
    <t>line 189</t>
  </si>
  <si>
    <t>.Range("J" &amp; Row).Value = Environ("ComputerName")</t>
  </si>
  <si>
    <t xml:space="preserve">For more details see </t>
  </si>
  <si>
    <t>https://github.com/usnistgov/cell-line-engineering</t>
  </si>
  <si>
    <t>README.docx</t>
  </si>
  <si>
    <t>ORGANIZATION OF WORKSHEETS IN THIS WORKBOOK:</t>
  </si>
  <si>
    <t>Worksheet name</t>
  </si>
  <si>
    <t>Worksheet Type</t>
  </si>
  <si>
    <t>Description</t>
  </si>
  <si>
    <t>Documentation</t>
  </si>
  <si>
    <t>List key commands and workflows</t>
  </si>
  <si>
    <t xml:space="preserve">Calendar </t>
  </si>
  <si>
    <t>Data Entry</t>
  </si>
  <si>
    <t>For entering daily activities</t>
  </si>
  <si>
    <t>Metadata Template</t>
  </si>
  <si>
    <t>Template</t>
  </si>
  <si>
    <t>Blank template for entering transfection details</t>
  </si>
  <si>
    <t>Data</t>
  </si>
  <si>
    <t>Report</t>
  </si>
  <si>
    <r>
      <t xml:space="preserve">Tabular form of all entries on </t>
    </r>
    <r>
      <rPr>
        <b/>
        <sz val="11"/>
        <color theme="1"/>
        <rFont val="Calibri"/>
        <family val="2"/>
        <scheme val="minor"/>
      </rPr>
      <t>Calendar</t>
    </r>
  </si>
  <si>
    <t>ActivityList</t>
  </si>
  <si>
    <t>Term list</t>
  </si>
  <si>
    <r>
      <t xml:space="preserve">Activities that can be selected on the </t>
    </r>
    <r>
      <rPr>
        <b/>
        <sz val="11"/>
        <color theme="1"/>
        <rFont val="Calibri"/>
        <family val="2"/>
        <scheme val="minor"/>
      </rPr>
      <t>Calendar</t>
    </r>
  </si>
  <si>
    <t>Cell Samples</t>
  </si>
  <si>
    <r>
      <t xml:space="preserve">Allsamples created that can be selected on the </t>
    </r>
    <r>
      <rPr>
        <b/>
        <sz val="11"/>
        <color theme="1"/>
        <rFont val="Calibri"/>
        <family val="2"/>
        <scheme val="minor"/>
      </rPr>
      <t>Calendar</t>
    </r>
  </si>
  <si>
    <t>Data validation criteria</t>
  </si>
  <si>
    <r>
      <t xml:space="preserve">Source of all drop-down lists on the </t>
    </r>
    <r>
      <rPr>
        <b/>
        <sz val="11"/>
        <color theme="1"/>
        <rFont val="Calibri"/>
        <family val="2"/>
        <scheme val="minor"/>
      </rPr>
      <t>Metadata Template</t>
    </r>
  </si>
  <si>
    <t>JS</t>
  </si>
  <si>
    <t>MH</t>
  </si>
  <si>
    <t>EK</t>
  </si>
  <si>
    <t>Cell A6 on this page is referenced in the code to direct the creation of folders and files in specified computer locations.</t>
  </si>
  <si>
    <t>The following lines of code are comments by default:</t>
  </si>
  <si>
    <t>To activate automatic creation of folders for data storage based on Cell Sample Name, or to record UserName and ComputerName associated with data entry, remove the comment indicator from these lines in the code.</t>
  </si>
  <si>
    <t>TO EXAMINE THE PROGRAM:</t>
  </si>
  <si>
    <t xml:space="preserve">Enable content </t>
  </si>
  <si>
    <r>
      <t xml:space="preserve">Existing cell samples are listed in worksheet </t>
    </r>
    <r>
      <rPr>
        <b/>
        <sz val="11"/>
        <color theme="1"/>
        <rFont val="Calibri"/>
        <family val="2"/>
        <scheme val="minor"/>
      </rPr>
      <t>Cell Samples</t>
    </r>
  </si>
  <si>
    <r>
      <t xml:space="preserve">All activities are listed in worksheet </t>
    </r>
    <r>
      <rPr>
        <b/>
        <sz val="11"/>
        <color theme="1"/>
        <rFont val="Calibri"/>
        <family val="2"/>
        <scheme val="minor"/>
      </rPr>
      <t>ActivityList</t>
    </r>
  </si>
  <si>
    <r>
      <t>A tabular record of activities performed on each cell sample on each date are listed in worksheet</t>
    </r>
    <r>
      <rPr>
        <b/>
        <sz val="11"/>
        <color theme="1"/>
        <rFont val="Calibri"/>
        <family val="2"/>
        <scheme val="minor"/>
      </rPr>
      <t xml:space="preserve"> Data</t>
    </r>
  </si>
  <si>
    <r>
      <t xml:space="preserve">Worksheet </t>
    </r>
    <r>
      <rPr>
        <b/>
        <sz val="11"/>
        <color theme="1"/>
        <rFont val="Calibri"/>
        <family val="2"/>
        <scheme val="minor"/>
      </rPr>
      <t>Calendar</t>
    </r>
    <r>
      <rPr>
        <sz val="11"/>
        <color theme="1"/>
        <rFont val="Calibri"/>
        <family val="2"/>
        <scheme val="minor"/>
      </rPr>
      <t xml:space="preserve"> allows entry of activities performed on each sample for any date</t>
    </r>
  </si>
  <si>
    <r>
      <rPr>
        <b/>
        <sz val="11"/>
        <color theme="1"/>
        <rFont val="Calibri"/>
        <family val="2"/>
        <scheme val="minor"/>
      </rPr>
      <t>VERSION</t>
    </r>
    <r>
      <rPr>
        <sz val="11"/>
        <color theme="1"/>
        <rFont val="Calibri"/>
        <family val="2"/>
        <scheme val="minor"/>
      </rPr>
      <t xml:space="preserve"> Transfection Tracker_v1221.clean.xlsm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</si>
</sst>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dd\ mm/dd/yyyy"/>
    <numFmt numFmtId="165" formatCode=";;;"/>
    <numFmt numFmtId="166" formatCode="0.0"/>
  </numFmts>
  <fonts count="30">
    <font>
      <sz val="11"/>
      <color theme="1"/>
      <name val="Calibri"/>
      <family val="2"/>
      <scheme val="minor"/>
    </font>
    <font>
      <u/>
      <sz val="11"/>
      <color theme="1"/>
      <name val="Calibri"/>
      <family val="2"/>
      <scheme val="minor"/>
    </font>
    <font>
      <b/>
      <sz val="11"/>
      <color theme="1"/>
      <name val="Calibri"/>
      <family val="2"/>
      <scheme val="minor"/>
    </font>
    <font>
      <u/>
      <sz val="11"/>
      <color theme="10"/>
      <name val="Calibri"/>
      <family val="2"/>
      <scheme val="minor"/>
    </font>
    <font>
      <sz val="9"/>
      <color theme="1"/>
      <name val="Calibri"/>
      <family val="2"/>
      <scheme val="minor"/>
    </font>
    <font>
      <sz val="8"/>
      <color theme="1"/>
      <name val="Calibri"/>
      <family val="2"/>
      <scheme val="minor"/>
    </font>
    <font>
      <sz val="11"/>
      <name val="Calibri"/>
      <family val="2"/>
      <scheme val="minor"/>
    </font>
    <font>
      <sz val="11"/>
      <color theme="1"/>
      <name val="Symbol"/>
      <family val="1"/>
      <charset val="2"/>
    </font>
    <font>
      <sz val="10"/>
      <color theme="1"/>
      <name val="Calibri"/>
      <family val="2"/>
      <scheme val="minor"/>
    </font>
    <font>
      <b/>
      <sz val="11"/>
      <name val="Calibri"/>
      <family val="2"/>
      <scheme val="minor"/>
    </font>
    <font>
      <b/>
      <i/>
      <sz val="11"/>
      <color theme="1"/>
      <name val="Calibri"/>
      <family val="2"/>
      <scheme val="minor"/>
    </font>
    <font>
      <b/>
      <sz val="9"/>
      <color theme="1"/>
      <name val="Calibri"/>
      <family val="2"/>
      <scheme val="minor"/>
    </font>
    <font>
      <sz val="11"/>
      <color rgb="FF000000"/>
      <name val="Calibri"/>
      <family val="2"/>
    </font>
    <font>
      <sz val="9"/>
      <color theme="0"/>
      <name val="Calibri"/>
      <family val="2"/>
      <scheme val="minor"/>
    </font>
    <font>
      <b/>
      <i/>
      <sz val="9"/>
      <color theme="1"/>
      <name val="Calibri"/>
      <family val="2"/>
      <scheme val="minor"/>
    </font>
    <font>
      <sz val="11"/>
      <color rgb="FF3F3F76"/>
      <name val="Calibri"/>
      <family val="2"/>
      <scheme val="minor"/>
    </font>
    <font>
      <sz val="11"/>
      <color rgb="FFFF0000"/>
      <name val="Calibri"/>
      <family val="2"/>
      <scheme val="minor"/>
    </font>
    <font>
      <b/>
      <sz val="8"/>
      <color theme="1"/>
      <name val="Calibri"/>
      <family val="2"/>
      <scheme val="minor"/>
    </font>
    <font>
      <sz val="11"/>
      <color rgb="FFC00000"/>
      <name val="Calibri"/>
      <family val="2"/>
      <scheme val="minor"/>
    </font>
    <font>
      <sz val="11"/>
      <color theme="1"/>
      <name val="Calibri"/>
      <family val="1"/>
      <charset val="2"/>
      <scheme val="minor"/>
    </font>
    <font>
      <b/>
      <sz val="11"/>
      <color theme="1"/>
      <name val="Symbol"/>
      <family val="1"/>
      <charset val="2"/>
    </font>
    <font>
      <sz val="10"/>
      <color theme="1"/>
      <name val="Calibri"/>
      <family val="1"/>
      <charset val="2"/>
      <scheme val="minor"/>
    </font>
    <font>
      <sz val="10"/>
      <color theme="1"/>
      <name val="Symbol"/>
      <family val="1"/>
      <charset val="2"/>
    </font>
    <font>
      <b/>
      <sz val="10"/>
      <color theme="1"/>
      <name val="Calibri"/>
      <family val="2"/>
      <scheme val="minor"/>
    </font>
    <font>
      <u/>
      <sz val="9"/>
      <color theme="1"/>
      <name val="Calibri"/>
      <family val="2"/>
      <scheme val="minor"/>
    </font>
    <font>
      <b/>
      <sz val="9"/>
      <color rgb="FFFF0000"/>
      <name val="Calibri"/>
      <family val="2"/>
      <scheme val="minor"/>
    </font>
    <font>
      <b/>
      <sz val="11"/>
      <color rgb="FFFF0000"/>
      <name val="Calibri"/>
      <family val="2"/>
      <scheme val="minor"/>
    </font>
    <font>
      <b/>
      <sz val="11"/>
      <color theme="0"/>
      <name val="Calibri"/>
      <family val="2"/>
      <scheme val="minor"/>
    </font>
    <font>
      <sz val="11"/>
      <color theme="4"/>
      <name val="Calibri"/>
      <family val="2"/>
      <scheme val="minor"/>
    </font>
    <font>
      <sz val="11"/>
      <color rgb="FF000000"/>
      <name val="Calibri"/>
      <family val="2"/>
      <scheme val="minor"/>
    </font>
  </fonts>
  <fills count="22">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FFCC99"/>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4"/>
        <bgColor theme="4"/>
      </patternFill>
    </fill>
    <fill>
      <patternFill patternType="solid">
        <fgColor theme="0"/>
        <bgColor indexed="64"/>
      </patternFill>
    </fill>
    <fill>
      <patternFill patternType="solid">
        <fgColor rgb="FFFFFF00"/>
        <bgColor indexed="64"/>
      </patternFill>
    </fill>
    <fill>
      <patternFill patternType="solid">
        <fgColor theme="2"/>
        <bgColor indexed="64"/>
      </patternFill>
    </fill>
    <fill>
      <patternFill patternType="solid">
        <fgColor theme="3" tint="0.79998168889431442"/>
        <bgColor indexed="64"/>
      </patternFill>
    </fill>
    <fill>
      <patternFill patternType="solid">
        <fgColor rgb="FFD6DCE4"/>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F2CC"/>
        <bgColor indexed="64"/>
      </patternFill>
    </fill>
  </fills>
  <borders count="80">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top/>
      <bottom style="thin">
        <color auto="1"/>
      </bottom>
      <diagonal/>
    </border>
    <border>
      <left/>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right/>
      <top style="thin">
        <color theme="4" tint="0.39997558519241921"/>
      </top>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auto="1"/>
      </left>
      <right style="thin">
        <color auto="1"/>
      </right>
      <top style="thin">
        <color auto="1"/>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auto="1"/>
      </left>
      <right style="thin">
        <color auto="1"/>
      </right>
      <top style="thin">
        <color auto="1"/>
      </top>
      <bottom style="medium">
        <color indexed="64"/>
      </bottom>
      <diagonal/>
    </border>
    <border>
      <left/>
      <right/>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thin">
        <color auto="1"/>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diagonal/>
    </border>
    <border>
      <left style="thin">
        <color rgb="FF7F7F7F"/>
      </left>
      <right/>
      <top style="thin">
        <color rgb="FF7F7F7F"/>
      </top>
      <bottom/>
      <diagonal/>
    </border>
    <border>
      <left style="medium">
        <color indexed="64"/>
      </left>
      <right style="medium">
        <color indexed="64"/>
      </right>
      <top/>
      <bottom/>
      <diagonal/>
    </border>
    <border>
      <left style="thin">
        <color rgb="FF7F7F7F"/>
      </left>
      <right/>
      <top/>
      <bottom style="thin">
        <color rgb="FF7F7F7F"/>
      </bottom>
      <diagonal/>
    </border>
    <border>
      <left style="medium">
        <color indexed="64"/>
      </left>
      <right style="medium">
        <color indexed="64"/>
      </right>
      <top/>
      <bottom style="medium">
        <color indexed="64"/>
      </bottom>
      <diagonal/>
    </border>
    <border>
      <left style="medium">
        <color indexed="64"/>
      </left>
      <right style="thin">
        <color rgb="FF7F7F7F"/>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7F7F7F"/>
      </left>
      <right style="medium">
        <color indexed="64"/>
      </right>
      <top style="medium">
        <color indexed="64"/>
      </top>
      <bottom style="medium">
        <color indexed="64"/>
      </bottom>
      <diagonal/>
    </border>
    <border>
      <left/>
      <right style="thin">
        <color rgb="FF7F7F7F"/>
      </right>
      <top/>
      <bottom/>
      <diagonal/>
    </border>
    <border>
      <left/>
      <right style="thin">
        <color rgb="FF7F7F7F"/>
      </right>
      <top/>
      <bottom style="medium">
        <color indexed="64"/>
      </bottom>
      <diagonal/>
    </border>
    <border>
      <left style="medium">
        <color indexed="64"/>
      </left>
      <right style="thin">
        <color auto="1"/>
      </right>
      <top style="medium">
        <color indexed="64"/>
      </top>
      <bottom style="thin">
        <color auto="1"/>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rgb="FF7F7F7F"/>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thin">
        <color rgb="FF7F7F7F"/>
      </bottom>
      <diagonal/>
    </border>
    <border>
      <left/>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style="thin">
        <color rgb="FF7F7F7F"/>
      </top>
      <bottom style="medium">
        <color indexed="64"/>
      </bottom>
      <diagonal/>
    </border>
    <border>
      <left/>
      <right/>
      <top style="thin">
        <color rgb="FF7F7F7F"/>
      </top>
      <bottom style="medium">
        <color indexed="64"/>
      </bottom>
      <diagonal/>
    </border>
    <border>
      <left/>
      <right style="medium">
        <color indexed="64"/>
      </right>
      <top style="thin">
        <color rgb="FF7F7F7F"/>
      </top>
      <bottom style="medium">
        <color indexed="64"/>
      </bottom>
      <diagonal/>
    </border>
    <border>
      <left style="thin">
        <color rgb="FF7F7F7F"/>
      </left>
      <right style="thin">
        <color rgb="FF7F7F7F"/>
      </right>
      <top style="medium">
        <color indexed="64"/>
      </top>
      <bottom style="thin">
        <color rgb="FF7F7F7F"/>
      </bottom>
      <diagonal/>
    </border>
    <border>
      <left style="thick">
        <color indexed="64"/>
      </left>
      <right style="thin">
        <color auto="1"/>
      </right>
      <top/>
      <bottom style="thin">
        <color auto="1"/>
      </bottom>
      <diagonal/>
    </border>
    <border>
      <left style="thick">
        <color indexed="64"/>
      </left>
      <right style="thin">
        <color auto="1"/>
      </right>
      <top style="thin">
        <color auto="1"/>
      </top>
      <bottom style="thin">
        <color auto="1"/>
      </bottom>
      <diagonal/>
    </border>
    <border>
      <left/>
      <right/>
      <top style="thick">
        <color indexed="64"/>
      </top>
      <bottom/>
      <diagonal/>
    </border>
    <border>
      <left style="thick">
        <color indexed="64"/>
      </left>
      <right style="medium">
        <color indexed="64"/>
      </right>
      <top/>
      <bottom/>
      <diagonal/>
    </border>
    <border>
      <left style="thick">
        <color indexed="64"/>
      </left>
      <right style="medium">
        <color indexed="64"/>
      </right>
      <top/>
      <bottom style="medium">
        <color indexed="64"/>
      </bottom>
      <diagonal/>
    </border>
    <border>
      <left style="thin">
        <color rgb="FF7F7F7F"/>
      </left>
      <right/>
      <top style="thin">
        <color rgb="FF7F7F7F"/>
      </top>
      <bottom style="thin">
        <color rgb="FF7F7F7F"/>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diagonal/>
    </border>
    <border>
      <left style="medium">
        <color indexed="64"/>
      </left>
      <right style="thick">
        <color indexed="64"/>
      </right>
      <top style="medium">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indexed="64"/>
      </top>
      <bottom/>
      <diagonal/>
    </border>
    <border>
      <left style="thin">
        <color rgb="FF7F7F7F"/>
      </left>
      <right/>
      <top style="thin">
        <color indexed="64"/>
      </top>
      <bottom/>
      <diagonal/>
    </border>
    <border>
      <left style="thin">
        <color rgb="FF7F7F7F"/>
      </left>
      <right style="medium">
        <color indexed="64"/>
      </right>
      <top style="thin">
        <color rgb="FF7F7F7F"/>
      </top>
      <bottom style="thin">
        <color rgb="FF7F7F7F"/>
      </bottom>
      <diagonal/>
    </border>
    <border>
      <left/>
      <right style="thin">
        <color rgb="FF7F7F7F"/>
      </right>
      <top style="thin">
        <color rgb="FF7F7F7F"/>
      </top>
      <bottom style="thin">
        <color rgb="FF7F7F7F"/>
      </bottom>
      <diagonal/>
    </border>
    <border>
      <left style="thin">
        <color theme="4" tint="0.39997558519241921"/>
      </left>
      <right style="thin">
        <color theme="4" tint="0.39997558519241921"/>
      </right>
      <top style="thin">
        <color theme="4" tint="0.39997558519241921"/>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s>
  <cellStyleXfs count="4">
    <xf numFmtId="0" fontId="0" fillId="0" borderId="0"/>
    <xf numFmtId="0" fontId="3" fillId="0" borderId="0" applyNumberFormat="0" applyFill="0" applyBorder="0" applyAlignment="0" applyProtection="0"/>
    <xf numFmtId="0" fontId="15" fillId="7" borderId="22" applyNumberFormat="0" applyAlignment="0" applyProtection="0"/>
    <xf numFmtId="0" fontId="16" fillId="0" borderId="0" applyNumberFormat="0" applyFill="0" applyBorder="0" applyAlignment="0" applyProtection="0"/>
  </cellStyleXfs>
  <cellXfs count="376">
    <xf numFmtId="0" fontId="0" fillId="0" borderId="0" xfId="0"/>
    <xf numFmtId="0" fontId="0" fillId="2" borderId="4" xfId="0" applyFont="1" applyFill="1" applyBorder="1"/>
    <xf numFmtId="0" fontId="0" fillId="0" borderId="4" xfId="0" applyFont="1" applyBorder="1"/>
    <xf numFmtId="0" fontId="3" fillId="0" borderId="0" xfId="1"/>
    <xf numFmtId="16" fontId="0" fillId="0" borderId="0" xfId="0" quotePrefix="1" applyNumberFormat="1"/>
    <xf numFmtId="0" fontId="0" fillId="0" borderId="7" xfId="0" applyFont="1" applyBorder="1"/>
    <xf numFmtId="49" fontId="6" fillId="0" borderId="0" xfId="0" applyNumberFormat="1" applyFont="1" applyProtection="1">
      <protection locked="0"/>
    </xf>
    <xf numFmtId="0" fontId="2" fillId="0" borderId="0" xfId="0" applyFont="1" applyBorder="1"/>
    <xf numFmtId="0" fontId="0" fillId="0" borderId="0" xfId="0"/>
    <xf numFmtId="0" fontId="0" fillId="0" borderId="0" xfId="0" applyFont="1"/>
    <xf numFmtId="0" fontId="0" fillId="0" borderId="0" xfId="0" applyBorder="1"/>
    <xf numFmtId="0" fontId="2" fillId="0" borderId="0" xfId="0" applyFont="1"/>
    <xf numFmtId="0" fontId="4" fillId="0" borderId="0" xfId="0" applyFont="1"/>
    <xf numFmtId="0" fontId="0" fillId="0" borderId="0" xfId="0" quotePrefix="1"/>
    <xf numFmtId="0" fontId="0" fillId="0" borderId="0" xfId="0" applyAlignment="1">
      <alignment horizontal="center"/>
    </xf>
    <xf numFmtId="0" fontId="0" fillId="0" borderId="0" xfId="0" applyFont="1" applyFill="1" applyBorder="1" applyAlignment="1">
      <alignment horizontal="right"/>
    </xf>
    <xf numFmtId="0" fontId="10" fillId="0" borderId="0" xfId="0" applyFont="1"/>
    <xf numFmtId="17" fontId="0" fillId="0" borderId="0" xfId="0" quotePrefix="1" applyNumberFormat="1"/>
    <xf numFmtId="0" fontId="2" fillId="0" borderId="0" xfId="0" applyFont="1" applyAlignment="1">
      <alignment horizontal="center"/>
    </xf>
    <xf numFmtId="0" fontId="4" fillId="0" borderId="11" xfId="0" applyFont="1" applyFill="1" applyBorder="1" applyAlignment="1" applyProtection="1">
      <alignment horizontal="left" vertical="top"/>
      <protection locked="0"/>
    </xf>
    <xf numFmtId="0" fontId="4" fillId="0" borderId="8" xfId="0" applyFont="1" applyFill="1" applyBorder="1" applyAlignment="1" applyProtection="1">
      <alignment horizontal="left" vertical="top"/>
      <protection locked="0"/>
    </xf>
    <xf numFmtId="0" fontId="4" fillId="0" borderId="0" xfId="0" applyFont="1" applyFill="1" applyAlignment="1" applyProtection="1">
      <alignment horizontal="left" vertical="top"/>
      <protection hidden="1"/>
    </xf>
    <xf numFmtId="0" fontId="4" fillId="3" borderId="10"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protection locked="0"/>
    </xf>
    <xf numFmtId="0" fontId="4" fillId="0" borderId="10"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3" borderId="1" xfId="0" applyFont="1" applyFill="1" applyBorder="1" applyAlignment="1" applyProtection="1">
      <alignment horizontal="left" vertical="top" wrapText="1"/>
      <protection locked="0"/>
    </xf>
    <xf numFmtId="0" fontId="4" fillId="3" borderId="9" xfId="0" applyFont="1" applyFill="1" applyBorder="1" applyAlignment="1" applyProtection="1">
      <alignment horizontal="left" vertical="top" wrapText="1"/>
      <protection locked="0"/>
    </xf>
    <xf numFmtId="0" fontId="4" fillId="0" borderId="15" xfId="0" applyFont="1" applyFill="1" applyBorder="1" applyAlignment="1" applyProtection="1">
      <alignment horizontal="left" vertical="top"/>
      <protection locked="0"/>
    </xf>
    <xf numFmtId="0" fontId="4" fillId="0" borderId="16" xfId="0" applyFont="1" applyFill="1" applyBorder="1" applyAlignment="1" applyProtection="1">
      <alignment horizontal="left" vertical="top" wrapText="1"/>
      <protection locked="0"/>
    </xf>
    <xf numFmtId="0" fontId="4" fillId="0" borderId="18" xfId="0" applyFont="1" applyFill="1" applyBorder="1" applyAlignment="1" applyProtection="1">
      <alignment horizontal="left" vertical="top" wrapText="1"/>
      <protection locked="0"/>
    </xf>
    <xf numFmtId="0" fontId="11" fillId="0" borderId="0" xfId="0" applyFont="1" applyAlignment="1">
      <alignment horizontal="center"/>
    </xf>
    <xf numFmtId="14" fontId="11" fillId="0" borderId="0" xfId="0" applyNumberFormat="1" applyFont="1" applyAlignment="1">
      <alignment horizontal="center"/>
    </xf>
    <xf numFmtId="14" fontId="4" fillId="0" borderId="0" xfId="0" applyNumberFormat="1" applyFont="1"/>
    <xf numFmtId="0" fontId="13" fillId="0" borderId="0" xfId="0" applyFont="1" applyFill="1" applyAlignment="1" applyProtection="1">
      <alignment horizontal="left" vertical="top"/>
      <protection hidden="1"/>
    </xf>
    <xf numFmtId="165" fontId="13" fillId="0" borderId="0" xfId="0" applyNumberFormat="1" applyFont="1" applyFill="1" applyAlignment="1" applyProtection="1">
      <alignment horizontal="left" vertical="top"/>
      <protection hidden="1"/>
    </xf>
    <xf numFmtId="14" fontId="0" fillId="0" borderId="0" xfId="0" applyNumberFormat="1"/>
    <xf numFmtId="14" fontId="2" fillId="0" borderId="0" xfId="0" applyNumberFormat="1" applyFont="1" applyAlignment="1">
      <alignment horizontal="center"/>
    </xf>
    <xf numFmtId="0" fontId="14" fillId="0" borderId="0" xfId="0" applyFont="1"/>
    <xf numFmtId="0" fontId="4" fillId="0" borderId="0" xfId="0" applyFont="1" applyFill="1"/>
    <xf numFmtId="0" fontId="2" fillId="0" borderId="23" xfId="0" applyFont="1" applyBorder="1"/>
    <xf numFmtId="0" fontId="0" fillId="0" borderId="24" xfId="0" applyBorder="1"/>
    <xf numFmtId="0" fontId="2" fillId="0" borderId="25" xfId="0" applyFont="1" applyBorder="1" applyAlignment="1">
      <alignment horizontal="left" indent="1"/>
    </xf>
    <xf numFmtId="0" fontId="0" fillId="0" borderId="26" xfId="0" applyBorder="1"/>
    <xf numFmtId="0" fontId="0" fillId="0" borderId="27" xfId="0" applyBorder="1"/>
    <xf numFmtId="0" fontId="2" fillId="0" borderId="28" xfId="0" applyFont="1" applyBorder="1" applyAlignment="1">
      <alignment horizontal="left" indent="3"/>
    </xf>
    <xf numFmtId="0" fontId="17" fillId="0" borderId="0" xfId="0" applyFont="1"/>
    <xf numFmtId="0" fontId="0" fillId="0" borderId="29" xfId="0" applyBorder="1"/>
    <xf numFmtId="0" fontId="2" fillId="0" borderId="30" xfId="0" applyFont="1" applyBorder="1"/>
    <xf numFmtId="0" fontId="17" fillId="0" borderId="32" xfId="0" applyFont="1" applyBorder="1" applyAlignment="1">
      <alignment horizontal="right"/>
    </xf>
    <xf numFmtId="0" fontId="2" fillId="0" borderId="32" xfId="0" applyFont="1" applyBorder="1" applyAlignment="1">
      <alignment horizontal="left" indent="1"/>
    </xf>
    <xf numFmtId="0" fontId="0" fillId="0" borderId="32" xfId="0" applyBorder="1"/>
    <xf numFmtId="0" fontId="2" fillId="0" borderId="25" xfId="0" applyFont="1" applyBorder="1"/>
    <xf numFmtId="0" fontId="2" fillId="0" borderId="26" xfId="0" applyFont="1" applyBorder="1"/>
    <xf numFmtId="0" fontId="2" fillId="0" borderId="26" xfId="0" applyFont="1" applyBorder="1" applyAlignment="1">
      <alignment horizontal="right"/>
    </xf>
    <xf numFmtId="0" fontId="2" fillId="0" borderId="28" xfId="0" applyFont="1" applyBorder="1"/>
    <xf numFmtId="0" fontId="2" fillId="0" borderId="1" xfId="0" applyFont="1" applyBorder="1" applyAlignment="1">
      <alignment horizontal="right"/>
    </xf>
    <xf numFmtId="0" fontId="0" fillId="0" borderId="30" xfId="0" applyBorder="1"/>
    <xf numFmtId="0" fontId="2" fillId="0" borderId="32" xfId="0" applyFont="1" applyBorder="1"/>
    <xf numFmtId="0" fontId="2" fillId="0" borderId="32" xfId="0" applyFont="1" applyBorder="1" applyAlignment="1">
      <alignment horizontal="right"/>
    </xf>
    <xf numFmtId="0" fontId="0" fillId="0" borderId="35" xfId="0" applyBorder="1"/>
    <xf numFmtId="0" fontId="0" fillId="8" borderId="1" xfId="0" applyFont="1" applyFill="1" applyBorder="1"/>
    <xf numFmtId="0" fontId="0" fillId="0" borderId="0" xfId="0" applyFont="1" applyFill="1" applyBorder="1"/>
    <xf numFmtId="49" fontId="0" fillId="0" borderId="0" xfId="0" applyNumberFormat="1" applyFont="1" applyFill="1" applyBorder="1"/>
    <xf numFmtId="0" fontId="15" fillId="7" borderId="25" xfId="2" applyBorder="1"/>
    <xf numFmtId="0" fontId="2" fillId="10" borderId="23" xfId="0" applyFont="1" applyFill="1" applyBorder="1"/>
    <xf numFmtId="0" fontId="0" fillId="10" borderId="36" xfId="0" applyFill="1" applyBorder="1"/>
    <xf numFmtId="0" fontId="0" fillId="10" borderId="26" xfId="0" applyFill="1" applyBorder="1"/>
    <xf numFmtId="0" fontId="0" fillId="10" borderId="23" xfId="0" applyFill="1" applyBorder="1" applyAlignment="1">
      <alignment horizontal="left"/>
    </xf>
    <xf numFmtId="0" fontId="0" fillId="10" borderId="24" xfId="0" applyFill="1" applyBorder="1"/>
    <xf numFmtId="0" fontId="0" fillId="10" borderId="27" xfId="0" applyFill="1" applyBorder="1"/>
    <xf numFmtId="0" fontId="0" fillId="10" borderId="28" xfId="0" applyFill="1" applyBorder="1"/>
    <xf numFmtId="0" fontId="0" fillId="10" borderId="0" xfId="0" applyFill="1"/>
    <xf numFmtId="0" fontId="0" fillId="10" borderId="29" xfId="0" applyFill="1" applyBorder="1"/>
    <xf numFmtId="0" fontId="0" fillId="10" borderId="0" xfId="0" applyFill="1" applyAlignment="1">
      <alignment horizontal="right"/>
    </xf>
    <xf numFmtId="2" fontId="0" fillId="10" borderId="0" xfId="0" applyNumberFormat="1" applyFill="1"/>
    <xf numFmtId="0" fontId="18" fillId="10" borderId="23" xfId="0" applyFont="1" applyFill="1" applyBorder="1"/>
    <xf numFmtId="0" fontId="0" fillId="10" borderId="24" xfId="0" applyFill="1" applyBorder="1" applyAlignment="1">
      <alignment horizontal="left"/>
    </xf>
    <xf numFmtId="0" fontId="0" fillId="10" borderId="30" xfId="0" applyFill="1" applyBorder="1"/>
    <xf numFmtId="0" fontId="0" fillId="10" borderId="32" xfId="0" applyFill="1" applyBorder="1"/>
    <xf numFmtId="0" fontId="18" fillId="10" borderId="32" xfId="0" applyFont="1" applyFill="1" applyBorder="1"/>
    <xf numFmtId="0" fontId="0" fillId="10" borderId="32" xfId="0" applyFill="1" applyBorder="1" applyAlignment="1">
      <alignment horizontal="left"/>
    </xf>
    <xf numFmtId="0" fontId="0" fillId="10" borderId="35" xfId="0" applyFill="1" applyBorder="1"/>
    <xf numFmtId="0" fontId="0" fillId="11" borderId="0" xfId="0" applyFill="1"/>
    <xf numFmtId="0" fontId="0" fillId="11" borderId="25" xfId="0" applyFill="1" applyBorder="1"/>
    <xf numFmtId="0" fontId="0" fillId="12" borderId="23" xfId="0" applyFill="1" applyBorder="1"/>
    <xf numFmtId="0" fontId="16" fillId="12" borderId="24" xfId="3" applyFill="1" applyBorder="1" applyAlignment="1">
      <alignment horizontal="center"/>
    </xf>
    <xf numFmtId="0" fontId="0" fillId="12" borderId="36" xfId="0" applyFill="1" applyBorder="1"/>
    <xf numFmtId="0" fontId="0" fillId="11" borderId="26" xfId="0" applyFill="1" applyBorder="1"/>
    <xf numFmtId="0" fontId="0" fillId="11" borderId="27" xfId="0" applyFill="1" applyBorder="1"/>
    <xf numFmtId="0" fontId="0" fillId="11" borderId="28" xfId="0" applyFill="1" applyBorder="1" applyAlignment="1">
      <alignment horizontal="left"/>
    </xf>
    <xf numFmtId="0" fontId="0" fillId="11" borderId="0" xfId="0" applyFill="1" applyAlignment="1">
      <alignment horizontal="center"/>
    </xf>
    <xf numFmtId="0" fontId="2" fillId="11" borderId="28" xfId="0" applyFont="1" applyFill="1" applyBorder="1" applyAlignment="1">
      <alignment horizontal="center"/>
    </xf>
    <xf numFmtId="0" fontId="0" fillId="11" borderId="29" xfId="0" applyFill="1" applyBorder="1"/>
    <xf numFmtId="0" fontId="0" fillId="11" borderId="28" xfId="0" applyFill="1" applyBorder="1"/>
    <xf numFmtId="0" fontId="21" fillId="11" borderId="0" xfId="0" applyFont="1" applyFill="1" applyAlignment="1">
      <alignment horizontal="center"/>
    </xf>
    <xf numFmtId="0" fontId="2" fillId="11" borderId="30" xfId="0" applyFont="1" applyFill="1" applyBorder="1" applyAlignment="1">
      <alignment horizontal="center"/>
    </xf>
    <xf numFmtId="0" fontId="23" fillId="11" borderId="0" xfId="0" applyFont="1" applyFill="1" applyAlignment="1">
      <alignment horizontal="right"/>
    </xf>
    <xf numFmtId="166" fontId="0" fillId="11" borderId="0" xfId="0" applyNumberFormat="1" applyFill="1" applyAlignment="1">
      <alignment horizontal="center"/>
    </xf>
    <xf numFmtId="0" fontId="0" fillId="11" borderId="30" xfId="0" applyFill="1" applyBorder="1"/>
    <xf numFmtId="0" fontId="0" fillId="11" borderId="32" xfId="0" applyFill="1" applyBorder="1"/>
    <xf numFmtId="166" fontId="0" fillId="11" borderId="0" xfId="0" applyNumberFormat="1" applyFill="1"/>
    <xf numFmtId="0" fontId="16" fillId="11" borderId="0" xfId="0" applyFont="1" applyFill="1"/>
    <xf numFmtId="0" fontId="0" fillId="11" borderId="0" xfId="0" applyFill="1" applyAlignment="1">
      <alignment horizontal="right"/>
    </xf>
    <xf numFmtId="0" fontId="0" fillId="10" borderId="23" xfId="0" applyFill="1" applyBorder="1" applyAlignment="1">
      <alignment horizontal="right"/>
    </xf>
    <xf numFmtId="0" fontId="15" fillId="10" borderId="43" xfId="2" applyFill="1" applyBorder="1"/>
    <xf numFmtId="0" fontId="2" fillId="10" borderId="0" xfId="0" applyFont="1" applyFill="1"/>
    <xf numFmtId="0" fontId="15" fillId="10" borderId="0" xfId="2" applyFill="1" applyBorder="1" applyAlignment="1">
      <alignment horizontal="center"/>
    </xf>
    <xf numFmtId="0" fontId="0" fillId="10" borderId="25" xfId="0" applyFill="1" applyBorder="1"/>
    <xf numFmtId="0" fontId="0" fillId="10" borderId="44" xfId="0" applyFill="1" applyBorder="1" applyAlignment="1">
      <alignment horizontal="center"/>
    </xf>
    <xf numFmtId="0" fontId="4" fillId="10" borderId="0" xfId="0" applyFont="1" applyFill="1"/>
    <xf numFmtId="0" fontId="2" fillId="10" borderId="28" xfId="0" applyFont="1" applyFill="1" applyBorder="1"/>
    <xf numFmtId="0" fontId="18" fillId="10" borderId="39" xfId="0" applyFont="1" applyFill="1" applyBorder="1"/>
    <xf numFmtId="0" fontId="18" fillId="10" borderId="41" xfId="0" applyFont="1" applyFill="1" applyBorder="1" applyAlignment="1">
      <alignment horizontal="center"/>
    </xf>
    <xf numFmtId="0" fontId="18" fillId="10" borderId="41" xfId="0" applyFont="1" applyFill="1" applyBorder="1"/>
    <xf numFmtId="0" fontId="5" fillId="10" borderId="0" xfId="0" applyFont="1" applyFill="1"/>
    <xf numFmtId="0" fontId="0" fillId="10" borderId="23" xfId="0" applyFill="1" applyBorder="1"/>
    <xf numFmtId="0" fontId="2" fillId="0" borderId="24" xfId="0" applyFont="1" applyBorder="1" applyAlignment="1">
      <alignment horizontal="right"/>
    </xf>
    <xf numFmtId="0" fontId="0" fillId="8" borderId="3" xfId="0" applyFont="1" applyFill="1" applyBorder="1"/>
    <xf numFmtId="0" fontId="0" fillId="8" borderId="2" xfId="0" applyFont="1" applyFill="1" applyBorder="1"/>
    <xf numFmtId="0" fontId="0" fillId="0" borderId="32" xfId="0" applyBorder="1" applyAlignment="1">
      <alignment horizontal="left" vertical="center"/>
    </xf>
    <xf numFmtId="0" fontId="2" fillId="0" borderId="23" xfId="0" applyFont="1" applyBorder="1" applyAlignment="1">
      <alignment horizontal="left"/>
    </xf>
    <xf numFmtId="0" fontId="23" fillId="0" borderId="24" xfId="0" applyFont="1" applyBorder="1"/>
    <xf numFmtId="0" fontId="23" fillId="0" borderId="24" xfId="0" applyFont="1" applyBorder="1" applyAlignment="1">
      <alignment horizontal="left" indent="1"/>
    </xf>
    <xf numFmtId="0" fontId="17" fillId="0" borderId="0" xfId="0" applyFont="1" applyAlignment="1">
      <alignment horizontal="right"/>
    </xf>
    <xf numFmtId="0" fontId="24" fillId="10" borderId="0" xfId="0" applyFont="1" applyFill="1" applyAlignment="1">
      <alignment horizontal="right"/>
    </xf>
    <xf numFmtId="0" fontId="1" fillId="10" borderId="0" xfId="0" applyFont="1" applyFill="1" applyAlignment="1">
      <alignment horizontal="right"/>
    </xf>
    <xf numFmtId="0" fontId="9" fillId="10" borderId="23" xfId="0" applyFont="1" applyFill="1" applyBorder="1" applyAlignment="1">
      <alignment horizontal="left"/>
    </xf>
    <xf numFmtId="1" fontId="18" fillId="11" borderId="1" xfId="0" applyNumberFormat="1" applyFont="1" applyFill="1" applyBorder="1" applyAlignment="1">
      <alignment horizontal="center"/>
    </xf>
    <xf numFmtId="0" fontId="0" fillId="11" borderId="1" xfId="0" applyFill="1" applyBorder="1" applyAlignment="1">
      <alignment horizontal="center"/>
    </xf>
    <xf numFmtId="0" fontId="2" fillId="11" borderId="32" xfId="0" applyFont="1" applyFill="1" applyBorder="1" applyAlignment="1">
      <alignment horizontal="left"/>
    </xf>
    <xf numFmtId="0" fontId="8" fillId="11" borderId="23" xfId="0" applyFont="1" applyFill="1" applyBorder="1"/>
    <xf numFmtId="0" fontId="0" fillId="11" borderId="8" xfId="0" applyFill="1" applyBorder="1" applyAlignment="1">
      <alignment horizontal="center"/>
    </xf>
    <xf numFmtId="0" fontId="18" fillId="11" borderId="10" xfId="0" applyFont="1" applyFill="1" applyBorder="1" applyAlignment="1">
      <alignment horizontal="center"/>
    </xf>
    <xf numFmtId="0" fontId="18" fillId="11" borderId="48" xfId="0" applyFont="1" applyFill="1" applyBorder="1" applyAlignment="1">
      <alignment horizontal="center"/>
    </xf>
    <xf numFmtId="0" fontId="16" fillId="11" borderId="15" xfId="0" applyFont="1" applyFill="1" applyBorder="1" applyAlignment="1">
      <alignment horizontal="center"/>
    </xf>
    <xf numFmtId="0" fontId="19" fillId="11" borderId="44" xfId="0" applyFont="1" applyFill="1" applyBorder="1" applyAlignment="1">
      <alignment horizontal="center"/>
    </xf>
    <xf numFmtId="166" fontId="18" fillId="11" borderId="49" xfId="0" applyNumberFormat="1" applyFont="1" applyFill="1" applyBorder="1" applyAlignment="1">
      <alignment horizontal="center"/>
    </xf>
    <xf numFmtId="166" fontId="18" fillId="11" borderId="9" xfId="0" applyNumberFormat="1" applyFont="1" applyFill="1" applyBorder="1" applyAlignment="1">
      <alignment horizontal="center"/>
    </xf>
    <xf numFmtId="0" fontId="18" fillId="11" borderId="33" xfId="0" applyFont="1" applyFill="1" applyBorder="1" applyAlignment="1">
      <alignment horizontal="center"/>
    </xf>
    <xf numFmtId="0" fontId="0" fillId="11" borderId="34" xfId="0" applyFill="1" applyBorder="1"/>
    <xf numFmtId="0" fontId="0" fillId="11" borderId="50" xfId="0" applyFill="1" applyBorder="1"/>
    <xf numFmtId="0" fontId="19" fillId="11" borderId="0" xfId="0" applyFont="1" applyFill="1" applyAlignment="1">
      <alignment horizontal="right"/>
    </xf>
    <xf numFmtId="0" fontId="0" fillId="10" borderId="0" xfId="0" applyFill="1" applyBorder="1"/>
    <xf numFmtId="0" fontId="15" fillId="0" borderId="0" xfId="2" applyFill="1" applyBorder="1"/>
    <xf numFmtId="0" fontId="15" fillId="7" borderId="22" xfId="2" applyProtection="1">
      <protection locked="0"/>
    </xf>
    <xf numFmtId="49" fontId="15" fillId="7" borderId="22" xfId="2" applyNumberFormat="1" applyProtection="1">
      <protection locked="0"/>
    </xf>
    <xf numFmtId="0" fontId="6" fillId="7" borderId="40" xfId="2" applyFont="1" applyBorder="1" applyAlignment="1" applyProtection="1">
      <alignment horizontal="center"/>
      <protection locked="0"/>
    </xf>
    <xf numFmtId="0" fontId="6" fillId="7" borderId="31" xfId="2" applyFont="1" applyBorder="1" applyAlignment="1" applyProtection="1">
      <alignment horizontal="center"/>
      <protection locked="0"/>
    </xf>
    <xf numFmtId="11" fontId="6" fillId="7" borderId="22" xfId="2" applyNumberFormat="1" applyFont="1" applyProtection="1">
      <protection locked="0"/>
    </xf>
    <xf numFmtId="0" fontId="15" fillId="7" borderId="25" xfId="2" applyBorder="1" applyProtection="1">
      <protection locked="0"/>
    </xf>
    <xf numFmtId="0" fontId="15" fillId="7" borderId="26" xfId="2" applyBorder="1" applyProtection="1">
      <protection locked="0"/>
    </xf>
    <xf numFmtId="0" fontId="15" fillId="7" borderId="27" xfId="2" applyBorder="1" applyProtection="1">
      <protection locked="0"/>
    </xf>
    <xf numFmtId="0" fontId="15" fillId="7" borderId="28" xfId="2" applyBorder="1" applyProtection="1">
      <protection locked="0"/>
    </xf>
    <xf numFmtId="0" fontId="15" fillId="7" borderId="0" xfId="2" applyBorder="1" applyProtection="1">
      <protection locked="0"/>
    </xf>
    <xf numFmtId="0" fontId="15" fillId="7" borderId="29" xfId="2" applyBorder="1" applyProtection="1">
      <protection locked="0"/>
    </xf>
    <xf numFmtId="0" fontId="15" fillId="7" borderId="30" xfId="2" applyBorder="1" applyProtection="1">
      <protection locked="0"/>
    </xf>
    <xf numFmtId="0" fontId="15" fillId="7" borderId="32" xfId="2" applyBorder="1" applyProtection="1">
      <protection locked="0"/>
    </xf>
    <xf numFmtId="0" fontId="15" fillId="7" borderId="35" xfId="2" applyBorder="1" applyProtection="1">
      <protection locked="0"/>
    </xf>
    <xf numFmtId="49" fontId="0" fillId="8" borderId="1" xfId="0" applyNumberFormat="1" applyFont="1" applyFill="1" applyBorder="1" applyProtection="1">
      <protection locked="0"/>
    </xf>
    <xf numFmtId="0" fontId="0" fillId="0" borderId="1" xfId="0" applyBorder="1"/>
    <xf numFmtId="0" fontId="4" fillId="0" borderId="32" xfId="0" applyFont="1" applyBorder="1"/>
    <xf numFmtId="0" fontId="4" fillId="0" borderId="0" xfId="0" applyFont="1" applyBorder="1"/>
    <xf numFmtId="0" fontId="15" fillId="7" borderId="60" xfId="2" applyBorder="1" applyProtection="1">
      <protection locked="0"/>
    </xf>
    <xf numFmtId="0" fontId="4" fillId="0" borderId="26" xfId="0" applyFont="1" applyBorder="1"/>
    <xf numFmtId="0" fontId="4" fillId="0" borderId="27" xfId="0" applyFont="1" applyBorder="1"/>
    <xf numFmtId="0" fontId="2" fillId="0" borderId="0" xfId="0" applyFont="1" applyBorder="1" applyAlignment="1">
      <alignment horizontal="right"/>
    </xf>
    <xf numFmtId="0" fontId="4" fillId="0" borderId="29" xfId="0" applyFont="1" applyBorder="1"/>
    <xf numFmtId="0" fontId="2" fillId="0" borderId="1" xfId="0" applyFont="1" applyBorder="1"/>
    <xf numFmtId="0" fontId="2" fillId="0" borderId="1" xfId="0" applyFont="1" applyBorder="1" applyAlignment="1">
      <alignment horizontal="left"/>
    </xf>
    <xf numFmtId="0" fontId="4" fillId="0" borderId="1" xfId="0" applyFont="1" applyBorder="1"/>
    <xf numFmtId="0" fontId="4" fillId="0" borderId="61" xfId="0" applyFont="1" applyBorder="1"/>
    <xf numFmtId="0" fontId="0" fillId="0" borderId="62" xfId="0" applyBorder="1"/>
    <xf numFmtId="0" fontId="0" fillId="0" borderId="5" xfId="0" applyBorder="1"/>
    <xf numFmtId="0" fontId="4" fillId="0" borderId="28" xfId="0" applyFont="1" applyBorder="1"/>
    <xf numFmtId="0" fontId="6" fillId="7" borderId="22" xfId="2" applyFont="1" applyProtection="1">
      <protection locked="0"/>
    </xf>
    <xf numFmtId="49" fontId="6" fillId="7" borderId="22" xfId="2" applyNumberFormat="1" applyFont="1" applyProtection="1">
      <protection locked="0"/>
    </xf>
    <xf numFmtId="0" fontId="6" fillId="7" borderId="60" xfId="2" applyFont="1" applyBorder="1" applyProtection="1">
      <protection locked="0"/>
    </xf>
    <xf numFmtId="0" fontId="6" fillId="7" borderId="1" xfId="2" applyFont="1" applyBorder="1" applyProtection="1">
      <protection locked="0"/>
    </xf>
    <xf numFmtId="49" fontId="6" fillId="7" borderId="37" xfId="2" quotePrefix="1" applyNumberFormat="1" applyFont="1" applyBorder="1" applyProtection="1">
      <protection locked="0"/>
    </xf>
    <xf numFmtId="0" fontId="6" fillId="7" borderId="38" xfId="2" applyFont="1" applyBorder="1" applyAlignment="1" applyProtection="1">
      <alignment horizontal="center"/>
      <protection locked="0"/>
    </xf>
    <xf numFmtId="0" fontId="6" fillId="7" borderId="46" xfId="2" applyFont="1" applyBorder="1" applyAlignment="1" applyProtection="1">
      <alignment horizontal="center"/>
      <protection locked="0"/>
    </xf>
    <xf numFmtId="0" fontId="6" fillId="7" borderId="6" xfId="2" applyFont="1" applyBorder="1" applyAlignment="1" applyProtection="1">
      <alignment horizontal="center"/>
      <protection locked="0"/>
    </xf>
    <xf numFmtId="0" fontId="6" fillId="7" borderId="47" xfId="2" applyFont="1" applyBorder="1" applyAlignment="1" applyProtection="1">
      <alignment horizontal="center"/>
      <protection locked="0"/>
    </xf>
    <xf numFmtId="18" fontId="6" fillId="7" borderId="45" xfId="2" applyNumberFormat="1" applyFont="1" applyBorder="1" applyProtection="1">
      <protection locked="0"/>
    </xf>
    <xf numFmtId="2" fontId="18" fillId="10" borderId="0" xfId="0" applyNumberFormat="1" applyFont="1" applyFill="1" applyAlignment="1">
      <alignment horizontal="center"/>
    </xf>
    <xf numFmtId="0" fontId="4" fillId="10" borderId="32" xfId="0" applyFont="1" applyFill="1" applyBorder="1"/>
    <xf numFmtId="0" fontId="4" fillId="0" borderId="63" xfId="0" applyFont="1" applyBorder="1"/>
    <xf numFmtId="11" fontId="6" fillId="7" borderId="66" xfId="2" applyNumberFormat="1" applyFont="1" applyBorder="1" applyProtection="1">
      <protection locked="0"/>
    </xf>
    <xf numFmtId="2" fontId="18" fillId="10" borderId="65" xfId="0" applyNumberFormat="1" applyFont="1" applyFill="1" applyBorder="1" applyAlignment="1">
      <alignment horizontal="center"/>
    </xf>
    <xf numFmtId="0" fontId="0" fillId="10" borderId="64" xfId="0" applyFill="1" applyBorder="1"/>
    <xf numFmtId="2" fontId="18" fillId="10" borderId="67" xfId="0" applyNumberFormat="1" applyFont="1" applyFill="1" applyBorder="1" applyAlignment="1">
      <alignment horizontal="center"/>
    </xf>
    <xf numFmtId="0" fontId="0" fillId="10" borderId="64" xfId="0" applyFill="1" applyBorder="1" applyAlignment="1">
      <alignment horizontal="center" wrapText="1"/>
    </xf>
    <xf numFmtId="2" fontId="18" fillId="10" borderId="68" xfId="0" applyNumberFormat="1" applyFont="1" applyFill="1" applyBorder="1" applyAlignment="1">
      <alignment horizontal="center"/>
    </xf>
    <xf numFmtId="0" fontId="8" fillId="10" borderId="69" xfId="0" applyFont="1" applyFill="1" applyBorder="1" applyAlignment="1">
      <alignment horizontal="center" wrapText="1"/>
    </xf>
    <xf numFmtId="0" fontId="18" fillId="10" borderId="44" xfId="0" applyFont="1" applyFill="1" applyBorder="1" applyAlignment="1">
      <alignment horizontal="center"/>
    </xf>
    <xf numFmtId="0" fontId="0" fillId="10" borderId="44" xfId="0" applyFill="1" applyBorder="1" applyAlignment="1">
      <alignment horizontal="center" vertical="center"/>
    </xf>
    <xf numFmtId="0" fontId="6" fillId="7" borderId="42" xfId="2" applyFont="1" applyBorder="1"/>
    <xf numFmtId="0" fontId="2" fillId="11" borderId="26" xfId="0" applyFont="1" applyFill="1" applyBorder="1"/>
    <xf numFmtId="0" fontId="0" fillId="11" borderId="0" xfId="0" applyFill="1" applyBorder="1"/>
    <xf numFmtId="0" fontId="0" fillId="11" borderId="35" xfId="0" applyFill="1" applyBorder="1"/>
    <xf numFmtId="0" fontId="0" fillId="8" borderId="26" xfId="0" applyFont="1" applyFill="1" applyBorder="1"/>
    <xf numFmtId="0" fontId="0" fillId="8" borderId="28" xfId="0" applyFont="1" applyFill="1" applyBorder="1"/>
    <xf numFmtId="0" fontId="0" fillId="8" borderId="0" xfId="0" applyFont="1" applyFill="1" applyBorder="1"/>
    <xf numFmtId="0" fontId="0" fillId="8" borderId="0" xfId="0" applyFont="1" applyFill="1" applyBorder="1" applyAlignment="1">
      <alignment horizontal="right"/>
    </xf>
    <xf numFmtId="49" fontId="15" fillId="7" borderId="22" xfId="2" applyNumberFormat="1" applyBorder="1" applyProtection="1">
      <protection locked="0"/>
    </xf>
    <xf numFmtId="0" fontId="15" fillId="7" borderId="22" xfId="2" applyBorder="1" applyProtection="1">
      <protection locked="0"/>
    </xf>
    <xf numFmtId="0" fontId="0" fillId="0" borderId="28" xfId="0" applyFont="1" applyFill="1" applyBorder="1"/>
    <xf numFmtId="0" fontId="0" fillId="0" borderId="28" xfId="0" applyFont="1" applyBorder="1"/>
    <xf numFmtId="0" fontId="0" fillId="9" borderId="28" xfId="0" applyFont="1" applyFill="1" applyBorder="1"/>
    <xf numFmtId="0" fontId="2" fillId="9" borderId="0" xfId="0" applyFont="1" applyFill="1" applyBorder="1" applyAlignment="1">
      <alignment horizontal="left"/>
    </xf>
    <xf numFmtId="0" fontId="2" fillId="9" borderId="0" xfId="0" applyFont="1" applyFill="1" applyBorder="1"/>
    <xf numFmtId="0" fontId="2" fillId="9" borderId="0" xfId="0" applyFont="1" applyFill="1" applyBorder="1" applyAlignment="1">
      <alignment horizontal="right"/>
    </xf>
    <xf numFmtId="0" fontId="0" fillId="9" borderId="0" xfId="0" applyFont="1" applyFill="1" applyBorder="1"/>
    <xf numFmtId="0" fontId="0" fillId="9" borderId="30" xfId="0" applyFont="1" applyFill="1" applyBorder="1"/>
    <xf numFmtId="0" fontId="2" fillId="9" borderId="32" xfId="0" applyFont="1" applyFill="1" applyBorder="1"/>
    <xf numFmtId="0" fontId="0" fillId="9" borderId="32" xfId="0" applyFont="1" applyFill="1" applyBorder="1"/>
    <xf numFmtId="0" fontId="9" fillId="9" borderId="0" xfId="0" applyFont="1" applyFill="1" applyBorder="1" applyAlignment="1">
      <alignment horizontal="right"/>
    </xf>
    <xf numFmtId="0" fontId="6" fillId="7" borderId="0" xfId="2" applyFont="1" applyBorder="1" applyAlignment="1" applyProtection="1">
      <alignment horizontal="left"/>
      <protection locked="0"/>
    </xf>
    <xf numFmtId="0" fontId="0" fillId="0" borderId="0" xfId="0" applyAlignment="1">
      <alignment vertical="center"/>
    </xf>
    <xf numFmtId="22" fontId="0" fillId="0" borderId="0" xfId="0" applyNumberFormat="1"/>
    <xf numFmtId="14" fontId="11" fillId="0" borderId="0" xfId="0" applyNumberFormat="1" applyFont="1" applyAlignment="1">
      <alignment horizontal="center" vertical="top"/>
    </xf>
    <xf numFmtId="0" fontId="11" fillId="0" borderId="0" xfId="0" applyFont="1" applyAlignment="1">
      <alignment horizontal="center" vertical="top"/>
    </xf>
    <xf numFmtId="0" fontId="11" fillId="0" borderId="0" xfId="0" applyFont="1" applyAlignment="1">
      <alignment horizontal="center" vertical="top" wrapText="1"/>
    </xf>
    <xf numFmtId="14" fontId="4" fillId="0" borderId="0" xfId="0" applyNumberFormat="1" applyFont="1" applyAlignment="1">
      <alignment vertical="top"/>
    </xf>
    <xf numFmtId="0" fontId="4" fillId="0" borderId="0" xfId="0" applyFont="1" applyAlignment="1">
      <alignment vertical="top"/>
    </xf>
    <xf numFmtId="0" fontId="4" fillId="0" borderId="0" xfId="0" applyFont="1" applyAlignment="1">
      <alignment vertical="top" wrapText="1"/>
    </xf>
    <xf numFmtId="0" fontId="13" fillId="0" borderId="0" xfId="0" applyFont="1" applyAlignment="1" applyProtection="1">
      <alignment vertical="top"/>
      <protection hidden="1"/>
    </xf>
    <xf numFmtId="0" fontId="4" fillId="0" borderId="0" xfId="0" applyFont="1" applyAlignment="1" applyProtection="1">
      <alignment vertical="top"/>
      <protection hidden="1"/>
    </xf>
    <xf numFmtId="165" fontId="13" fillId="0" borderId="0" xfId="0" applyNumberFormat="1" applyFont="1" applyAlignment="1" applyProtection="1">
      <alignment vertical="top"/>
      <protection hidden="1"/>
    </xf>
    <xf numFmtId="0" fontId="4" fillId="0" borderId="32" xfId="0" applyFont="1" applyBorder="1" applyAlignment="1" applyProtection="1">
      <alignment vertical="top" wrapText="1"/>
      <protection hidden="1"/>
    </xf>
    <xf numFmtId="0" fontId="11" fillId="4" borderId="19"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protection hidden="1"/>
    </xf>
    <xf numFmtId="0" fontId="11" fillId="4" borderId="20" xfId="0" applyFont="1" applyFill="1" applyBorder="1" applyAlignment="1" applyProtection="1">
      <alignment horizontal="center" vertical="top" wrapText="1"/>
      <protection hidden="1"/>
    </xf>
    <xf numFmtId="0" fontId="11" fillId="4" borderId="21" xfId="0" applyFont="1" applyFill="1" applyBorder="1" applyAlignment="1" applyProtection="1">
      <alignment horizontal="center" vertical="top" wrapText="1"/>
      <protection hidden="1"/>
    </xf>
    <xf numFmtId="0" fontId="11" fillId="5" borderId="19"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protection hidden="1"/>
    </xf>
    <xf numFmtId="0" fontId="11" fillId="5" borderId="20" xfId="0" applyFont="1" applyFill="1" applyBorder="1" applyAlignment="1" applyProtection="1">
      <alignment horizontal="center" vertical="top" wrapText="1"/>
      <protection hidden="1"/>
    </xf>
    <xf numFmtId="0" fontId="11" fillId="5" borderId="21" xfId="0" applyFont="1" applyFill="1" applyBorder="1" applyAlignment="1" applyProtection="1">
      <alignment horizontal="center" vertical="top" wrapText="1"/>
      <protection hidden="1"/>
    </xf>
    <xf numFmtId="0" fontId="11" fillId="6" borderId="19"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protection hidden="1"/>
    </xf>
    <xf numFmtId="0" fontId="11" fillId="6" borderId="20" xfId="0" applyFont="1" applyFill="1" applyBorder="1" applyAlignment="1" applyProtection="1">
      <alignment horizontal="center" vertical="top" wrapText="1"/>
      <protection hidden="1"/>
    </xf>
    <xf numFmtId="0" fontId="11" fillId="6" borderId="21" xfId="0" applyFont="1" applyFill="1" applyBorder="1" applyAlignment="1" applyProtection="1">
      <alignment horizontal="center" vertical="top" wrapText="1"/>
      <protection hidden="1"/>
    </xf>
    <xf numFmtId="0" fontId="4" fillId="0" borderId="0" xfId="0" applyFont="1" applyAlignment="1" applyProtection="1">
      <alignment vertical="top" wrapText="1"/>
      <protection hidden="1"/>
    </xf>
    <xf numFmtId="0" fontId="4" fillId="0" borderId="17" xfId="0" applyFont="1" applyFill="1" applyBorder="1" applyAlignment="1" applyProtection="1">
      <alignment horizontal="left" vertical="top" wrapText="1"/>
      <protection locked="0"/>
    </xf>
    <xf numFmtId="0" fontId="4" fillId="0" borderId="9" xfId="0" applyFont="1" applyFill="1" applyBorder="1" applyAlignment="1" applyProtection="1">
      <alignment horizontal="left" vertical="top" wrapText="1"/>
      <protection locked="0"/>
    </xf>
    <xf numFmtId="0" fontId="0" fillId="2" borderId="70" xfId="0" applyFont="1" applyFill="1" applyBorder="1"/>
    <xf numFmtId="0" fontId="0" fillId="0" borderId="70" xfId="0" applyFont="1" applyBorder="1"/>
    <xf numFmtId="0" fontId="27" fillId="13" borderId="71" xfId="0" applyFont="1" applyFill="1" applyBorder="1"/>
    <xf numFmtId="0" fontId="27" fillId="13" borderId="4" xfId="0" applyFont="1" applyFill="1" applyBorder="1"/>
    <xf numFmtId="22" fontId="0" fillId="0" borderId="71" xfId="0" applyNumberFormat="1" applyFont="1" applyBorder="1"/>
    <xf numFmtId="22" fontId="0" fillId="2" borderId="71" xfId="0" applyNumberFormat="1" applyFont="1" applyFill="1" applyBorder="1"/>
    <xf numFmtId="0" fontId="2" fillId="0" borderId="4" xfId="0" applyNumberFormat="1" applyFont="1" applyBorder="1"/>
    <xf numFmtId="0" fontId="2" fillId="2" borderId="4" xfId="0" applyNumberFormat="1" applyFont="1" applyFill="1" applyBorder="1"/>
    <xf numFmtId="0" fontId="2" fillId="2" borderId="4" xfId="0" applyFont="1" applyFill="1" applyBorder="1"/>
    <xf numFmtId="0" fontId="27" fillId="13" borderId="0" xfId="0" applyFont="1" applyFill="1" applyBorder="1"/>
    <xf numFmtId="0" fontId="2" fillId="0" borderId="4" xfId="0" applyFont="1" applyBorder="1"/>
    <xf numFmtId="0" fontId="4" fillId="0" borderId="0" xfId="0" applyFont="1" applyFill="1" applyAlignment="1" applyProtection="1">
      <alignment horizontal="left" vertical="top"/>
      <protection locked="0" hidden="1"/>
    </xf>
    <xf numFmtId="0" fontId="0" fillId="8" borderId="26" xfId="0" applyFill="1" applyBorder="1"/>
    <xf numFmtId="0" fontId="0" fillId="8" borderId="0" xfId="0" applyFill="1"/>
    <xf numFmtId="0" fontId="0" fillId="0" borderId="0" xfId="0" applyAlignment="1">
      <alignment horizontal="right"/>
    </xf>
    <xf numFmtId="0" fontId="0" fillId="9" borderId="0" xfId="0" applyFill="1"/>
    <xf numFmtId="0" fontId="0" fillId="9" borderId="32" xfId="0" applyFill="1" applyBorder="1"/>
    <xf numFmtId="0" fontId="0" fillId="10" borderId="0" xfId="0" applyFill="1" applyAlignment="1">
      <alignment horizontal="left"/>
    </xf>
    <xf numFmtId="0" fontId="2" fillId="11" borderId="0" xfId="0" applyFont="1" applyFill="1" applyAlignment="1">
      <alignment horizontal="left"/>
    </xf>
    <xf numFmtId="0" fontId="2" fillId="11" borderId="0" xfId="0" applyFont="1" applyFill="1" applyAlignment="1">
      <alignment horizontal="center"/>
    </xf>
    <xf numFmtId="166" fontId="16" fillId="12" borderId="44" xfId="3" quotePrefix="1" applyNumberFormat="1" applyFill="1" applyBorder="1" applyAlignment="1">
      <alignment horizontal="left"/>
    </xf>
    <xf numFmtId="0" fontId="0" fillId="11" borderId="72" xfId="0" applyFill="1" applyBorder="1"/>
    <xf numFmtId="0" fontId="0" fillId="11" borderId="72" xfId="0" applyFill="1" applyBorder="1" applyAlignment="1">
      <alignment horizontal="right"/>
    </xf>
    <xf numFmtId="0" fontId="2" fillId="11" borderId="72" xfId="0" applyFont="1" applyFill="1" applyBorder="1" applyAlignment="1">
      <alignment horizontal="left"/>
    </xf>
    <xf numFmtId="0" fontId="4" fillId="11" borderId="72" xfId="0" applyFont="1" applyFill="1" applyBorder="1"/>
    <xf numFmtId="0" fontId="4" fillId="11" borderId="73" xfId="0" applyFont="1" applyFill="1" applyBorder="1"/>
    <xf numFmtId="0" fontId="19" fillId="11" borderId="0" xfId="0" applyFont="1" applyFill="1"/>
    <xf numFmtId="0" fontId="4" fillId="11" borderId="0" xfId="0" applyFont="1" applyFill="1"/>
    <xf numFmtId="20" fontId="0" fillId="11" borderId="0" xfId="0" applyNumberFormat="1" applyFill="1"/>
    <xf numFmtId="0" fontId="16" fillId="12" borderId="0" xfId="3" applyFill="1" applyBorder="1"/>
    <xf numFmtId="0" fontId="4" fillId="12" borderId="0" xfId="0" applyFont="1" applyFill="1"/>
    <xf numFmtId="0" fontId="16" fillId="12" borderId="0" xfId="0" applyFont="1" applyFill="1"/>
    <xf numFmtId="0" fontId="0" fillId="12" borderId="0" xfId="0" applyFill="1"/>
    <xf numFmtId="0" fontId="6" fillId="11" borderId="1" xfId="0" applyFont="1" applyFill="1" applyBorder="1"/>
    <xf numFmtId="0" fontId="6" fillId="11" borderId="1" xfId="0" applyFont="1" applyFill="1" applyBorder="1" applyAlignment="1">
      <alignment horizontal="left"/>
    </xf>
    <xf numFmtId="0" fontId="0" fillId="2" borderId="4" xfId="0" applyFill="1" applyBorder="1"/>
    <xf numFmtId="0" fontId="0" fillId="0" borderId="4" xfId="0" applyBorder="1"/>
    <xf numFmtId="0" fontId="0" fillId="2" borderId="70" xfId="0" applyFont="1" applyFill="1" applyBorder="1" applyAlignment="1">
      <alignment wrapText="1"/>
    </xf>
    <xf numFmtId="0" fontId="0" fillId="0" borderId="70" xfId="0" applyFont="1" applyBorder="1" applyAlignment="1">
      <alignment wrapText="1"/>
    </xf>
    <xf numFmtId="0" fontId="0" fillId="2" borderId="70" xfId="0" applyFont="1" applyFill="1" applyBorder="1" applyAlignment="1"/>
    <xf numFmtId="0" fontId="2" fillId="2" borderId="70" xfId="0" applyFont="1" applyFill="1" applyBorder="1"/>
    <xf numFmtId="0" fontId="11" fillId="9" borderId="0" xfId="0" applyFont="1" applyFill="1"/>
    <xf numFmtId="0" fontId="0" fillId="8" borderId="0" xfId="0" applyFill="1" applyBorder="1"/>
    <xf numFmtId="0" fontId="0" fillId="14" borderId="0" xfId="0" applyFill="1" applyBorder="1"/>
    <xf numFmtId="0" fontId="0" fillId="9" borderId="0" xfId="0" applyFill="1" applyBorder="1"/>
    <xf numFmtId="0" fontId="4" fillId="8" borderId="27" xfId="0" applyFont="1" applyFill="1" applyBorder="1"/>
    <xf numFmtId="0" fontId="4" fillId="8" borderId="29" xfId="0" applyFont="1" applyFill="1" applyBorder="1"/>
    <xf numFmtId="0" fontId="4" fillId="14" borderId="29" xfId="0" applyFont="1" applyFill="1" applyBorder="1"/>
    <xf numFmtId="0" fontId="4" fillId="9" borderId="29" xfId="0" applyFont="1" applyFill="1" applyBorder="1"/>
    <xf numFmtId="0" fontId="15" fillId="7" borderId="74" xfId="2" applyBorder="1"/>
    <xf numFmtId="0" fontId="4" fillId="9" borderId="35" xfId="0" applyFont="1" applyFill="1" applyBorder="1"/>
    <xf numFmtId="0" fontId="25" fillId="0" borderId="6" xfId="0" applyFont="1" applyBorder="1"/>
    <xf numFmtId="0" fontId="26" fillId="0" borderId="6" xfId="0" applyFont="1" applyBorder="1"/>
    <xf numFmtId="0" fontId="6" fillId="0" borderId="0" xfId="1" applyFont="1"/>
    <xf numFmtId="0" fontId="6" fillId="7" borderId="22" xfId="2" applyFont="1" applyProtection="1">
      <protection locked="0"/>
    </xf>
    <xf numFmtId="0" fontId="27" fillId="13" borderId="70" xfId="0" applyFont="1" applyFill="1" applyBorder="1"/>
    <xf numFmtId="0" fontId="0" fillId="0" borderId="0" xfId="0" applyFill="1" applyBorder="1"/>
    <xf numFmtId="0" fontId="0" fillId="0" borderId="72" xfId="0" applyFill="1" applyBorder="1"/>
    <xf numFmtId="11" fontId="6" fillId="0" borderId="72" xfId="2" applyNumberFormat="1" applyFont="1" applyFill="1" applyBorder="1" applyProtection="1">
      <protection locked="0"/>
    </xf>
    <xf numFmtId="0" fontId="19" fillId="0" borderId="72" xfId="0" applyFont="1" applyFill="1" applyBorder="1" applyAlignment="1">
      <alignment horizontal="right"/>
    </xf>
    <xf numFmtId="0" fontId="16" fillId="0" borderId="72" xfId="0" applyFont="1" applyFill="1" applyBorder="1" applyAlignment="1">
      <alignment horizontal="left"/>
    </xf>
    <xf numFmtId="0" fontId="6" fillId="7" borderId="75" xfId="2" applyFont="1" applyBorder="1" applyProtection="1">
      <protection locked="0"/>
    </xf>
    <xf numFmtId="0" fontId="3" fillId="0" borderId="70" xfId="1" applyBorder="1"/>
    <xf numFmtId="0" fontId="28" fillId="2" borderId="70" xfId="0" applyFont="1" applyFill="1" applyBorder="1"/>
    <xf numFmtId="0" fontId="27" fillId="13" borderId="76" xfId="0" applyFont="1" applyFill="1" applyBorder="1" applyAlignment="1">
      <alignment horizontal="center"/>
    </xf>
    <xf numFmtId="0" fontId="0" fillId="0" borderId="76" xfId="0" applyBorder="1"/>
    <xf numFmtId="0" fontId="0" fillId="15" borderId="0" xfId="0" applyFill="1"/>
    <xf numFmtId="0" fontId="0" fillId="16" borderId="0" xfId="0" applyFill="1"/>
    <xf numFmtId="0" fontId="0" fillId="17" borderId="0" xfId="0" applyFill="1"/>
    <xf numFmtId="0" fontId="29" fillId="17" borderId="0" xfId="0" applyFont="1" applyFill="1"/>
    <xf numFmtId="0" fontId="12" fillId="18" borderId="0" xfId="0" applyFont="1" applyFill="1" applyAlignment="1">
      <alignment vertical="center"/>
    </xf>
    <xf numFmtId="0" fontId="0" fillId="19" borderId="0" xfId="0" applyFill="1"/>
    <xf numFmtId="0" fontId="3" fillId="19" borderId="0" xfId="1" applyFill="1"/>
    <xf numFmtId="0" fontId="0" fillId="20" borderId="0" xfId="0" applyFill="1"/>
    <xf numFmtId="0" fontId="2" fillId="20" borderId="2" xfId="0" applyFont="1" applyFill="1" applyBorder="1"/>
    <xf numFmtId="0" fontId="0" fillId="20" borderId="2" xfId="0" applyFill="1" applyBorder="1"/>
    <xf numFmtId="0" fontId="0" fillId="20" borderId="5" xfId="0" applyFill="1" applyBorder="1"/>
    <xf numFmtId="0" fontId="12" fillId="21" borderId="5" xfId="0" applyFont="1" applyFill="1" applyBorder="1" applyAlignment="1">
      <alignment vertical="center"/>
    </xf>
    <xf numFmtId="0" fontId="2" fillId="20" borderId="0" xfId="0" applyFont="1" applyFill="1"/>
    <xf numFmtId="0" fontId="0" fillId="20" borderId="77" xfId="0" applyFill="1" applyBorder="1"/>
    <xf numFmtId="0" fontId="2" fillId="20" borderId="72" xfId="0" applyFont="1" applyFill="1" applyBorder="1"/>
    <xf numFmtId="0" fontId="0" fillId="20" borderId="72" xfId="0" applyFill="1" applyBorder="1"/>
    <xf numFmtId="0" fontId="0" fillId="20" borderId="78" xfId="0" applyFill="1" applyBorder="1"/>
    <xf numFmtId="0" fontId="2" fillId="20" borderId="3" xfId="0" applyFont="1" applyFill="1" applyBorder="1"/>
    <xf numFmtId="0" fontId="0" fillId="20" borderId="3" xfId="0" applyFill="1" applyBorder="1"/>
    <xf numFmtId="0" fontId="0" fillId="20" borderId="79" xfId="0" applyFill="1" applyBorder="1"/>
    <xf numFmtId="0" fontId="16" fillId="17" borderId="0" xfId="0" applyFont="1" applyFill="1"/>
    <xf numFmtId="0" fontId="4" fillId="3" borderId="19" xfId="0" applyFont="1" applyFill="1" applyBorder="1" applyAlignment="1" applyProtection="1">
      <alignment horizontal="left" vertical="top" wrapText="1"/>
      <protection locked="0"/>
    </xf>
    <xf numFmtId="0" fontId="4" fillId="3" borderId="20" xfId="0" applyFont="1" applyFill="1" applyBorder="1" applyAlignment="1" applyProtection="1">
      <alignment horizontal="left" vertical="top" wrapText="1"/>
      <protection locked="0"/>
    </xf>
    <xf numFmtId="0" fontId="4" fillId="3" borderId="21" xfId="0" applyFont="1" applyFill="1" applyBorder="1" applyAlignment="1" applyProtection="1">
      <alignment horizontal="left" vertical="top" wrapText="1"/>
      <protection locked="0"/>
    </xf>
    <xf numFmtId="164" fontId="11" fillId="6" borderId="14" xfId="0" applyNumberFormat="1" applyFont="1" applyFill="1" applyBorder="1" applyAlignment="1" applyProtection="1">
      <alignment horizontal="center" vertical="top"/>
      <protection hidden="1"/>
    </xf>
    <xf numFmtId="164" fontId="11" fillId="6" borderId="13" xfId="0" applyNumberFormat="1" applyFont="1" applyFill="1" applyBorder="1" applyAlignment="1" applyProtection="1">
      <alignment horizontal="center" vertical="top"/>
      <protection hidden="1"/>
    </xf>
    <xf numFmtId="164" fontId="11" fillId="6" borderId="12" xfId="0" applyNumberFormat="1" applyFont="1" applyFill="1" applyBorder="1" applyAlignment="1" applyProtection="1">
      <alignment horizontal="center" vertical="top"/>
      <protection hidden="1"/>
    </xf>
    <xf numFmtId="0" fontId="11" fillId="6" borderId="14" xfId="0" applyFont="1" applyFill="1" applyBorder="1" applyAlignment="1" applyProtection="1">
      <alignment horizontal="center" vertical="top"/>
      <protection hidden="1"/>
    </xf>
    <xf numFmtId="0" fontId="11" fillId="6" borderId="13" xfId="0" applyFont="1" applyFill="1" applyBorder="1" applyAlignment="1" applyProtection="1">
      <alignment horizontal="center" vertical="top"/>
      <protection hidden="1"/>
    </xf>
    <xf numFmtId="0" fontId="11" fillId="6" borderId="12" xfId="0" applyFont="1" applyFill="1" applyBorder="1" applyAlignment="1" applyProtection="1">
      <alignment horizontal="center" vertical="top"/>
      <protection hidden="1"/>
    </xf>
    <xf numFmtId="0" fontId="11" fillId="5" borderId="14" xfId="0" applyFont="1" applyFill="1" applyBorder="1" applyAlignment="1" applyProtection="1">
      <alignment horizontal="center" vertical="top"/>
      <protection hidden="1"/>
    </xf>
    <xf numFmtId="0" fontId="11" fillId="5" borderId="13" xfId="0" applyFont="1" applyFill="1" applyBorder="1" applyAlignment="1" applyProtection="1">
      <alignment horizontal="center" vertical="top"/>
      <protection hidden="1"/>
    </xf>
    <xf numFmtId="0" fontId="11" fillId="5" borderId="12" xfId="0" applyFont="1" applyFill="1" applyBorder="1" applyAlignment="1" applyProtection="1">
      <alignment horizontal="center" vertical="top"/>
      <protection hidden="1"/>
    </xf>
    <xf numFmtId="164" fontId="11" fillId="5" borderId="14" xfId="0" applyNumberFormat="1" applyFont="1" applyFill="1" applyBorder="1" applyAlignment="1" applyProtection="1">
      <alignment horizontal="center" vertical="top"/>
      <protection hidden="1"/>
    </xf>
    <xf numFmtId="164" fontId="11" fillId="5" borderId="13" xfId="0" applyNumberFormat="1" applyFont="1" applyFill="1" applyBorder="1" applyAlignment="1" applyProtection="1">
      <alignment horizontal="center" vertical="top"/>
      <protection hidden="1"/>
    </xf>
    <xf numFmtId="164" fontId="11" fillId="5" borderId="12" xfId="0" applyNumberFormat="1" applyFont="1" applyFill="1" applyBorder="1" applyAlignment="1" applyProtection="1">
      <alignment horizontal="center" vertical="top"/>
      <protection hidden="1"/>
    </xf>
    <xf numFmtId="0" fontId="11" fillId="4" borderId="14" xfId="0" applyFont="1" applyFill="1" applyBorder="1" applyAlignment="1" applyProtection="1">
      <alignment horizontal="center" vertical="top"/>
      <protection hidden="1"/>
    </xf>
    <xf numFmtId="0" fontId="11" fillId="4" borderId="13" xfId="0" applyFont="1" applyFill="1" applyBorder="1" applyAlignment="1" applyProtection="1">
      <alignment horizontal="center" vertical="top"/>
      <protection hidden="1"/>
    </xf>
    <xf numFmtId="0" fontId="11" fillId="4" borderId="12" xfId="0" applyFont="1" applyFill="1" applyBorder="1" applyAlignment="1" applyProtection="1">
      <alignment horizontal="center" vertical="top"/>
      <protection hidden="1"/>
    </xf>
    <xf numFmtId="164" fontId="11" fillId="4" borderId="14" xfId="0" applyNumberFormat="1" applyFont="1" applyFill="1" applyBorder="1" applyAlignment="1" applyProtection="1">
      <alignment horizontal="center" vertical="top"/>
      <protection hidden="1"/>
    </xf>
    <xf numFmtId="164" fontId="11" fillId="4" borderId="13" xfId="0" applyNumberFormat="1" applyFont="1" applyFill="1" applyBorder="1" applyAlignment="1" applyProtection="1">
      <alignment horizontal="center" vertical="top"/>
      <protection hidden="1"/>
    </xf>
    <xf numFmtId="164" fontId="11" fillId="4" borderId="12" xfId="0" applyNumberFormat="1" applyFont="1" applyFill="1" applyBorder="1" applyAlignment="1" applyProtection="1">
      <alignment horizontal="center" vertical="top"/>
      <protection hidden="1"/>
    </xf>
    <xf numFmtId="0" fontId="4" fillId="0" borderId="32" xfId="0" applyFont="1" applyBorder="1" applyAlignment="1" applyProtection="1">
      <alignment horizontal="left" vertical="top" wrapText="1"/>
      <protection hidden="1"/>
    </xf>
    <xf numFmtId="0" fontId="6" fillId="7" borderId="22" xfId="2" applyFont="1" applyProtection="1">
      <protection locked="0"/>
    </xf>
    <xf numFmtId="0" fontId="6" fillId="7" borderId="1" xfId="2" applyFont="1" applyBorder="1" applyProtection="1">
      <protection locked="0"/>
    </xf>
    <xf numFmtId="0" fontId="0" fillId="11" borderId="23" xfId="0" applyFill="1" applyBorder="1" applyAlignment="1">
      <alignment horizontal="center"/>
    </xf>
    <xf numFmtId="0" fontId="0" fillId="11" borderId="24" xfId="0" applyFill="1" applyBorder="1" applyAlignment="1">
      <alignment horizontal="center"/>
    </xf>
    <xf numFmtId="0" fontId="0" fillId="11" borderId="36" xfId="0" applyFill="1" applyBorder="1" applyAlignment="1">
      <alignment horizontal="center"/>
    </xf>
    <xf numFmtId="0" fontId="4" fillId="0" borderId="0" xfId="0" applyFont="1" applyAlignment="1">
      <alignment horizontal="center" wrapText="1"/>
    </xf>
    <xf numFmtId="0" fontId="4" fillId="0" borderId="29" xfId="0" applyFont="1" applyBorder="1" applyAlignment="1">
      <alignment horizontal="center" wrapText="1"/>
    </xf>
    <xf numFmtId="0" fontId="4" fillId="0" borderId="32" xfId="0" applyFont="1" applyBorder="1" applyAlignment="1">
      <alignment horizontal="center" wrapText="1"/>
    </xf>
    <xf numFmtId="0" fontId="4" fillId="0" borderId="35" xfId="0" applyFont="1" applyBorder="1" applyAlignment="1">
      <alignment horizontal="center" wrapText="1"/>
    </xf>
    <xf numFmtId="0" fontId="15" fillId="7" borderId="1" xfId="2" applyBorder="1" applyProtection="1">
      <protection locked="0"/>
    </xf>
    <xf numFmtId="0" fontId="15" fillId="7" borderId="5" xfId="2" applyBorder="1" applyProtection="1">
      <protection locked="0"/>
    </xf>
    <xf numFmtId="0" fontId="6" fillId="7" borderId="60" xfId="2" applyFont="1" applyBorder="1" applyProtection="1">
      <protection locked="0"/>
    </xf>
    <xf numFmtId="0" fontId="15" fillId="7" borderId="54" xfId="2" applyBorder="1" applyProtection="1">
      <protection locked="0"/>
    </xf>
    <xf numFmtId="0" fontId="15" fillId="7" borderId="55" xfId="2" applyBorder="1" applyProtection="1">
      <protection locked="0"/>
    </xf>
    <xf numFmtId="0" fontId="15" fillId="7" borderId="56" xfId="2" applyBorder="1" applyProtection="1">
      <protection locked="0"/>
    </xf>
    <xf numFmtId="0" fontId="15" fillId="7" borderId="57" xfId="2" applyBorder="1" applyProtection="1">
      <protection locked="0"/>
    </xf>
    <xf numFmtId="0" fontId="15" fillId="7" borderId="58" xfId="2" applyBorder="1" applyProtection="1">
      <protection locked="0"/>
    </xf>
    <xf numFmtId="0" fontId="15" fillId="7" borderId="59" xfId="2" applyBorder="1" applyProtection="1">
      <protection locked="0"/>
    </xf>
    <xf numFmtId="0" fontId="15" fillId="7" borderId="51" xfId="2" applyBorder="1" applyProtection="1">
      <protection locked="0"/>
    </xf>
    <xf numFmtId="0" fontId="15" fillId="7" borderId="52" xfId="2" applyBorder="1" applyProtection="1">
      <protection locked="0"/>
    </xf>
    <xf numFmtId="0" fontId="15" fillId="7" borderId="53" xfId="2" applyBorder="1" applyProtection="1">
      <protection locked="0"/>
    </xf>
  </cellXfs>
  <cellStyles count="4">
    <cellStyle name="Hyperlink" xfId="1" builtinId="8"/>
    <cellStyle name="Input" xfId="2" builtinId="20"/>
    <cellStyle name="Normal" xfId="0" builtinId="0"/>
    <cellStyle name="Warning Text" xfId="3" builtinId="11"/>
  </cellStyles>
  <dxfs count="34">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numFmt numFmtId="19" formatCode="m/d/yyyy"/>
      <alignment vertical="top" textRotation="0" indent="0" justifyLastLine="0" shrinkToFit="0" readingOrder="0"/>
    </dxf>
    <dxf>
      <font>
        <b val="0"/>
        <i val="0"/>
        <strike val="0"/>
        <condense val="0"/>
        <extend val="0"/>
        <outline val="0"/>
        <shadow val="0"/>
        <u val="none"/>
        <vertAlign val="baseline"/>
        <sz val="9"/>
        <color theme="1"/>
        <name val="Calibri"/>
        <family val="2"/>
        <scheme val="minor"/>
      </font>
      <alignment vertical="top" textRotation="0" indent="0" justifyLastLine="0" shrinkToFit="0" readingOrder="0"/>
    </dxf>
    <dxf>
      <font>
        <b/>
        <i val="0"/>
        <strike val="0"/>
        <condense val="0"/>
        <extend val="0"/>
        <outline val="0"/>
        <shadow val="0"/>
        <u val="none"/>
        <vertAlign val="baseline"/>
        <sz val="9"/>
        <color theme="1"/>
        <name val="Calibri"/>
        <family val="2"/>
        <scheme val="minor"/>
      </font>
      <alignment horizontal="center" vertical="top" textRotation="0" wrapText="0" indent="0" justifyLastLine="0" shrinkToFit="0" readingOrder="0"/>
    </dxf>
    <dxf>
      <border>
        <left style="thin">
          <color auto="1"/>
        </left>
        <right style="thin">
          <color auto="1"/>
        </right>
        <top style="thin">
          <color auto="1"/>
        </top>
        <bottom style="thin">
          <color auto="1"/>
        </bottom>
        <vertical/>
        <horizontal/>
      </border>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
      <fill>
        <patternFill>
          <bgColor theme="8" tint="0.59996337778862885"/>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2</xdr:row>
          <xdr:rowOff>19050</xdr:rowOff>
        </xdr:from>
        <xdr:to>
          <xdr:col>2</xdr:col>
          <xdr:colOff>0</xdr:colOff>
          <xdr:row>2</xdr:row>
          <xdr:rowOff>152400</xdr:rowOff>
        </xdr:to>
        <xdr:sp macro="" textlink="">
          <xdr:nvSpPr>
            <xdr:cNvPr id="12290" name="ButtonSave1" hidden="1">
              <a:extLst>
                <a:ext uri="{63B3BB69-23CF-44E3-9099-C40C66FF867C}">
                  <a14:compatExt spid="_x0000_s12290"/>
                </a:ext>
                <a:ext uri="{FF2B5EF4-FFF2-40B4-BE49-F238E27FC236}">
                  <a16:creationId xmlns:a16="http://schemas.microsoft.com/office/drawing/2014/main" id="{00000000-0008-0000-0100-00000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22</xdr:row>
          <xdr:rowOff>19050</xdr:rowOff>
        </xdr:from>
        <xdr:to>
          <xdr:col>2</xdr:col>
          <xdr:colOff>0</xdr:colOff>
          <xdr:row>22</xdr:row>
          <xdr:rowOff>152400</xdr:rowOff>
        </xdr:to>
        <xdr:sp macro="" textlink="">
          <xdr:nvSpPr>
            <xdr:cNvPr id="12300" name="ButtonSave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42</xdr:row>
          <xdr:rowOff>19050</xdr:rowOff>
        </xdr:from>
        <xdr:to>
          <xdr:col>2</xdr:col>
          <xdr:colOff>0</xdr:colOff>
          <xdr:row>42</xdr:row>
          <xdr:rowOff>152400</xdr:rowOff>
        </xdr:to>
        <xdr:sp macro="" textlink="">
          <xdr:nvSpPr>
            <xdr:cNvPr id="12301" name="ButtonSave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62</xdr:row>
          <xdr:rowOff>19050</xdr:rowOff>
        </xdr:from>
        <xdr:to>
          <xdr:col>2</xdr:col>
          <xdr:colOff>0</xdr:colOff>
          <xdr:row>62</xdr:row>
          <xdr:rowOff>152400</xdr:rowOff>
        </xdr:to>
        <xdr:sp macro="" textlink="">
          <xdr:nvSpPr>
            <xdr:cNvPr id="12302" name="ButtonSave4" hidden="1">
              <a:extLst>
                <a:ext uri="{63B3BB69-23CF-44E3-9099-C40C66FF867C}">
                  <a14:compatExt spid="_x0000_s12302"/>
                </a:ext>
                <a:ext uri="{FF2B5EF4-FFF2-40B4-BE49-F238E27FC236}">
                  <a16:creationId xmlns:a16="http://schemas.microsoft.com/office/drawing/2014/main" id="{00000000-0008-0000-0100-00000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82</xdr:row>
          <xdr:rowOff>19050</xdr:rowOff>
        </xdr:from>
        <xdr:to>
          <xdr:col>2</xdr:col>
          <xdr:colOff>0</xdr:colOff>
          <xdr:row>82</xdr:row>
          <xdr:rowOff>152400</xdr:rowOff>
        </xdr:to>
        <xdr:sp macro="" textlink="">
          <xdr:nvSpPr>
            <xdr:cNvPr id="12303" name="ButtonSave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102</xdr:row>
          <xdr:rowOff>19050</xdr:rowOff>
        </xdr:from>
        <xdr:to>
          <xdr:col>2</xdr:col>
          <xdr:colOff>0</xdr:colOff>
          <xdr:row>102</xdr:row>
          <xdr:rowOff>152400</xdr:rowOff>
        </xdr:to>
        <xdr:sp macro="" textlink="">
          <xdr:nvSpPr>
            <xdr:cNvPr id="12304" name="ButtonSave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122</xdr:row>
          <xdr:rowOff>19050</xdr:rowOff>
        </xdr:from>
        <xdr:to>
          <xdr:col>2</xdr:col>
          <xdr:colOff>0</xdr:colOff>
          <xdr:row>122</xdr:row>
          <xdr:rowOff>152400</xdr:rowOff>
        </xdr:to>
        <xdr:sp macro="" textlink="">
          <xdr:nvSpPr>
            <xdr:cNvPr id="12305" name="ButtonSave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122</xdr:row>
          <xdr:rowOff>19050</xdr:rowOff>
        </xdr:from>
        <xdr:to>
          <xdr:col>8</xdr:col>
          <xdr:colOff>0</xdr:colOff>
          <xdr:row>122</xdr:row>
          <xdr:rowOff>152400</xdr:rowOff>
        </xdr:to>
        <xdr:sp macro="" textlink="">
          <xdr:nvSpPr>
            <xdr:cNvPr id="12306" name="ButtonSave14" hidden="1">
              <a:extLst>
                <a:ext uri="{63B3BB69-23CF-44E3-9099-C40C66FF867C}">
                  <a14:compatExt spid="_x0000_s12306"/>
                </a:ext>
                <a:ext uri="{FF2B5EF4-FFF2-40B4-BE49-F238E27FC236}">
                  <a16:creationId xmlns:a16="http://schemas.microsoft.com/office/drawing/2014/main" id="{00000000-0008-0000-0100-00001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122</xdr:row>
          <xdr:rowOff>19050</xdr:rowOff>
        </xdr:from>
        <xdr:to>
          <xdr:col>14</xdr:col>
          <xdr:colOff>0</xdr:colOff>
          <xdr:row>122</xdr:row>
          <xdr:rowOff>152400</xdr:rowOff>
        </xdr:to>
        <xdr:sp macro="" textlink="">
          <xdr:nvSpPr>
            <xdr:cNvPr id="12307" name="ButtonSave21" hidden="1">
              <a:extLst>
                <a:ext uri="{63B3BB69-23CF-44E3-9099-C40C66FF867C}">
                  <a14:compatExt spid="_x0000_s12307"/>
                </a:ext>
                <a:ext uri="{FF2B5EF4-FFF2-40B4-BE49-F238E27FC236}">
                  <a16:creationId xmlns:a16="http://schemas.microsoft.com/office/drawing/2014/main" id="{00000000-0008-0000-0100-00001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102</xdr:row>
          <xdr:rowOff>19050</xdr:rowOff>
        </xdr:from>
        <xdr:to>
          <xdr:col>8</xdr:col>
          <xdr:colOff>0</xdr:colOff>
          <xdr:row>102</xdr:row>
          <xdr:rowOff>152400</xdr:rowOff>
        </xdr:to>
        <xdr:sp macro="" textlink="">
          <xdr:nvSpPr>
            <xdr:cNvPr id="12309" name="ButtonSave13"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102</xdr:row>
          <xdr:rowOff>19050</xdr:rowOff>
        </xdr:from>
        <xdr:to>
          <xdr:col>14</xdr:col>
          <xdr:colOff>0</xdr:colOff>
          <xdr:row>102</xdr:row>
          <xdr:rowOff>152400</xdr:rowOff>
        </xdr:to>
        <xdr:sp macro="" textlink="">
          <xdr:nvSpPr>
            <xdr:cNvPr id="12310" name="ButtonSave20" hidden="1">
              <a:extLst>
                <a:ext uri="{63B3BB69-23CF-44E3-9099-C40C66FF867C}">
                  <a14:compatExt spid="_x0000_s12310"/>
                </a:ext>
                <a:ext uri="{FF2B5EF4-FFF2-40B4-BE49-F238E27FC236}">
                  <a16:creationId xmlns:a16="http://schemas.microsoft.com/office/drawing/2014/main" id="{00000000-0008-0000-0100-00001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82</xdr:row>
          <xdr:rowOff>19050</xdr:rowOff>
        </xdr:from>
        <xdr:to>
          <xdr:col>8</xdr:col>
          <xdr:colOff>0</xdr:colOff>
          <xdr:row>82</xdr:row>
          <xdr:rowOff>152400</xdr:rowOff>
        </xdr:to>
        <xdr:sp macro="" textlink="">
          <xdr:nvSpPr>
            <xdr:cNvPr id="12312" name="ButtonSave12" hidden="1">
              <a:extLst>
                <a:ext uri="{63B3BB69-23CF-44E3-9099-C40C66FF867C}">
                  <a14:compatExt spid="_x0000_s12312"/>
                </a:ext>
                <a:ext uri="{FF2B5EF4-FFF2-40B4-BE49-F238E27FC236}">
                  <a16:creationId xmlns:a16="http://schemas.microsoft.com/office/drawing/2014/main" id="{00000000-0008-0000-0100-00001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82</xdr:row>
          <xdr:rowOff>19050</xdr:rowOff>
        </xdr:from>
        <xdr:to>
          <xdr:col>14</xdr:col>
          <xdr:colOff>0</xdr:colOff>
          <xdr:row>82</xdr:row>
          <xdr:rowOff>152400</xdr:rowOff>
        </xdr:to>
        <xdr:sp macro="" textlink="">
          <xdr:nvSpPr>
            <xdr:cNvPr id="12313" name="ButtonSave19" hidden="1">
              <a:extLst>
                <a:ext uri="{63B3BB69-23CF-44E3-9099-C40C66FF867C}">
                  <a14:compatExt spid="_x0000_s12313"/>
                </a:ext>
                <a:ext uri="{FF2B5EF4-FFF2-40B4-BE49-F238E27FC236}">
                  <a16:creationId xmlns:a16="http://schemas.microsoft.com/office/drawing/2014/main" id="{00000000-0008-0000-0100-00001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62</xdr:row>
          <xdr:rowOff>19050</xdr:rowOff>
        </xdr:from>
        <xdr:to>
          <xdr:col>8</xdr:col>
          <xdr:colOff>0</xdr:colOff>
          <xdr:row>62</xdr:row>
          <xdr:rowOff>152400</xdr:rowOff>
        </xdr:to>
        <xdr:sp macro="" textlink="">
          <xdr:nvSpPr>
            <xdr:cNvPr id="12315" name="ButtonSave11" hidden="1">
              <a:extLst>
                <a:ext uri="{63B3BB69-23CF-44E3-9099-C40C66FF867C}">
                  <a14:compatExt spid="_x0000_s12315"/>
                </a:ext>
                <a:ext uri="{FF2B5EF4-FFF2-40B4-BE49-F238E27FC236}">
                  <a16:creationId xmlns:a16="http://schemas.microsoft.com/office/drawing/2014/main" id="{00000000-0008-0000-0100-00001B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62</xdr:row>
          <xdr:rowOff>19050</xdr:rowOff>
        </xdr:from>
        <xdr:to>
          <xdr:col>14</xdr:col>
          <xdr:colOff>0</xdr:colOff>
          <xdr:row>62</xdr:row>
          <xdr:rowOff>152400</xdr:rowOff>
        </xdr:to>
        <xdr:sp macro="" textlink="">
          <xdr:nvSpPr>
            <xdr:cNvPr id="12316" name="ButtonSave18" hidden="1">
              <a:extLst>
                <a:ext uri="{63B3BB69-23CF-44E3-9099-C40C66FF867C}">
                  <a14:compatExt spid="_x0000_s12316"/>
                </a:ext>
                <a:ext uri="{FF2B5EF4-FFF2-40B4-BE49-F238E27FC236}">
                  <a16:creationId xmlns:a16="http://schemas.microsoft.com/office/drawing/2014/main" id="{00000000-0008-0000-0100-00001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42</xdr:row>
          <xdr:rowOff>19050</xdr:rowOff>
        </xdr:from>
        <xdr:to>
          <xdr:col>14</xdr:col>
          <xdr:colOff>0</xdr:colOff>
          <xdr:row>42</xdr:row>
          <xdr:rowOff>152400</xdr:rowOff>
        </xdr:to>
        <xdr:sp macro="" textlink="">
          <xdr:nvSpPr>
            <xdr:cNvPr id="12319" name="ButtonSave17" hidden="1">
              <a:extLst>
                <a:ext uri="{63B3BB69-23CF-44E3-9099-C40C66FF867C}">
                  <a14:compatExt spid="_x0000_s12319"/>
                </a:ext>
                <a:ext uri="{FF2B5EF4-FFF2-40B4-BE49-F238E27FC236}">
                  <a16:creationId xmlns:a16="http://schemas.microsoft.com/office/drawing/2014/main" id="{00000000-0008-0000-0100-00001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42</xdr:row>
          <xdr:rowOff>19050</xdr:rowOff>
        </xdr:from>
        <xdr:to>
          <xdr:col>8</xdr:col>
          <xdr:colOff>0</xdr:colOff>
          <xdr:row>42</xdr:row>
          <xdr:rowOff>152400</xdr:rowOff>
        </xdr:to>
        <xdr:sp macro="" textlink="">
          <xdr:nvSpPr>
            <xdr:cNvPr id="12320" name="ButtonSave10" hidden="1">
              <a:extLst>
                <a:ext uri="{63B3BB69-23CF-44E3-9099-C40C66FF867C}">
                  <a14:compatExt spid="_x0000_s12320"/>
                </a:ext>
                <a:ext uri="{FF2B5EF4-FFF2-40B4-BE49-F238E27FC236}">
                  <a16:creationId xmlns:a16="http://schemas.microsoft.com/office/drawing/2014/main" id="{00000000-0008-0000-0100-00002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22</xdr:row>
          <xdr:rowOff>19050</xdr:rowOff>
        </xdr:from>
        <xdr:to>
          <xdr:col>8</xdr:col>
          <xdr:colOff>0</xdr:colOff>
          <xdr:row>22</xdr:row>
          <xdr:rowOff>152400</xdr:rowOff>
        </xdr:to>
        <xdr:sp macro="" textlink="">
          <xdr:nvSpPr>
            <xdr:cNvPr id="12321" name="ButtonSave9" hidden="1">
              <a:extLst>
                <a:ext uri="{63B3BB69-23CF-44E3-9099-C40C66FF867C}">
                  <a14:compatExt spid="_x0000_s12321"/>
                </a:ext>
                <a:ext uri="{FF2B5EF4-FFF2-40B4-BE49-F238E27FC236}">
                  <a16:creationId xmlns:a16="http://schemas.microsoft.com/office/drawing/2014/main" id="{00000000-0008-0000-0100-00002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22</xdr:row>
          <xdr:rowOff>19050</xdr:rowOff>
        </xdr:from>
        <xdr:to>
          <xdr:col>14</xdr:col>
          <xdr:colOff>0</xdr:colOff>
          <xdr:row>22</xdr:row>
          <xdr:rowOff>152400</xdr:rowOff>
        </xdr:to>
        <xdr:sp macro="" textlink="">
          <xdr:nvSpPr>
            <xdr:cNvPr id="12322" name="ButtonSave16" hidden="1">
              <a:extLst>
                <a:ext uri="{63B3BB69-23CF-44E3-9099-C40C66FF867C}">
                  <a14:compatExt spid="_x0000_s12322"/>
                </a:ext>
                <a:ext uri="{FF2B5EF4-FFF2-40B4-BE49-F238E27FC236}">
                  <a16:creationId xmlns:a16="http://schemas.microsoft.com/office/drawing/2014/main" id="{00000000-0008-0000-0100-00002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2</xdr:row>
          <xdr:rowOff>19050</xdr:rowOff>
        </xdr:from>
        <xdr:to>
          <xdr:col>14</xdr:col>
          <xdr:colOff>0</xdr:colOff>
          <xdr:row>2</xdr:row>
          <xdr:rowOff>152400</xdr:rowOff>
        </xdr:to>
        <xdr:sp macro="" textlink="">
          <xdr:nvSpPr>
            <xdr:cNvPr id="12325" name="ButtonSave15" hidden="1">
              <a:extLst>
                <a:ext uri="{63B3BB69-23CF-44E3-9099-C40C66FF867C}">
                  <a14:compatExt spid="_x0000_s12325"/>
                </a:ext>
                <a:ext uri="{FF2B5EF4-FFF2-40B4-BE49-F238E27FC236}">
                  <a16:creationId xmlns:a16="http://schemas.microsoft.com/office/drawing/2014/main" id="{00000000-0008-0000-0100-00002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2</xdr:row>
          <xdr:rowOff>19050</xdr:rowOff>
        </xdr:from>
        <xdr:to>
          <xdr:col>8</xdr:col>
          <xdr:colOff>0</xdr:colOff>
          <xdr:row>2</xdr:row>
          <xdr:rowOff>152400</xdr:rowOff>
        </xdr:to>
        <xdr:sp macro="" textlink="">
          <xdr:nvSpPr>
            <xdr:cNvPr id="12326" name="ButtonSave8" hidden="1">
              <a:extLst>
                <a:ext uri="{63B3BB69-23CF-44E3-9099-C40C66FF867C}">
                  <a14:compatExt spid="_x0000_s12326"/>
                </a:ext>
                <a:ext uri="{FF2B5EF4-FFF2-40B4-BE49-F238E27FC236}">
                  <a16:creationId xmlns:a16="http://schemas.microsoft.com/office/drawing/2014/main" id="{00000000-0008-0000-0100-00002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Save</a:t>
              </a:r>
            </a:p>
          </xdr:txBody>
        </xdr:sp>
        <xdr:clientData fPrintsWithSheet="0"/>
      </xdr:twoCellAnchor>
    </mc:Choice>
    <mc:Fallback/>
  </mc:AlternateContent>
  <xdr:twoCellAnchor>
    <xdr:from>
      <xdr:col>1</xdr:col>
      <xdr:colOff>571499</xdr:colOff>
      <xdr:row>0</xdr:row>
      <xdr:rowOff>47625</xdr:rowOff>
    </xdr:from>
    <xdr:to>
      <xdr:col>1</xdr:col>
      <xdr:colOff>1079499</xdr:colOff>
      <xdr:row>1</xdr:row>
      <xdr:rowOff>171450</xdr:rowOff>
    </xdr:to>
    <xdr:sp macro="[0]!NextWeek" textlink="">
      <xdr:nvSpPr>
        <xdr:cNvPr id="2" name="ButtonNext">
          <a:extLst>
            <a:ext uri="{FF2B5EF4-FFF2-40B4-BE49-F238E27FC236}">
              <a16:creationId xmlns:a16="http://schemas.microsoft.com/office/drawing/2014/main" id="{00000000-0008-0000-0100-000002000000}"/>
            </a:ext>
          </a:extLst>
        </xdr:cNvPr>
        <xdr:cNvSpPr/>
      </xdr:nvSpPr>
      <xdr:spPr>
        <a:xfrm>
          <a:off x="752474" y="47625"/>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34925</xdr:colOff>
      <xdr:row>0</xdr:row>
      <xdr:rowOff>47623</xdr:rowOff>
    </xdr:from>
    <xdr:to>
      <xdr:col>1</xdr:col>
      <xdr:colOff>542925</xdr:colOff>
      <xdr:row>1</xdr:row>
      <xdr:rowOff>171448</xdr:rowOff>
    </xdr:to>
    <xdr:sp macro="[0]!PreviousWeek" textlink="">
      <xdr:nvSpPr>
        <xdr:cNvPr id="24" name="ButtonPrevious">
          <a:extLst>
            <a:ext uri="{FF2B5EF4-FFF2-40B4-BE49-F238E27FC236}">
              <a16:creationId xmlns:a16="http://schemas.microsoft.com/office/drawing/2014/main" id="{00000000-0008-0000-0100-000018000000}"/>
            </a:ext>
          </a:extLst>
        </xdr:cNvPr>
        <xdr:cNvSpPr/>
      </xdr:nvSpPr>
      <xdr:spPr>
        <a:xfrm rot="10800000">
          <a:off x="215900" y="47623"/>
          <a:ext cx="508000" cy="3905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3</xdr:col>
          <xdr:colOff>381000</xdr:colOff>
          <xdr:row>2</xdr:row>
          <xdr:rowOff>19050</xdr:rowOff>
        </xdr:from>
        <xdr:to>
          <xdr:col>5</xdr:col>
          <xdr:colOff>1504950</xdr:colOff>
          <xdr:row>2</xdr:row>
          <xdr:rowOff>152400</xdr:rowOff>
        </xdr:to>
        <xdr:sp macro="" textlink="">
          <xdr:nvSpPr>
            <xdr:cNvPr id="12328" name="ButtonSelectClone" hidden="1">
              <a:extLst>
                <a:ext uri="{63B3BB69-23CF-44E3-9099-C40C66FF867C}">
                  <a14:compatExt spid="_x0000_s12328"/>
                </a:ext>
                <a:ext uri="{FF2B5EF4-FFF2-40B4-BE49-F238E27FC236}">
                  <a16:creationId xmlns:a16="http://schemas.microsoft.com/office/drawing/2014/main" id="{00000000-0008-0000-0100-00002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twoCellAnchor editAs="oneCell">
    <xdr:from>
      <xdr:col>1</xdr:col>
      <xdr:colOff>1190625</xdr:colOff>
      <xdr:row>0</xdr:row>
      <xdr:rowOff>9921</xdr:rowOff>
    </xdr:from>
    <xdr:to>
      <xdr:col>1</xdr:col>
      <xdr:colOff>1676797</xdr:colOff>
      <xdr:row>2</xdr:row>
      <xdr:rowOff>21868</xdr:rowOff>
    </xdr:to>
    <xdr:pic macro="[0]!SelectWeek">
      <xdr:nvPicPr>
        <xdr:cNvPr id="26" name="Picture 25" descr="Calendar icon - Free download on Iconfinder">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79141" y="9921"/>
          <a:ext cx="486172" cy="47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414338</xdr:colOff>
          <xdr:row>22</xdr:row>
          <xdr:rowOff>14288</xdr:rowOff>
        </xdr:from>
        <xdr:to>
          <xdr:col>5</xdr:col>
          <xdr:colOff>1557338</xdr:colOff>
          <xdr:row>22</xdr:row>
          <xdr:rowOff>147638</xdr:rowOff>
        </xdr:to>
        <xdr:sp macro="" textlink="">
          <xdr:nvSpPr>
            <xdr:cNvPr id="12330" name="ButtonSelectClone" hidden="1">
              <a:extLst>
                <a:ext uri="{63B3BB69-23CF-44E3-9099-C40C66FF867C}">
                  <a14:compatExt spid="_x0000_s12330"/>
                </a:ext>
                <a:ext uri="{FF2B5EF4-FFF2-40B4-BE49-F238E27FC236}">
                  <a16:creationId xmlns:a16="http://schemas.microsoft.com/office/drawing/2014/main" id="{00000000-0008-0000-0100-00002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xdr:row>
          <xdr:rowOff>14288</xdr:rowOff>
        </xdr:from>
        <xdr:to>
          <xdr:col>11</xdr:col>
          <xdr:colOff>1600200</xdr:colOff>
          <xdr:row>2</xdr:row>
          <xdr:rowOff>147638</xdr:rowOff>
        </xdr:to>
        <xdr:sp macro="" textlink="">
          <xdr:nvSpPr>
            <xdr:cNvPr id="12332" name="ButtonSelectClone" hidden="1">
              <a:extLst>
                <a:ext uri="{63B3BB69-23CF-44E3-9099-C40C66FF867C}">
                  <a14:compatExt spid="_x0000_s12332"/>
                </a:ext>
                <a:ext uri="{FF2B5EF4-FFF2-40B4-BE49-F238E27FC236}">
                  <a16:creationId xmlns:a16="http://schemas.microsoft.com/office/drawing/2014/main" id="{00000000-0008-0000-0100-00002C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22</xdr:row>
          <xdr:rowOff>14288</xdr:rowOff>
        </xdr:from>
        <xdr:to>
          <xdr:col>11</xdr:col>
          <xdr:colOff>1600200</xdr:colOff>
          <xdr:row>22</xdr:row>
          <xdr:rowOff>147638</xdr:rowOff>
        </xdr:to>
        <xdr:sp macro="" textlink="">
          <xdr:nvSpPr>
            <xdr:cNvPr id="12333" name="ButtonSelectClone" hidden="1">
              <a:extLst>
                <a:ext uri="{63B3BB69-23CF-44E3-9099-C40C66FF867C}">
                  <a14:compatExt spid="_x0000_s12333"/>
                </a:ext>
                <a:ext uri="{FF2B5EF4-FFF2-40B4-BE49-F238E27FC236}">
                  <a16:creationId xmlns:a16="http://schemas.microsoft.com/office/drawing/2014/main" id="{00000000-0008-0000-0100-00002D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33338</xdr:colOff>
          <xdr:row>42</xdr:row>
          <xdr:rowOff>14288</xdr:rowOff>
        </xdr:from>
        <xdr:to>
          <xdr:col>5</xdr:col>
          <xdr:colOff>1581150</xdr:colOff>
          <xdr:row>42</xdr:row>
          <xdr:rowOff>147638</xdr:rowOff>
        </xdr:to>
        <xdr:sp macro="" textlink="">
          <xdr:nvSpPr>
            <xdr:cNvPr id="12334" name="ButtonSelectClone" hidden="1">
              <a:extLst>
                <a:ext uri="{63B3BB69-23CF-44E3-9099-C40C66FF867C}">
                  <a14:compatExt spid="_x0000_s12334"/>
                </a:ext>
                <a:ext uri="{FF2B5EF4-FFF2-40B4-BE49-F238E27FC236}">
                  <a16:creationId xmlns:a16="http://schemas.microsoft.com/office/drawing/2014/main" id="{00000000-0008-0000-0100-00002E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42</xdr:row>
          <xdr:rowOff>19050</xdr:rowOff>
        </xdr:from>
        <xdr:to>
          <xdr:col>11</xdr:col>
          <xdr:colOff>1576388</xdr:colOff>
          <xdr:row>43</xdr:row>
          <xdr:rowOff>0</xdr:rowOff>
        </xdr:to>
        <xdr:sp macro="" textlink="">
          <xdr:nvSpPr>
            <xdr:cNvPr id="12335" name="ButtonSelectClone" hidden="1">
              <a:extLst>
                <a:ext uri="{63B3BB69-23CF-44E3-9099-C40C66FF867C}">
                  <a14:compatExt spid="_x0000_s12335"/>
                </a:ext>
                <a:ext uri="{FF2B5EF4-FFF2-40B4-BE49-F238E27FC236}">
                  <a16:creationId xmlns:a16="http://schemas.microsoft.com/office/drawing/2014/main" id="{00000000-0008-0000-0100-00002F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62</xdr:row>
          <xdr:rowOff>14288</xdr:rowOff>
        </xdr:from>
        <xdr:to>
          <xdr:col>5</xdr:col>
          <xdr:colOff>1595438</xdr:colOff>
          <xdr:row>62</xdr:row>
          <xdr:rowOff>147638</xdr:rowOff>
        </xdr:to>
        <xdr:sp macro="" textlink="">
          <xdr:nvSpPr>
            <xdr:cNvPr id="12336" name="ButtonSelectClone" hidden="1">
              <a:extLst>
                <a:ext uri="{63B3BB69-23CF-44E3-9099-C40C66FF867C}">
                  <a14:compatExt spid="_x0000_s12336"/>
                </a:ext>
                <a:ext uri="{FF2B5EF4-FFF2-40B4-BE49-F238E27FC236}">
                  <a16:creationId xmlns:a16="http://schemas.microsoft.com/office/drawing/2014/main" id="{00000000-0008-0000-0100-000030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62</xdr:row>
          <xdr:rowOff>14288</xdr:rowOff>
        </xdr:from>
        <xdr:to>
          <xdr:col>11</xdr:col>
          <xdr:colOff>1576388</xdr:colOff>
          <xdr:row>62</xdr:row>
          <xdr:rowOff>147638</xdr:rowOff>
        </xdr:to>
        <xdr:sp macro="" textlink="">
          <xdr:nvSpPr>
            <xdr:cNvPr id="12337" name="ButtonSelectClone" hidden="1">
              <a:extLst>
                <a:ext uri="{63B3BB69-23CF-44E3-9099-C40C66FF867C}">
                  <a14:compatExt spid="_x0000_s12337"/>
                </a:ext>
                <a:ext uri="{FF2B5EF4-FFF2-40B4-BE49-F238E27FC236}">
                  <a16:creationId xmlns:a16="http://schemas.microsoft.com/office/drawing/2014/main" id="{00000000-0008-0000-0100-000031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52388</xdr:colOff>
          <xdr:row>122</xdr:row>
          <xdr:rowOff>14288</xdr:rowOff>
        </xdr:from>
        <xdr:to>
          <xdr:col>5</xdr:col>
          <xdr:colOff>1595438</xdr:colOff>
          <xdr:row>122</xdr:row>
          <xdr:rowOff>147638</xdr:rowOff>
        </xdr:to>
        <xdr:sp macro="" textlink="">
          <xdr:nvSpPr>
            <xdr:cNvPr id="12338" name="ButtonSelectClone" hidden="1">
              <a:extLst>
                <a:ext uri="{63B3BB69-23CF-44E3-9099-C40C66FF867C}">
                  <a14:compatExt spid="_x0000_s12338"/>
                </a:ext>
                <a:ext uri="{FF2B5EF4-FFF2-40B4-BE49-F238E27FC236}">
                  <a16:creationId xmlns:a16="http://schemas.microsoft.com/office/drawing/2014/main" id="{00000000-0008-0000-0100-000032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33338</xdr:colOff>
          <xdr:row>122</xdr:row>
          <xdr:rowOff>14288</xdr:rowOff>
        </xdr:from>
        <xdr:to>
          <xdr:col>11</xdr:col>
          <xdr:colOff>1576388</xdr:colOff>
          <xdr:row>122</xdr:row>
          <xdr:rowOff>147638</xdr:rowOff>
        </xdr:to>
        <xdr:sp macro="" textlink="">
          <xdr:nvSpPr>
            <xdr:cNvPr id="12339" name="ButtonSelectClone" hidden="1">
              <a:extLst>
                <a:ext uri="{63B3BB69-23CF-44E3-9099-C40C66FF867C}">
                  <a14:compatExt spid="_x0000_s12339"/>
                </a:ext>
                <a:ext uri="{FF2B5EF4-FFF2-40B4-BE49-F238E27FC236}">
                  <a16:creationId xmlns:a16="http://schemas.microsoft.com/office/drawing/2014/main" id="{00000000-0008-0000-0100-000033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122</xdr:row>
          <xdr:rowOff>14288</xdr:rowOff>
        </xdr:from>
        <xdr:to>
          <xdr:col>17</xdr:col>
          <xdr:colOff>1595438</xdr:colOff>
          <xdr:row>122</xdr:row>
          <xdr:rowOff>147638</xdr:rowOff>
        </xdr:to>
        <xdr:sp macro="" textlink="">
          <xdr:nvSpPr>
            <xdr:cNvPr id="12340" name="ButtonSelectClone" hidden="1">
              <a:extLst>
                <a:ext uri="{63B3BB69-23CF-44E3-9099-C40C66FF867C}">
                  <a14:compatExt spid="_x0000_s12340"/>
                </a:ext>
                <a:ext uri="{FF2B5EF4-FFF2-40B4-BE49-F238E27FC236}">
                  <a16:creationId xmlns:a16="http://schemas.microsoft.com/office/drawing/2014/main" id="{00000000-0008-0000-0100-000034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33338</xdr:colOff>
          <xdr:row>102</xdr:row>
          <xdr:rowOff>14288</xdr:rowOff>
        </xdr:from>
        <xdr:to>
          <xdr:col>17</xdr:col>
          <xdr:colOff>1581150</xdr:colOff>
          <xdr:row>102</xdr:row>
          <xdr:rowOff>147638</xdr:rowOff>
        </xdr:to>
        <xdr:sp macro="" textlink="">
          <xdr:nvSpPr>
            <xdr:cNvPr id="12341" name="ButtonSelectClone" hidden="1">
              <a:extLst>
                <a:ext uri="{63B3BB69-23CF-44E3-9099-C40C66FF867C}">
                  <a14:compatExt spid="_x0000_s12341"/>
                </a:ext>
                <a:ext uri="{FF2B5EF4-FFF2-40B4-BE49-F238E27FC236}">
                  <a16:creationId xmlns:a16="http://schemas.microsoft.com/office/drawing/2014/main" id="{00000000-0008-0000-0100-000035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81</xdr:row>
          <xdr:rowOff>152400</xdr:rowOff>
        </xdr:from>
        <xdr:to>
          <xdr:col>17</xdr:col>
          <xdr:colOff>1600200</xdr:colOff>
          <xdr:row>82</xdr:row>
          <xdr:rowOff>133350</xdr:rowOff>
        </xdr:to>
        <xdr:sp macro="" textlink="">
          <xdr:nvSpPr>
            <xdr:cNvPr id="12342" name="ButtonSelectClone" hidden="1">
              <a:extLst>
                <a:ext uri="{63B3BB69-23CF-44E3-9099-C40C66FF867C}">
                  <a14:compatExt spid="_x0000_s12342"/>
                </a:ext>
                <a:ext uri="{FF2B5EF4-FFF2-40B4-BE49-F238E27FC236}">
                  <a16:creationId xmlns:a16="http://schemas.microsoft.com/office/drawing/2014/main" id="{00000000-0008-0000-0100-000036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52388</xdr:colOff>
          <xdr:row>62</xdr:row>
          <xdr:rowOff>14288</xdr:rowOff>
        </xdr:from>
        <xdr:to>
          <xdr:col>17</xdr:col>
          <xdr:colOff>1595438</xdr:colOff>
          <xdr:row>62</xdr:row>
          <xdr:rowOff>147638</xdr:rowOff>
        </xdr:to>
        <xdr:sp macro="" textlink="">
          <xdr:nvSpPr>
            <xdr:cNvPr id="12343" name="ButtonSelectClone" hidden="1">
              <a:extLst>
                <a:ext uri="{63B3BB69-23CF-44E3-9099-C40C66FF867C}">
                  <a14:compatExt spid="_x0000_s12343"/>
                </a:ext>
                <a:ext uri="{FF2B5EF4-FFF2-40B4-BE49-F238E27FC236}">
                  <a16:creationId xmlns:a16="http://schemas.microsoft.com/office/drawing/2014/main" id="{00000000-0008-0000-0100-000037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42</xdr:row>
          <xdr:rowOff>14288</xdr:rowOff>
        </xdr:from>
        <xdr:to>
          <xdr:col>17</xdr:col>
          <xdr:colOff>1557338</xdr:colOff>
          <xdr:row>42</xdr:row>
          <xdr:rowOff>147638</xdr:rowOff>
        </xdr:to>
        <xdr:sp macro="" textlink="">
          <xdr:nvSpPr>
            <xdr:cNvPr id="12344" name="ButtonSelectClone" hidden="1">
              <a:extLst>
                <a:ext uri="{63B3BB69-23CF-44E3-9099-C40C66FF867C}">
                  <a14:compatExt spid="_x0000_s12344"/>
                </a:ext>
                <a:ext uri="{FF2B5EF4-FFF2-40B4-BE49-F238E27FC236}">
                  <a16:creationId xmlns:a16="http://schemas.microsoft.com/office/drawing/2014/main" id="{00000000-0008-0000-0100-000038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14288</xdr:colOff>
          <xdr:row>21</xdr:row>
          <xdr:rowOff>152400</xdr:rowOff>
        </xdr:from>
        <xdr:to>
          <xdr:col>17</xdr:col>
          <xdr:colOff>1557338</xdr:colOff>
          <xdr:row>22</xdr:row>
          <xdr:rowOff>133350</xdr:rowOff>
        </xdr:to>
        <xdr:sp macro="" textlink="">
          <xdr:nvSpPr>
            <xdr:cNvPr id="12345" name="ButtonSelectClone" hidden="1">
              <a:extLst>
                <a:ext uri="{63B3BB69-23CF-44E3-9099-C40C66FF867C}">
                  <a14:compatExt spid="_x0000_s12345"/>
                </a:ext>
                <a:ext uri="{FF2B5EF4-FFF2-40B4-BE49-F238E27FC236}">
                  <a16:creationId xmlns:a16="http://schemas.microsoft.com/office/drawing/2014/main" id="{00000000-0008-0000-0100-000039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2</xdr:row>
          <xdr:rowOff>14288</xdr:rowOff>
        </xdr:from>
        <xdr:to>
          <xdr:col>17</xdr:col>
          <xdr:colOff>1614488</xdr:colOff>
          <xdr:row>2</xdr:row>
          <xdr:rowOff>147638</xdr:rowOff>
        </xdr:to>
        <xdr:sp macro="" textlink="">
          <xdr:nvSpPr>
            <xdr:cNvPr id="12346" name="ButtonSelectClone" hidden="1">
              <a:extLst>
                <a:ext uri="{63B3BB69-23CF-44E3-9099-C40C66FF867C}">
                  <a14:compatExt spid="_x0000_s12346"/>
                </a:ext>
                <a:ext uri="{FF2B5EF4-FFF2-40B4-BE49-F238E27FC236}">
                  <a16:creationId xmlns:a16="http://schemas.microsoft.com/office/drawing/2014/main" id="{00000000-0008-0000-0100-00003A3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Designate New Clone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plant/Downloads/Transfection%20Tracker_v2.0520.1%20(5).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4NoCon2noSOXaddprettylinkscomment0511Transfection%20Tracker_v2%20(version%2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aplant/AppData/Local/Microsoft/Windows/INetCache/Content.Outlook/ZYZ9ILGB/0701Copy%20of%200615question.alp.TransfectionMetadata%20w%20Calenda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20mChOCT4sg2"/>
      <sheetName val="Data"/>
      <sheetName val="ActivityList"/>
      <sheetName val="Cell Samples"/>
      <sheetName val="Data validation criteria"/>
      <sheetName val="TransfectionsReport"/>
      <sheetName val="FreezeReport"/>
      <sheetName val="DiscontinueReport"/>
      <sheetName val="Clone Report"/>
      <sheetName val="Passage#s200120_B9"/>
    </sheetNames>
    <sheetDataSet>
      <sheetData sheetId="0" refreshError="1"/>
      <sheetData sheetId="1">
        <row r="3">
          <cell r="N3">
            <v>44269</v>
          </cell>
        </row>
        <row r="5">
          <cell r="B5" t="str">
            <v>20200318GFPSOX2sg3_A1_Sort2</v>
          </cell>
          <cell r="C5" t="str">
            <v>Passage</v>
          </cell>
          <cell r="D5">
            <v>5</v>
          </cell>
          <cell r="E5">
            <v>6</v>
          </cell>
          <cell r="F5"/>
          <cell r="G5"/>
          <cell r="H5" t="str">
            <v>20210208GFPSOX2sg3_F9_Sort1</v>
          </cell>
          <cell r="I5" t="str">
            <v>Passage</v>
          </cell>
          <cell r="J5">
            <v>1</v>
          </cell>
          <cell r="K5">
            <v>12</v>
          </cell>
          <cell r="L5"/>
          <cell r="M5"/>
          <cell r="N5" t="str">
            <v>20210208GFPSOX2sg3_E7_Sort1</v>
          </cell>
          <cell r="O5" t="str">
            <v>Passage</v>
          </cell>
          <cell r="P5">
            <v>5</v>
          </cell>
          <cell r="Q5">
            <v>6</v>
          </cell>
          <cell r="R5"/>
          <cell r="S5"/>
        </row>
        <row r="6">
          <cell r="B6" t="str">
            <v>20210208GFPSOX2sg3_E7</v>
          </cell>
          <cell r="C6" t="str">
            <v>Passage</v>
          </cell>
          <cell r="D6">
            <v>5</v>
          </cell>
          <cell r="E6">
            <v>6</v>
          </cell>
          <cell r="F6"/>
          <cell r="G6"/>
          <cell r="H6" t="str">
            <v>20200318GFPSOX2sg3_E12_Sort4</v>
          </cell>
          <cell r="I6" t="str">
            <v>Passage</v>
          </cell>
          <cell r="J6">
            <v>1</v>
          </cell>
          <cell r="K6">
            <v>6</v>
          </cell>
          <cell r="L6"/>
          <cell r="M6"/>
          <cell r="N6" t="str">
            <v>20210208GFPSOX2sg3_F9_Sort1</v>
          </cell>
          <cell r="O6" t="str">
            <v>Passage</v>
          </cell>
          <cell r="P6">
            <v>5</v>
          </cell>
          <cell r="Q6">
            <v>6</v>
          </cell>
          <cell r="R6"/>
          <cell r="S6"/>
        </row>
        <row r="7">
          <cell r="B7" t="str">
            <v>20210208GFPSOX2sg3_F9</v>
          </cell>
          <cell r="C7" t="str">
            <v>Passage</v>
          </cell>
          <cell r="D7">
            <v>5</v>
          </cell>
          <cell r="E7">
            <v>6</v>
          </cell>
          <cell r="F7"/>
          <cell r="G7"/>
          <cell r="H7" t="str">
            <v>20210208GFPSOX2sg3_E7_Sort1</v>
          </cell>
          <cell r="I7"/>
          <cell r="J7"/>
          <cell r="K7"/>
          <cell r="L7" t="str">
            <v>fed w mTESR</v>
          </cell>
          <cell r="M7"/>
          <cell r="N7" t="str">
            <v>20200318GFPSOX2sg3_A3_Sort4</v>
          </cell>
          <cell r="O7" t="str">
            <v>Feed w mTeSR++Ri</v>
          </cell>
          <cell r="P7">
            <v>5</v>
          </cell>
          <cell r="Q7">
            <v>10</v>
          </cell>
          <cell r="R7"/>
          <cell r="S7"/>
        </row>
        <row r="8">
          <cell r="B8"/>
          <cell r="C8"/>
          <cell r="D8"/>
          <cell r="E8"/>
          <cell r="F8"/>
          <cell r="G8"/>
          <cell r="H8" t="str">
            <v>WTC11</v>
          </cell>
          <cell r="I8" t="str">
            <v>Thaw</v>
          </cell>
          <cell r="J8">
            <v>2</v>
          </cell>
          <cell r="K8">
            <v>6</v>
          </cell>
          <cell r="L8" t="str">
            <v>In mTeSR1+Ri.</v>
          </cell>
          <cell r="M8"/>
          <cell r="N8" t="str">
            <v>20200318GFPSOX2sg3_A3_Sort4</v>
          </cell>
          <cell r="O8" t="str">
            <v>Feed w mTeSr+</v>
          </cell>
          <cell r="P8">
            <v>5</v>
          </cell>
          <cell r="Q8">
            <v>10</v>
          </cell>
          <cell r="R8"/>
          <cell r="S8"/>
        </row>
        <row r="9">
          <cell r="B9"/>
          <cell r="C9"/>
          <cell r="D9"/>
          <cell r="E9"/>
          <cell r="F9"/>
          <cell r="G9"/>
          <cell r="H9" t="str">
            <v>20200318GFPSOX2sg3_A3_Sort4</v>
          </cell>
          <cell r="I9" t="str">
            <v>Passage</v>
          </cell>
          <cell r="J9">
            <v>1</v>
          </cell>
          <cell r="K9">
            <v>6</v>
          </cell>
          <cell r="L9"/>
          <cell r="M9"/>
          <cell r="N9"/>
          <cell r="O9"/>
          <cell r="P9"/>
          <cell r="Q9"/>
          <cell r="R9"/>
          <cell r="S9"/>
        </row>
        <row r="10">
          <cell r="B10"/>
          <cell r="C10"/>
          <cell r="D10"/>
          <cell r="E10"/>
          <cell r="F10"/>
          <cell r="G10"/>
          <cell r="H10"/>
          <cell r="I10"/>
          <cell r="J10"/>
          <cell r="K10"/>
          <cell r="L10"/>
          <cell r="M10"/>
          <cell r="N10"/>
          <cell r="O10"/>
          <cell r="P10"/>
          <cell r="Q10"/>
          <cell r="R10"/>
          <cell r="S10"/>
        </row>
        <row r="11">
          <cell r="B11"/>
          <cell r="C11"/>
          <cell r="D11"/>
          <cell r="E11"/>
          <cell r="F11"/>
          <cell r="G11"/>
          <cell r="H11"/>
          <cell r="I11"/>
          <cell r="J11"/>
          <cell r="K11"/>
          <cell r="L11"/>
          <cell r="M11"/>
          <cell r="N11"/>
          <cell r="O11"/>
          <cell r="P11"/>
          <cell r="Q11"/>
          <cell r="R11"/>
          <cell r="S11"/>
        </row>
        <row r="12">
          <cell r="B12"/>
          <cell r="C12"/>
          <cell r="D12"/>
          <cell r="E12"/>
          <cell r="F12"/>
          <cell r="G12"/>
          <cell r="H12"/>
          <cell r="I12"/>
          <cell r="J12"/>
          <cell r="K12"/>
          <cell r="L12"/>
          <cell r="M12"/>
          <cell r="N12"/>
          <cell r="O12"/>
          <cell r="P12"/>
          <cell r="Q12"/>
          <cell r="R12"/>
          <cell r="S12"/>
        </row>
        <row r="13">
          <cell r="B13"/>
          <cell r="C13"/>
          <cell r="D13"/>
          <cell r="E13"/>
          <cell r="F13"/>
          <cell r="G13"/>
          <cell r="H13"/>
          <cell r="I13"/>
          <cell r="J13"/>
          <cell r="K13"/>
          <cell r="L13"/>
          <cell r="M13"/>
          <cell r="N13"/>
          <cell r="O13"/>
          <cell r="P13"/>
          <cell r="Q13"/>
          <cell r="R13"/>
          <cell r="S13"/>
        </row>
        <row r="14">
          <cell r="B14"/>
          <cell r="C14"/>
          <cell r="D14"/>
          <cell r="E14"/>
          <cell r="F14"/>
          <cell r="G14"/>
          <cell r="H14"/>
          <cell r="I14"/>
          <cell r="J14"/>
          <cell r="K14"/>
          <cell r="L14"/>
          <cell r="M14"/>
          <cell r="N14"/>
          <cell r="O14"/>
          <cell r="P14"/>
          <cell r="Q14"/>
          <cell r="R14"/>
          <cell r="S14"/>
        </row>
        <row r="15">
          <cell r="B15"/>
          <cell r="C15"/>
          <cell r="D15"/>
          <cell r="E15"/>
          <cell r="F15"/>
          <cell r="G15"/>
          <cell r="H15"/>
          <cell r="I15"/>
          <cell r="J15"/>
          <cell r="K15"/>
          <cell r="L15"/>
          <cell r="M15"/>
          <cell r="N15"/>
          <cell r="O15"/>
          <cell r="P15"/>
          <cell r="Q15"/>
          <cell r="R15"/>
          <cell r="S15"/>
        </row>
        <row r="16">
          <cell r="B16"/>
          <cell r="C16"/>
          <cell r="D16"/>
          <cell r="E16"/>
          <cell r="F16"/>
          <cell r="G16"/>
          <cell r="H16"/>
          <cell r="I16"/>
          <cell r="J16"/>
          <cell r="K16"/>
          <cell r="L16"/>
          <cell r="M16"/>
          <cell r="N16"/>
          <cell r="O16"/>
          <cell r="P16"/>
          <cell r="Q16"/>
          <cell r="R16"/>
          <cell r="S16"/>
        </row>
        <row r="17">
          <cell r="B17"/>
          <cell r="C17"/>
          <cell r="D17"/>
          <cell r="E17"/>
          <cell r="F17"/>
          <cell r="G17"/>
          <cell r="H17"/>
          <cell r="I17"/>
          <cell r="J17"/>
          <cell r="K17"/>
          <cell r="L17"/>
          <cell r="M17"/>
          <cell r="N17"/>
          <cell r="O17"/>
          <cell r="P17"/>
          <cell r="Q17"/>
          <cell r="R17"/>
          <cell r="S17"/>
        </row>
        <row r="18">
          <cell r="B18"/>
          <cell r="C18"/>
          <cell r="D18"/>
          <cell r="E18"/>
          <cell r="F18"/>
          <cell r="G18"/>
          <cell r="H18"/>
          <cell r="I18"/>
          <cell r="J18"/>
          <cell r="K18"/>
          <cell r="L18"/>
          <cell r="M18"/>
          <cell r="N18"/>
          <cell r="O18"/>
          <cell r="P18"/>
          <cell r="Q18"/>
          <cell r="R18"/>
          <cell r="S18"/>
        </row>
        <row r="19">
          <cell r="B19"/>
          <cell r="C19"/>
          <cell r="D19"/>
          <cell r="E19"/>
          <cell r="F19"/>
          <cell r="G19"/>
          <cell r="H19"/>
          <cell r="I19"/>
          <cell r="J19"/>
          <cell r="K19"/>
          <cell r="L19"/>
          <cell r="M19"/>
          <cell r="N19"/>
          <cell r="O19"/>
          <cell r="P19"/>
          <cell r="Q19"/>
          <cell r="R19"/>
          <cell r="S19"/>
        </row>
        <row r="21">
          <cell r="B21"/>
          <cell r="H21"/>
          <cell r="N21"/>
        </row>
        <row r="25">
          <cell r="B25" t="str">
            <v>WTC11</v>
          </cell>
          <cell r="C25" t="str">
            <v>Passage</v>
          </cell>
          <cell r="D25"/>
          <cell r="E25"/>
          <cell r="F25" t="str">
            <v>Passage 49. Used for control during FACS.</v>
          </cell>
          <cell r="G25"/>
          <cell r="H25" t="str">
            <v>20210208GFPSOX2sg3_E7_Sort1</v>
          </cell>
          <cell r="I25" t="str">
            <v>Passage</v>
          </cell>
          <cell r="J25">
            <v>1</v>
          </cell>
          <cell r="K25">
            <v>12</v>
          </cell>
          <cell r="L25"/>
          <cell r="M25"/>
          <cell r="N25" t="str">
            <v>20210208GFPSOX2sg3_E7_Sort1</v>
          </cell>
          <cell r="O25" t="str">
            <v>Feed w Ri</v>
          </cell>
          <cell r="P25">
            <v>5</v>
          </cell>
          <cell r="Q25">
            <v>6</v>
          </cell>
          <cell r="R25"/>
          <cell r="S25"/>
        </row>
        <row r="26">
          <cell r="B26" t="str">
            <v>20200318GFPSOX2sg3_A3_Sort3</v>
          </cell>
          <cell r="C26" t="str">
            <v>Passage</v>
          </cell>
          <cell r="D26">
            <v>1</v>
          </cell>
          <cell r="E26">
            <v>6</v>
          </cell>
          <cell r="F26" t="str">
            <v xml:space="preserve">Evaluation of distribution of fluorescent population. </v>
          </cell>
          <cell r="G26"/>
          <cell r="H26" t="str">
            <v>20210208GFPSOX2sg3_F9_Sort1</v>
          </cell>
          <cell r="I26" t="str">
            <v>Feed w Ri</v>
          </cell>
          <cell r="J26">
            <v>1</v>
          </cell>
          <cell r="K26">
            <v>12</v>
          </cell>
          <cell r="L26"/>
          <cell r="M26"/>
          <cell r="N26" t="str">
            <v>20210208GFPSOX2sg3_F9_Sort1</v>
          </cell>
          <cell r="O26" t="str">
            <v>Feed w Ri</v>
          </cell>
          <cell r="P26">
            <v>5</v>
          </cell>
          <cell r="Q26">
            <v>6</v>
          </cell>
          <cell r="R26"/>
          <cell r="S26"/>
        </row>
        <row r="27">
          <cell r="B27" t="str">
            <v>20210208GFPSOX2sg3_E7</v>
          </cell>
          <cell r="C27" t="str">
            <v>Feed w Ri</v>
          </cell>
          <cell r="D27">
            <v>5</v>
          </cell>
          <cell r="E27">
            <v>6</v>
          </cell>
          <cell r="F27"/>
          <cell r="G27"/>
          <cell r="H27" t="str">
            <v>20200318GFPSOX2sg3_A3_Sort4</v>
          </cell>
          <cell r="I27" t="str">
            <v>Feed w mTeSR++Ri</v>
          </cell>
          <cell r="J27">
            <v>1</v>
          </cell>
          <cell r="K27">
            <v>6</v>
          </cell>
          <cell r="L27"/>
          <cell r="M27"/>
          <cell r="N27" t="str">
            <v>20200318GFPSOX2sg3_A3_Sort4</v>
          </cell>
          <cell r="O27" t="str">
            <v>Feed w mTeSr+</v>
          </cell>
          <cell r="P27">
            <v>5</v>
          </cell>
          <cell r="Q27">
            <v>10</v>
          </cell>
          <cell r="R27"/>
          <cell r="S27"/>
        </row>
        <row r="28">
          <cell r="B28" t="str">
            <v>20210208GFPSOX2sg3_F9</v>
          </cell>
          <cell r="C28" t="str">
            <v>Feed w Ri</v>
          </cell>
          <cell r="D28">
            <v>5</v>
          </cell>
          <cell r="E28">
            <v>6</v>
          </cell>
          <cell r="F28"/>
          <cell r="G28"/>
          <cell r="H28" t="str">
            <v>20200318GFPSOX2sg3_E12_Sort4</v>
          </cell>
          <cell r="I28" t="str">
            <v>Feed w mTeSr+</v>
          </cell>
          <cell r="J28">
            <v>1</v>
          </cell>
          <cell r="K28">
            <v>6</v>
          </cell>
          <cell r="L28"/>
          <cell r="M28"/>
          <cell r="N28" t="str">
            <v>20200318GFPSOX2sg3_E12_Sort4</v>
          </cell>
          <cell r="O28" t="str">
            <v>Feed w mTeSr+</v>
          </cell>
          <cell r="P28">
            <v>5</v>
          </cell>
          <cell r="Q28">
            <v>10</v>
          </cell>
          <cell r="R28"/>
          <cell r="S28"/>
        </row>
        <row r="29">
          <cell r="B29" t="str">
            <v>20200318GFPSOX2sg3_A3_Sort3</v>
          </cell>
          <cell r="C29" t="str">
            <v>Sort</v>
          </cell>
          <cell r="D29">
            <v>1</v>
          </cell>
          <cell r="E29">
            <v>12</v>
          </cell>
          <cell r="F29" t="str">
            <v>matrigel20210218. Counted 1.7x10e6/mL. First sort @ 3x10e6 cells. On Ultra sort collected &lt;2% cell population @25000 intensity. 22K events/ 30min collected. Second sort,   Pool two sorts seeding 1 well of a 12 well.</v>
          </cell>
          <cell r="G29" t="str">
            <v>Sort4</v>
          </cell>
          <cell r="H29"/>
          <cell r="I29"/>
          <cell r="J29"/>
          <cell r="K29"/>
          <cell r="L29"/>
          <cell r="M29"/>
          <cell r="N29"/>
          <cell r="O29"/>
          <cell r="P29"/>
          <cell r="Q29"/>
          <cell r="R29"/>
          <cell r="S29"/>
        </row>
        <row r="30">
          <cell r="B30" t="str">
            <v>20200318GFPSOX2sg3_A3_Sort3</v>
          </cell>
          <cell r="C30" t="str">
            <v>Freeze</v>
          </cell>
          <cell r="D30">
            <v>4</v>
          </cell>
          <cell r="E30" t="str">
            <v>VIALS</v>
          </cell>
          <cell r="F30" t="str">
            <v>~1.5x10e6/vial.</v>
          </cell>
          <cell r="G30"/>
          <cell r="H30"/>
          <cell r="I30"/>
          <cell r="J30"/>
          <cell r="K30"/>
          <cell r="L30"/>
          <cell r="M30"/>
          <cell r="N30"/>
          <cell r="O30"/>
          <cell r="P30"/>
          <cell r="Q30"/>
          <cell r="R30"/>
          <cell r="S30"/>
        </row>
        <row r="31">
          <cell r="B31"/>
          <cell r="C31"/>
          <cell r="D31"/>
          <cell r="E31"/>
          <cell r="F31"/>
          <cell r="G31"/>
          <cell r="H31"/>
          <cell r="I31"/>
          <cell r="J31"/>
          <cell r="K31"/>
          <cell r="L31"/>
          <cell r="M31"/>
          <cell r="N31"/>
          <cell r="O31"/>
          <cell r="P31"/>
          <cell r="Q31"/>
          <cell r="R31"/>
          <cell r="S31"/>
        </row>
        <row r="32">
          <cell r="B32"/>
          <cell r="C32"/>
          <cell r="D32"/>
          <cell r="E32"/>
          <cell r="F32"/>
          <cell r="G32"/>
          <cell r="H32"/>
          <cell r="I32"/>
          <cell r="J32"/>
          <cell r="K32"/>
          <cell r="L32"/>
          <cell r="M32"/>
          <cell r="N32"/>
          <cell r="O32"/>
          <cell r="P32"/>
          <cell r="Q32"/>
          <cell r="R32"/>
          <cell r="S32"/>
        </row>
        <row r="33">
          <cell r="B33"/>
          <cell r="C33"/>
          <cell r="D33"/>
          <cell r="E33"/>
          <cell r="F33"/>
          <cell r="G33"/>
          <cell r="H33"/>
          <cell r="I33"/>
          <cell r="J33"/>
          <cell r="K33"/>
          <cell r="L33"/>
          <cell r="M33"/>
          <cell r="N33"/>
          <cell r="O33"/>
          <cell r="P33"/>
          <cell r="Q33"/>
          <cell r="R33"/>
          <cell r="S33"/>
        </row>
        <row r="34">
          <cell r="B34"/>
          <cell r="C34"/>
          <cell r="D34"/>
          <cell r="E34"/>
          <cell r="F34"/>
          <cell r="G34"/>
          <cell r="H34"/>
          <cell r="I34"/>
          <cell r="J34"/>
          <cell r="K34"/>
          <cell r="L34"/>
          <cell r="M34"/>
          <cell r="N34"/>
          <cell r="O34"/>
          <cell r="P34"/>
          <cell r="Q34"/>
          <cell r="R34"/>
          <cell r="S34"/>
        </row>
        <row r="35">
          <cell r="B35"/>
          <cell r="C35"/>
          <cell r="D35"/>
          <cell r="E35"/>
          <cell r="F35"/>
          <cell r="G35"/>
          <cell r="H35"/>
          <cell r="I35"/>
          <cell r="J35"/>
          <cell r="K35"/>
          <cell r="L35"/>
          <cell r="M35"/>
          <cell r="N35"/>
          <cell r="O35"/>
          <cell r="P35"/>
          <cell r="Q35"/>
          <cell r="R35"/>
          <cell r="S35"/>
        </row>
        <row r="36">
          <cell r="B36"/>
          <cell r="C36"/>
          <cell r="D36"/>
          <cell r="E36"/>
          <cell r="F36"/>
          <cell r="G36"/>
          <cell r="H36"/>
          <cell r="I36"/>
          <cell r="J36"/>
          <cell r="K36"/>
          <cell r="L36"/>
          <cell r="M36"/>
          <cell r="N36"/>
          <cell r="O36"/>
          <cell r="P36"/>
          <cell r="Q36"/>
          <cell r="R36"/>
          <cell r="S36"/>
        </row>
        <row r="37">
          <cell r="B37"/>
          <cell r="C37"/>
          <cell r="D37"/>
          <cell r="E37"/>
          <cell r="F37"/>
          <cell r="G37"/>
          <cell r="H37"/>
          <cell r="I37"/>
          <cell r="J37"/>
          <cell r="K37"/>
          <cell r="L37"/>
          <cell r="M37"/>
          <cell r="N37"/>
          <cell r="O37"/>
          <cell r="P37"/>
          <cell r="Q37"/>
          <cell r="R37"/>
          <cell r="S37"/>
        </row>
        <row r="38">
          <cell r="B38"/>
          <cell r="C38"/>
          <cell r="D38"/>
          <cell r="E38"/>
          <cell r="F38"/>
          <cell r="G38"/>
          <cell r="H38"/>
          <cell r="I38"/>
          <cell r="J38"/>
          <cell r="K38"/>
          <cell r="L38"/>
          <cell r="M38"/>
          <cell r="N38"/>
          <cell r="O38"/>
          <cell r="P38"/>
          <cell r="Q38"/>
          <cell r="R38"/>
          <cell r="S38"/>
        </row>
        <row r="39">
          <cell r="B39"/>
          <cell r="C39"/>
          <cell r="D39"/>
          <cell r="E39"/>
          <cell r="F39"/>
          <cell r="G39"/>
          <cell r="H39"/>
          <cell r="I39"/>
          <cell r="J39"/>
          <cell r="K39"/>
          <cell r="L39"/>
          <cell r="M39"/>
          <cell r="N39"/>
          <cell r="O39"/>
          <cell r="P39"/>
          <cell r="Q39"/>
          <cell r="R39"/>
          <cell r="S39"/>
        </row>
        <row r="41">
          <cell r="B41"/>
          <cell r="H41"/>
          <cell r="N41"/>
        </row>
        <row r="45">
          <cell r="B45" t="str">
            <v>20200318GFPSOX2sg3_E12_Sort3</v>
          </cell>
          <cell r="C45" t="str">
            <v>Sort</v>
          </cell>
          <cell r="D45">
            <v>1</v>
          </cell>
          <cell r="E45">
            <v>12</v>
          </cell>
          <cell r="F45" t="str">
            <v>matrigel20210218. Counted 1.8x10e6/mL. First sort @ 3x10e6 cells. On Ultra sort collected &gt;2% cell population @29000 intensity. 31K events/ 30min collected. Second sort,  40K events Pool two sorts seeding 1 well of a 12 well.</v>
          </cell>
          <cell r="G45" t="str">
            <v>Sort4</v>
          </cell>
          <cell r="H45" t="str">
            <v>20200318GFPSOX2sg3_E12_Sort4</v>
          </cell>
          <cell r="I45" t="str">
            <v>Passage</v>
          </cell>
          <cell r="J45">
            <v>5</v>
          </cell>
          <cell r="K45">
            <v>6</v>
          </cell>
          <cell r="L45"/>
          <cell r="M45"/>
          <cell r="N45" t="str">
            <v>20210208GFPSOX2sg3_E7_Sort1</v>
          </cell>
          <cell r="O45"/>
          <cell r="P45">
            <v>5</v>
          </cell>
          <cell r="Q45">
            <v>6</v>
          </cell>
          <cell r="R45"/>
          <cell r="S45"/>
        </row>
        <row r="46">
          <cell r="B46" t="str">
            <v>20200318GFPSOX2sg3_A3_Sort4</v>
          </cell>
          <cell r="C46" t="str">
            <v>Feed w mTeSR++Ri</v>
          </cell>
          <cell r="D46">
            <v>1</v>
          </cell>
          <cell r="E46">
            <v>12</v>
          </cell>
          <cell r="F46"/>
          <cell r="G46"/>
          <cell r="H46" t="str">
            <v>20200318GFPSOX2sg3_A3_Sort4</v>
          </cell>
          <cell r="I46" t="str">
            <v>Passage</v>
          </cell>
          <cell r="J46">
            <v>5</v>
          </cell>
          <cell r="K46">
            <v>6</v>
          </cell>
          <cell r="L46"/>
          <cell r="M46"/>
          <cell r="N46" t="str">
            <v>20210208GFPSOX2sg3_F9_Sort1</v>
          </cell>
          <cell r="O46"/>
          <cell r="P46">
            <v>5</v>
          </cell>
          <cell r="Q46">
            <v>6</v>
          </cell>
          <cell r="R46"/>
          <cell r="S46"/>
        </row>
        <row r="47">
          <cell r="B47" t="str">
            <v>20200318GFPSOX2sg3_A1_Sort2</v>
          </cell>
          <cell r="C47" t="str">
            <v>Feed w mTeSr+</v>
          </cell>
          <cell r="D47">
            <v>5</v>
          </cell>
          <cell r="E47">
            <v>6</v>
          </cell>
          <cell r="F47"/>
          <cell r="G47"/>
          <cell r="H47" t="str">
            <v>20210208GFPSOX2sg3_E7_Sort1</v>
          </cell>
          <cell r="I47" t="str">
            <v>Feed w Ri</v>
          </cell>
          <cell r="J47">
            <v>1</v>
          </cell>
          <cell r="K47">
            <v>12</v>
          </cell>
          <cell r="L47"/>
          <cell r="M47"/>
          <cell r="N47" t="str">
            <v>20200318GFPSOX2sg3_A3_Sort4</v>
          </cell>
          <cell r="O47" t="str">
            <v>Freeze</v>
          </cell>
          <cell r="P47">
            <v>39</v>
          </cell>
          <cell r="Q47" t="str">
            <v>VIALS</v>
          </cell>
          <cell r="R47"/>
          <cell r="S47"/>
        </row>
        <row r="48">
          <cell r="B48" t="str">
            <v>20200318GFPSOX2sg3_E12_Sort3</v>
          </cell>
          <cell r="C48" t="str">
            <v>Freeze</v>
          </cell>
          <cell r="D48">
            <v>4</v>
          </cell>
          <cell r="E48" t="str">
            <v>VIALS</v>
          </cell>
          <cell r="F48" t="str">
            <v>~1.5x10e6/vial.</v>
          </cell>
          <cell r="G48"/>
          <cell r="H48" t="str">
            <v>20210208GFPSOX2sg3_F9_Sort1</v>
          </cell>
          <cell r="I48" t="str">
            <v>Feed w Ri</v>
          </cell>
          <cell r="J48">
            <v>1</v>
          </cell>
          <cell r="K48">
            <v>12</v>
          </cell>
          <cell r="L48"/>
          <cell r="M48"/>
          <cell r="N48" t="str">
            <v>20200318GFPSOX2sg3_E12_Sort4</v>
          </cell>
          <cell r="O48" t="str">
            <v>Freeze</v>
          </cell>
          <cell r="P48">
            <v>39</v>
          </cell>
          <cell r="Q48" t="str">
            <v>VIALS</v>
          </cell>
          <cell r="R48"/>
          <cell r="S48"/>
        </row>
        <row r="49">
          <cell r="B49"/>
          <cell r="C49"/>
          <cell r="D49"/>
          <cell r="E49"/>
          <cell r="F49"/>
          <cell r="G49"/>
          <cell r="H49"/>
          <cell r="I49"/>
          <cell r="J49"/>
          <cell r="K49"/>
          <cell r="L49"/>
          <cell r="M49"/>
          <cell r="N49" t="str">
            <v>20210309mChOCT4sg2</v>
          </cell>
          <cell r="O49" t="str">
            <v>Transfect</v>
          </cell>
          <cell r="P49">
            <v>96</v>
          </cell>
          <cell r="Q49">
            <v>96</v>
          </cell>
          <cell r="R49" t="str">
            <v>matrigel 02192021</v>
          </cell>
          <cell r="S49" t="str">
            <v>Transfect</v>
          </cell>
        </row>
        <row r="50">
          <cell r="B50"/>
          <cell r="C50"/>
          <cell r="D50"/>
          <cell r="E50"/>
          <cell r="F50"/>
          <cell r="G50"/>
          <cell r="H50"/>
          <cell r="I50"/>
          <cell r="J50"/>
          <cell r="K50"/>
          <cell r="L50"/>
          <cell r="M50"/>
          <cell r="N50"/>
          <cell r="O50"/>
          <cell r="P50"/>
          <cell r="Q50"/>
          <cell r="R50"/>
          <cell r="S50"/>
        </row>
        <row r="51">
          <cell r="B51"/>
          <cell r="C51"/>
          <cell r="D51"/>
          <cell r="E51"/>
          <cell r="F51"/>
          <cell r="G51"/>
          <cell r="H51"/>
          <cell r="I51"/>
          <cell r="J51"/>
          <cell r="K51"/>
          <cell r="L51"/>
          <cell r="M51"/>
          <cell r="N51"/>
          <cell r="O51"/>
          <cell r="P51"/>
          <cell r="Q51"/>
          <cell r="R51"/>
          <cell r="S51"/>
        </row>
        <row r="52">
          <cell r="B52"/>
          <cell r="C52"/>
          <cell r="D52"/>
          <cell r="E52"/>
          <cell r="F52"/>
          <cell r="G52"/>
          <cell r="H52"/>
          <cell r="I52"/>
          <cell r="J52"/>
          <cell r="K52"/>
          <cell r="L52"/>
          <cell r="M52"/>
          <cell r="N52"/>
          <cell r="O52"/>
          <cell r="P52"/>
          <cell r="Q52"/>
          <cell r="R52"/>
          <cell r="S52"/>
        </row>
        <row r="53">
          <cell r="B53"/>
          <cell r="C53"/>
          <cell r="D53"/>
          <cell r="E53"/>
          <cell r="F53"/>
          <cell r="G53"/>
          <cell r="H53"/>
          <cell r="I53"/>
          <cell r="J53"/>
          <cell r="K53"/>
          <cell r="L53"/>
          <cell r="M53"/>
          <cell r="N53"/>
          <cell r="O53"/>
          <cell r="P53"/>
          <cell r="Q53"/>
          <cell r="R53"/>
          <cell r="S53"/>
        </row>
        <row r="54">
          <cell r="B54"/>
          <cell r="C54"/>
          <cell r="D54"/>
          <cell r="E54"/>
          <cell r="F54"/>
          <cell r="G54"/>
          <cell r="H54"/>
          <cell r="I54"/>
          <cell r="J54"/>
          <cell r="K54"/>
          <cell r="L54"/>
          <cell r="M54"/>
          <cell r="N54"/>
          <cell r="O54"/>
          <cell r="P54"/>
          <cell r="Q54"/>
          <cell r="R54"/>
          <cell r="S54"/>
        </row>
        <row r="55">
          <cell r="B55"/>
          <cell r="C55"/>
          <cell r="D55"/>
          <cell r="E55"/>
          <cell r="F55"/>
          <cell r="G55"/>
          <cell r="H55"/>
          <cell r="I55"/>
          <cell r="J55"/>
          <cell r="K55"/>
          <cell r="L55"/>
          <cell r="M55"/>
          <cell r="N55"/>
          <cell r="O55"/>
          <cell r="P55"/>
          <cell r="Q55"/>
          <cell r="R55"/>
          <cell r="S55"/>
        </row>
        <row r="56">
          <cell r="B56"/>
          <cell r="C56"/>
          <cell r="D56"/>
          <cell r="E56"/>
          <cell r="F56"/>
          <cell r="G56"/>
          <cell r="H56"/>
          <cell r="I56"/>
          <cell r="J56"/>
          <cell r="K56"/>
          <cell r="L56"/>
          <cell r="M56"/>
          <cell r="N56"/>
          <cell r="O56"/>
          <cell r="P56"/>
          <cell r="Q56"/>
          <cell r="R56"/>
          <cell r="S56"/>
        </row>
        <row r="57">
          <cell r="B57"/>
          <cell r="C57"/>
          <cell r="D57"/>
          <cell r="E57"/>
          <cell r="F57"/>
          <cell r="G57"/>
          <cell r="H57"/>
          <cell r="I57"/>
          <cell r="J57"/>
          <cell r="K57"/>
          <cell r="L57"/>
          <cell r="M57"/>
          <cell r="N57"/>
          <cell r="O57"/>
          <cell r="P57"/>
          <cell r="Q57"/>
          <cell r="R57"/>
          <cell r="S57"/>
        </row>
        <row r="58">
          <cell r="B58"/>
          <cell r="C58"/>
          <cell r="D58"/>
          <cell r="E58"/>
          <cell r="F58"/>
          <cell r="G58"/>
          <cell r="H58"/>
          <cell r="I58"/>
          <cell r="J58"/>
          <cell r="K58"/>
          <cell r="L58"/>
          <cell r="M58"/>
          <cell r="N58"/>
          <cell r="O58"/>
          <cell r="P58"/>
          <cell r="Q58"/>
          <cell r="R58"/>
          <cell r="S58"/>
        </row>
        <row r="59">
          <cell r="B59"/>
          <cell r="C59"/>
          <cell r="D59"/>
          <cell r="E59"/>
          <cell r="F59"/>
          <cell r="G59"/>
          <cell r="H59"/>
          <cell r="I59"/>
          <cell r="J59"/>
          <cell r="K59"/>
          <cell r="L59"/>
          <cell r="M59"/>
          <cell r="N59"/>
          <cell r="O59"/>
          <cell r="P59"/>
          <cell r="Q59"/>
          <cell r="R59"/>
          <cell r="S59"/>
        </row>
        <row r="61">
          <cell r="B61"/>
          <cell r="H61"/>
          <cell r="N61"/>
        </row>
        <row r="65">
          <cell r="B65" t="str">
            <v>20200318GFPSOX2sg3_A1_Sort2</v>
          </cell>
          <cell r="C65" t="str">
            <v>Passage</v>
          </cell>
          <cell r="D65"/>
          <cell r="E65"/>
          <cell r="F65" t="str">
            <v>Evaluation of distribution of fluorescent population. No increase in propotion of fluorescent cells after 2 sorts. Discontinue.</v>
          </cell>
          <cell r="G65"/>
          <cell r="H65" t="str">
            <v>20210208GFPSOX2sg3_E7_Sort1</v>
          </cell>
          <cell r="I65" t="str">
            <v>Feed w Ri</v>
          </cell>
          <cell r="J65">
            <v>1</v>
          </cell>
          <cell r="K65">
            <v>12</v>
          </cell>
          <cell r="L65"/>
          <cell r="M65"/>
          <cell r="N65" t="str">
            <v>20210208GFPSOX2sg3_E7_Sort1</v>
          </cell>
          <cell r="O65" t="str">
            <v>Sort</v>
          </cell>
          <cell r="P65">
            <v>1</v>
          </cell>
          <cell r="Q65">
            <v>96</v>
          </cell>
          <cell r="R65" t="str">
            <v>matrigel202102258. Counted 2 wells. 3.3x10e6/mL in 2 mL.. First sort @ 3x10e6 cells. On Ultra sort collected &gt;2% cell population @15000 intensity. Instrument stopped saying empty sample detected. The sample was not empty. Had to re-sort-calibrate 2 times with probe wash and water wash of system. Restart sort conditions the same. Added to previously collected samples.Sorter droplet fault recured. Decided to stop with 10,000 cells collected and seed 1 well of a 96 well.</v>
          </cell>
          <cell r="S65" t="str">
            <v>Sort2</v>
          </cell>
        </row>
        <row r="66">
          <cell r="B66" t="str">
            <v>20200318GFPSOX2sg3_A3_Sort4</v>
          </cell>
          <cell r="C66" t="str">
            <v>Feed w mTeSR++Ri</v>
          </cell>
          <cell r="D66">
            <v>1</v>
          </cell>
          <cell r="E66">
            <v>12</v>
          </cell>
          <cell r="F66"/>
          <cell r="G66"/>
          <cell r="H66" t="str">
            <v>20210208GFPSOX2sg3_F9_Sort1</v>
          </cell>
          <cell r="I66" t="str">
            <v>Feed w Ri</v>
          </cell>
          <cell r="J66">
            <v>1</v>
          </cell>
          <cell r="K66">
            <v>12</v>
          </cell>
          <cell r="L66"/>
          <cell r="M66"/>
          <cell r="N66" t="str">
            <v>20210208GFPSOX2sg3_F9_Sort1</v>
          </cell>
          <cell r="O66" t="str">
            <v>Sort</v>
          </cell>
          <cell r="P66">
            <v>1</v>
          </cell>
          <cell r="Q66">
            <v>96</v>
          </cell>
          <cell r="R66" t="str">
            <v>Had to re-calibrate the sort function again. This time it failed because the "bead image too bright"! Is that even a thing? Retry. Counted 1 well. !.48x10e6 cells/mL in 2 mL. Started cytometer from scratch. New Chip. Counted 1.48x10e6 cells/mL in 2 mL Sorted using UltraPurity at ~5000 intensity, ~1.5%. NOT BIMODEL. Stopped at 10,000 cells. Disgusted.</v>
          </cell>
          <cell r="S66" t="str">
            <v>Sort2</v>
          </cell>
        </row>
        <row r="67">
          <cell r="B67" t="str">
            <v>20200318GFPSOX2sg3_E12_Sort4</v>
          </cell>
          <cell r="C67" t="str">
            <v>Feed w mTeSR++Ri</v>
          </cell>
          <cell r="D67">
            <v>1</v>
          </cell>
          <cell r="E67">
            <v>12</v>
          </cell>
          <cell r="F67"/>
          <cell r="G67"/>
          <cell r="H67" t="str">
            <v>20200318GFPSOX2sg3_A3_Sort4</v>
          </cell>
          <cell r="I67" t="str">
            <v>Feed w mTeSr+</v>
          </cell>
          <cell r="J67">
            <v>5</v>
          </cell>
          <cell r="K67">
            <v>6</v>
          </cell>
          <cell r="L67"/>
          <cell r="M67"/>
          <cell r="N67" t="str">
            <v>WTC11</v>
          </cell>
          <cell r="O67" t="str">
            <v>Passage</v>
          </cell>
          <cell r="P67">
            <v>1</v>
          </cell>
          <cell r="Q67">
            <v>6</v>
          </cell>
          <cell r="R67" t="str">
            <v>Used for flow control P44.</v>
          </cell>
          <cell r="S67"/>
        </row>
        <row r="68">
          <cell r="B68" t="str">
            <v>20210208GFPSOX2sg3_F9</v>
          </cell>
          <cell r="C68" t="str">
            <v>Sort</v>
          </cell>
          <cell r="D68">
            <v>1</v>
          </cell>
          <cell r="E68">
            <v>12</v>
          </cell>
          <cell r="F68" t="str">
            <v>matrigel20210218. Counted 1.16x10e6/mL. First sort @ 2.32x10e6 cells in 400uL. On Normal sort collected &gt;1.5% cell population @2500 intensity. 13K events/ 19min collected. Second sort,  16K/27min. events. Pool two sorts seeding 1 well of a 96 well.</v>
          </cell>
          <cell r="G68" t="str">
            <v>Sort1</v>
          </cell>
          <cell r="H68" t="str">
            <v>20200318GFPSOX2sg3_E12_Sort4</v>
          </cell>
          <cell r="I68" t="str">
            <v>Feed w mTeSr+</v>
          </cell>
          <cell r="J68">
            <v>5</v>
          </cell>
          <cell r="K68">
            <v>6</v>
          </cell>
          <cell r="L68"/>
          <cell r="M68"/>
          <cell r="N68" t="str">
            <v>20200318GFPSOX2sg3_A3_Sort4</v>
          </cell>
          <cell r="O68" t="str">
            <v>Thaw</v>
          </cell>
          <cell r="P68">
            <v>3</v>
          </cell>
          <cell r="Q68">
            <v>6</v>
          </cell>
          <cell r="R68" t="str">
            <v>Thawed two vials, transferred to 3 wells. Matrigel 20210222.</v>
          </cell>
          <cell r="S68"/>
        </row>
        <row r="69">
          <cell r="B69" t="str">
            <v>20210208GFPSOX2sg3_E7</v>
          </cell>
          <cell r="C69" t="str">
            <v>Feed w Ri</v>
          </cell>
          <cell r="D69">
            <v>5</v>
          </cell>
          <cell r="E69">
            <v>6</v>
          </cell>
          <cell r="F69"/>
          <cell r="G69"/>
          <cell r="H69" t="str">
            <v>20200318GFPSOX2sg3_A3_Sort4</v>
          </cell>
          <cell r="I69" t="str">
            <v>Image</v>
          </cell>
          <cell r="J69"/>
          <cell r="K69"/>
          <cell r="L69"/>
          <cell r="M69"/>
          <cell r="N69" t="str">
            <v>20200318GFPSOX2sg3_E12_Sort4</v>
          </cell>
          <cell r="O69" t="str">
            <v>Thaw</v>
          </cell>
          <cell r="P69">
            <v>3</v>
          </cell>
          <cell r="Q69">
            <v>6</v>
          </cell>
          <cell r="R69" t="str">
            <v>Thawed two vials, transferred to 3 wells. Matrigel 20210222.</v>
          </cell>
          <cell r="S69"/>
        </row>
        <row r="70">
          <cell r="B70" t="str">
            <v>WTC11</v>
          </cell>
          <cell r="C70" t="str">
            <v>Passage</v>
          </cell>
          <cell r="D70">
            <v>1</v>
          </cell>
          <cell r="E70">
            <v>6</v>
          </cell>
          <cell r="F70" t="str">
            <v>Passage 49. Used for control during FACS.</v>
          </cell>
          <cell r="G70"/>
          <cell r="H70" t="str">
            <v>20200318GFPSOX2sg3_E12_Sort4</v>
          </cell>
          <cell r="I70" t="str">
            <v>Image</v>
          </cell>
          <cell r="J70"/>
          <cell r="K70"/>
          <cell r="L70"/>
          <cell r="M70"/>
          <cell r="N70" t="str">
            <v>20210208GFPSOX2sg3_E7_Sort1</v>
          </cell>
          <cell r="O70" t="str">
            <v>Freeze</v>
          </cell>
          <cell r="P70">
            <v>3</v>
          </cell>
          <cell r="Q70" t="str">
            <v>VIALs</v>
          </cell>
          <cell r="R70"/>
          <cell r="S70"/>
        </row>
        <row r="71">
          <cell r="B71" t="str">
            <v>20200318GFPSOX2sg3_A1_Sort2</v>
          </cell>
          <cell r="C71" t="str">
            <v>Discontinue</v>
          </cell>
          <cell r="D71"/>
          <cell r="E71"/>
          <cell r="F71" t="str">
            <v>No increase in propotion of fluorescent cells after 2 sorts. Discontinue.</v>
          </cell>
          <cell r="G71"/>
          <cell r="H71"/>
          <cell r="I71"/>
          <cell r="J71"/>
          <cell r="K71"/>
          <cell r="L71"/>
          <cell r="M71"/>
          <cell r="N71" t="str">
            <v>20210208GFPSOX2sg3_F9_Sort1</v>
          </cell>
          <cell r="O71" t="str">
            <v>Freeze</v>
          </cell>
          <cell r="P71">
            <v>3</v>
          </cell>
          <cell r="Q71" t="str">
            <v>VIALS</v>
          </cell>
          <cell r="R71"/>
          <cell r="S71"/>
        </row>
        <row r="72">
          <cell r="B72" t="str">
            <v>20210208GFPSOX2sg3_F9</v>
          </cell>
          <cell r="C72" t="str">
            <v>Freeze</v>
          </cell>
          <cell r="D72">
            <v>2</v>
          </cell>
          <cell r="E72" t="str">
            <v>VIALS</v>
          </cell>
          <cell r="F72" t="str">
            <v>~1.5x10e6/vial.</v>
          </cell>
          <cell r="G72"/>
          <cell r="H72"/>
          <cell r="I72"/>
          <cell r="J72"/>
          <cell r="K72"/>
          <cell r="L72"/>
          <cell r="M72"/>
          <cell r="N72" t="str">
            <v>20210208GFPSOX2sg3_E7_Sort2</v>
          </cell>
          <cell r="O72" t="str">
            <v>Discontinue</v>
          </cell>
          <cell r="P72"/>
          <cell r="Q72"/>
          <cell r="R72" t="str">
            <v>Not saved, go back to sort1</v>
          </cell>
          <cell r="S72"/>
        </row>
        <row r="73">
          <cell r="B73"/>
          <cell r="C73"/>
          <cell r="D73"/>
          <cell r="E73"/>
          <cell r="F73"/>
          <cell r="G73"/>
          <cell r="H73"/>
          <cell r="I73"/>
          <cell r="J73"/>
          <cell r="K73"/>
          <cell r="L73"/>
          <cell r="M73"/>
          <cell r="N73" t="str">
            <v>20210208GFPSOX2sg3_F9_Sort2</v>
          </cell>
          <cell r="O73" t="str">
            <v>Discontinue</v>
          </cell>
          <cell r="P73"/>
          <cell r="Q73"/>
          <cell r="R73" t="str">
            <v>Not saved, go back to sort1</v>
          </cell>
          <cell r="S73"/>
        </row>
        <row r="74">
          <cell r="B74"/>
          <cell r="C74"/>
          <cell r="D74"/>
          <cell r="E74"/>
          <cell r="F74"/>
          <cell r="G74"/>
          <cell r="H74"/>
          <cell r="I74"/>
          <cell r="J74"/>
          <cell r="K74"/>
          <cell r="L74"/>
          <cell r="M74"/>
          <cell r="N74"/>
          <cell r="O74"/>
          <cell r="P74"/>
          <cell r="Q74"/>
          <cell r="R74"/>
          <cell r="S74"/>
        </row>
        <row r="75">
          <cell r="B75"/>
          <cell r="C75"/>
          <cell r="D75"/>
          <cell r="E75"/>
          <cell r="F75"/>
          <cell r="G75"/>
          <cell r="H75"/>
          <cell r="I75"/>
          <cell r="J75"/>
          <cell r="K75"/>
          <cell r="L75"/>
          <cell r="M75"/>
          <cell r="N75"/>
          <cell r="O75"/>
          <cell r="P75"/>
          <cell r="Q75"/>
          <cell r="R75"/>
          <cell r="S75"/>
        </row>
        <row r="76">
          <cell r="B76"/>
          <cell r="C76"/>
          <cell r="D76"/>
          <cell r="E76"/>
          <cell r="F76"/>
          <cell r="G76"/>
          <cell r="H76"/>
          <cell r="I76"/>
          <cell r="J76"/>
          <cell r="K76"/>
          <cell r="L76"/>
          <cell r="M76"/>
          <cell r="N76"/>
          <cell r="O76"/>
          <cell r="P76"/>
          <cell r="Q76"/>
          <cell r="R76"/>
          <cell r="S76"/>
        </row>
        <row r="77">
          <cell r="B77"/>
          <cell r="C77"/>
          <cell r="D77"/>
          <cell r="E77"/>
          <cell r="F77"/>
          <cell r="G77"/>
          <cell r="H77"/>
          <cell r="I77"/>
          <cell r="J77"/>
          <cell r="K77"/>
          <cell r="L77"/>
          <cell r="M77"/>
          <cell r="N77"/>
          <cell r="O77"/>
          <cell r="P77"/>
          <cell r="Q77"/>
          <cell r="R77"/>
          <cell r="S77"/>
        </row>
        <row r="78">
          <cell r="B78"/>
          <cell r="C78"/>
          <cell r="D78"/>
          <cell r="E78"/>
          <cell r="F78"/>
          <cell r="G78"/>
          <cell r="H78"/>
          <cell r="I78"/>
          <cell r="J78"/>
          <cell r="K78"/>
          <cell r="L78"/>
          <cell r="M78"/>
          <cell r="N78"/>
          <cell r="O78"/>
          <cell r="P78"/>
          <cell r="Q78"/>
          <cell r="R78"/>
          <cell r="S78"/>
        </row>
        <row r="79">
          <cell r="B79"/>
          <cell r="C79"/>
          <cell r="D79"/>
          <cell r="E79"/>
          <cell r="F79"/>
          <cell r="H79"/>
          <cell r="I79"/>
          <cell r="J79"/>
          <cell r="K79"/>
          <cell r="L79"/>
          <cell r="N79"/>
          <cell r="O79"/>
          <cell r="P79"/>
          <cell r="Q79"/>
          <cell r="R79"/>
          <cell r="S79"/>
        </row>
        <row r="85">
          <cell r="B85" t="str">
            <v>20210208GFPSOX2sg3_E7</v>
          </cell>
          <cell r="C85" t="str">
            <v>Sort</v>
          </cell>
          <cell r="D85">
            <v>1</v>
          </cell>
          <cell r="E85">
            <v>96</v>
          </cell>
          <cell r="F85" t="str">
            <v>matrigel20210218. Counted 0.8x10e6/mL. First sort @ 1.6x10e6 cells in 400uL. On Normal sort collected &gt;1.5% cell population @2500 intensity. Small bright (&gt;10,000) evident. 8.5K events/ 15min collected. Second sort, harvested two more wells...3x10e6 cells in 500uL. 11K/30min. events. Pool two sorts seeding 1 well of a 96 well.</v>
          </cell>
          <cell r="G85" t="str">
            <v>Sort1</v>
          </cell>
          <cell r="H85" t="str">
            <v>20210208GFPSOX2sg3_E7_Sort1</v>
          </cell>
          <cell r="I85" t="str">
            <v>Feed w Ri</v>
          </cell>
          <cell r="J85">
            <v>1</v>
          </cell>
          <cell r="K85">
            <v>12</v>
          </cell>
          <cell r="L85"/>
          <cell r="M85"/>
          <cell r="N85"/>
          <cell r="O85"/>
          <cell r="P85"/>
          <cell r="Q85"/>
          <cell r="R85"/>
          <cell r="S85"/>
        </row>
        <row r="86">
          <cell r="B86" t="str">
            <v>20210208GFPSOX2sg3_F9_Sort1</v>
          </cell>
          <cell r="C86" t="str">
            <v>Feed w Ri</v>
          </cell>
          <cell r="D86">
            <v>1</v>
          </cell>
          <cell r="E86">
            <v>96</v>
          </cell>
          <cell r="F86"/>
          <cell r="G86"/>
          <cell r="H86" t="str">
            <v>20210208GFPSOX2sg3_F9_Sort1</v>
          </cell>
          <cell r="I86" t="str">
            <v>Feed w Ri</v>
          </cell>
          <cell r="J86">
            <v>1</v>
          </cell>
          <cell r="K86">
            <v>12</v>
          </cell>
          <cell r="L86"/>
          <cell r="M86"/>
          <cell r="N86" t="str">
            <v>20200318GFPSOX2sg3_E12_Sort4</v>
          </cell>
          <cell r="O86" t="str">
            <v>Feed w mTeSR++Ri</v>
          </cell>
          <cell r="P86">
            <v>3</v>
          </cell>
          <cell r="Q86">
            <v>6</v>
          </cell>
          <cell r="R86" t="str">
            <v>Collected flow profile on 20210312</v>
          </cell>
          <cell r="S86"/>
        </row>
        <row r="87">
          <cell r="B87" t="str">
            <v>20200318GFPSOX2sg3_A3_Sort4</v>
          </cell>
          <cell r="C87" t="str">
            <v>Feed w mTeSr+</v>
          </cell>
          <cell r="D87">
            <v>1</v>
          </cell>
          <cell r="E87">
            <v>12</v>
          </cell>
          <cell r="F87"/>
          <cell r="G87"/>
          <cell r="H87" t="str">
            <v>20200318GFPSOX2sg3_A3_Sort4</v>
          </cell>
          <cell r="I87" t="str">
            <v>Feed w mTeSr+</v>
          </cell>
          <cell r="J87">
            <v>5</v>
          </cell>
          <cell r="K87">
            <v>6</v>
          </cell>
          <cell r="L87"/>
          <cell r="M87"/>
          <cell r="N87" t="str">
            <v>20200318GFPSOX2sg3_A3_Sort4</v>
          </cell>
          <cell r="O87" t="str">
            <v>Feed w mTeSR++Ri</v>
          </cell>
          <cell r="P87">
            <v>3</v>
          </cell>
          <cell r="Q87">
            <v>6</v>
          </cell>
          <cell r="R87" t="str">
            <v>Collected flow profile on 20210312</v>
          </cell>
          <cell r="S87"/>
        </row>
        <row r="88">
          <cell r="B88" t="str">
            <v>20200318GFPSOX2sg3_E12_Sort4</v>
          </cell>
          <cell r="C88" t="str">
            <v>Feed w mTeSR++Ri</v>
          </cell>
          <cell r="D88">
            <v>1</v>
          </cell>
          <cell r="E88">
            <v>12</v>
          </cell>
          <cell r="F88"/>
          <cell r="G88"/>
          <cell r="H88" t="str">
            <v>20200318GFPSOX2sg3_E12_Sort4</v>
          </cell>
          <cell r="I88" t="str">
            <v>Feed w mTeSr+</v>
          </cell>
          <cell r="J88">
            <v>5</v>
          </cell>
          <cell r="K88">
            <v>6</v>
          </cell>
          <cell r="L88"/>
          <cell r="M88"/>
          <cell r="N88"/>
          <cell r="O88"/>
          <cell r="P88"/>
          <cell r="Q88"/>
          <cell r="R88"/>
          <cell r="S88"/>
        </row>
        <row r="89">
          <cell r="B89" t="str">
            <v>20210208GFPSOX2sg3_E7</v>
          </cell>
          <cell r="C89" t="str">
            <v>Freeze</v>
          </cell>
          <cell r="D89">
            <v>2</v>
          </cell>
          <cell r="E89" t="str">
            <v>VIALS</v>
          </cell>
          <cell r="F89" t="str">
            <v>~1.5x10e6/vial.</v>
          </cell>
          <cell r="G89"/>
          <cell r="H89"/>
          <cell r="I89"/>
          <cell r="J89"/>
          <cell r="K89"/>
          <cell r="L89"/>
          <cell r="M89"/>
          <cell r="N89"/>
          <cell r="O89"/>
          <cell r="P89"/>
          <cell r="Q89"/>
          <cell r="R89"/>
          <cell r="S89"/>
        </row>
        <row r="90">
          <cell r="B90"/>
          <cell r="C90"/>
          <cell r="D90"/>
          <cell r="E90"/>
          <cell r="F90"/>
          <cell r="G90"/>
          <cell r="H90"/>
          <cell r="I90"/>
          <cell r="J90"/>
          <cell r="K90"/>
          <cell r="L90"/>
          <cell r="M90"/>
          <cell r="N90"/>
          <cell r="O90"/>
          <cell r="P90"/>
          <cell r="Q90"/>
          <cell r="R90"/>
          <cell r="S90"/>
        </row>
        <row r="91">
          <cell r="B91"/>
          <cell r="C91"/>
          <cell r="D91"/>
          <cell r="E91"/>
          <cell r="F91"/>
          <cell r="G91"/>
          <cell r="H91"/>
          <cell r="I91"/>
          <cell r="J91"/>
          <cell r="K91"/>
          <cell r="L91"/>
          <cell r="M91"/>
          <cell r="N91"/>
          <cell r="O91"/>
          <cell r="P91"/>
          <cell r="Q91"/>
          <cell r="R91"/>
          <cell r="S91"/>
        </row>
        <row r="92">
          <cell r="B92"/>
          <cell r="C92"/>
          <cell r="D92"/>
          <cell r="E92"/>
          <cell r="F92"/>
          <cell r="G92"/>
          <cell r="H92"/>
          <cell r="I92"/>
          <cell r="J92"/>
          <cell r="K92"/>
          <cell r="L92"/>
          <cell r="M92"/>
          <cell r="N92"/>
          <cell r="O92"/>
          <cell r="P92"/>
          <cell r="Q92"/>
          <cell r="R92"/>
          <cell r="S92"/>
        </row>
        <row r="93">
          <cell r="B93"/>
          <cell r="C93"/>
          <cell r="D93"/>
          <cell r="E93"/>
          <cell r="F93"/>
          <cell r="G93"/>
          <cell r="H93"/>
          <cell r="I93"/>
          <cell r="J93"/>
          <cell r="K93"/>
          <cell r="L93"/>
          <cell r="M93"/>
          <cell r="N93"/>
          <cell r="O93"/>
          <cell r="P93"/>
          <cell r="Q93"/>
          <cell r="R93"/>
          <cell r="S93"/>
        </row>
        <row r="94">
          <cell r="B94"/>
          <cell r="C94"/>
          <cell r="D94"/>
          <cell r="E94"/>
          <cell r="F94"/>
          <cell r="G94"/>
          <cell r="H94"/>
          <cell r="I94"/>
          <cell r="J94"/>
          <cell r="K94"/>
          <cell r="L94"/>
          <cell r="M94"/>
          <cell r="N94"/>
          <cell r="O94"/>
          <cell r="P94"/>
          <cell r="Q94"/>
          <cell r="R94"/>
          <cell r="S94"/>
        </row>
        <row r="95">
          <cell r="B95"/>
          <cell r="C95"/>
          <cell r="D95"/>
          <cell r="E95"/>
          <cell r="F95"/>
          <cell r="G95"/>
          <cell r="H95"/>
          <cell r="I95"/>
          <cell r="J95"/>
          <cell r="K95"/>
          <cell r="L95"/>
          <cell r="M95"/>
          <cell r="N95"/>
          <cell r="O95"/>
          <cell r="P95"/>
          <cell r="Q95"/>
          <cell r="R95"/>
          <cell r="S95"/>
        </row>
        <row r="96">
          <cell r="B96"/>
          <cell r="C96"/>
          <cell r="D96"/>
          <cell r="E96"/>
          <cell r="F96"/>
          <cell r="G96"/>
          <cell r="H96"/>
          <cell r="I96"/>
          <cell r="J96"/>
          <cell r="K96"/>
          <cell r="L96"/>
          <cell r="M96"/>
          <cell r="N96"/>
          <cell r="O96"/>
          <cell r="P96"/>
          <cell r="Q96"/>
          <cell r="R96"/>
          <cell r="S96"/>
        </row>
        <row r="97">
          <cell r="B97"/>
          <cell r="C97"/>
          <cell r="D97"/>
          <cell r="E97"/>
          <cell r="F97"/>
          <cell r="G97"/>
          <cell r="H97"/>
          <cell r="I97"/>
          <cell r="J97"/>
          <cell r="K97"/>
          <cell r="L97"/>
          <cell r="M97"/>
          <cell r="N97"/>
          <cell r="O97"/>
          <cell r="P97"/>
          <cell r="Q97"/>
          <cell r="R97"/>
          <cell r="S97"/>
        </row>
        <row r="98">
          <cell r="B98"/>
          <cell r="C98"/>
          <cell r="D98"/>
          <cell r="E98"/>
          <cell r="F98"/>
          <cell r="G98"/>
          <cell r="H98"/>
          <cell r="I98"/>
          <cell r="J98"/>
          <cell r="K98"/>
          <cell r="L98"/>
          <cell r="M98"/>
          <cell r="N98"/>
          <cell r="O98"/>
          <cell r="P98"/>
          <cell r="Q98"/>
          <cell r="R98"/>
          <cell r="S98"/>
        </row>
        <row r="99">
          <cell r="B99"/>
          <cell r="C99"/>
          <cell r="D99"/>
          <cell r="E99"/>
          <cell r="F99"/>
          <cell r="G99"/>
          <cell r="H99"/>
          <cell r="I99"/>
          <cell r="J99"/>
          <cell r="K99"/>
          <cell r="L99"/>
          <cell r="M99"/>
          <cell r="N99"/>
          <cell r="O99"/>
          <cell r="P99"/>
          <cell r="Q99"/>
          <cell r="R99"/>
          <cell r="S99"/>
        </row>
        <row r="101">
          <cell r="B101"/>
          <cell r="H101"/>
          <cell r="N101"/>
        </row>
        <row r="105">
          <cell r="B105" t="str">
            <v>20210208GFPSOX2sg3_E7_Sort1</v>
          </cell>
          <cell r="C105" t="str">
            <v>Feed w Ri</v>
          </cell>
          <cell r="D105">
            <v>1</v>
          </cell>
          <cell r="E105">
            <v>96</v>
          </cell>
          <cell r="F105"/>
          <cell r="G105"/>
          <cell r="H105" t="str">
            <v>20210208GFPSOX2sg3_E7_Sort1</v>
          </cell>
          <cell r="I105" t="str">
            <v>Passage</v>
          </cell>
          <cell r="J105">
            <v>1</v>
          </cell>
          <cell r="K105">
            <v>6</v>
          </cell>
          <cell r="L105"/>
          <cell r="M105"/>
          <cell r="N105" t="str">
            <v>20200318GFPSOX2sg3_A3_Sort4</v>
          </cell>
          <cell r="O105" t="str">
            <v>Passage</v>
          </cell>
          <cell r="P105"/>
          <cell r="Q105"/>
          <cell r="R105" t="str">
            <v>Ran flow to document fluorescence profile.</v>
          </cell>
          <cell r="S105"/>
        </row>
        <row r="106">
          <cell r="B106" t="str">
            <v>20210208GFPSOX2sg3_F9_Sort1</v>
          </cell>
          <cell r="C106" t="str">
            <v>Feed w Ri</v>
          </cell>
          <cell r="D106">
            <v>1</v>
          </cell>
          <cell r="E106">
            <v>96</v>
          </cell>
          <cell r="F106"/>
          <cell r="G106"/>
          <cell r="H106" t="str">
            <v>20210208GFPSOX2sg3_F9_Sort1</v>
          </cell>
          <cell r="I106" t="str">
            <v>Passage</v>
          </cell>
          <cell r="J106">
            <v>1</v>
          </cell>
          <cell r="K106">
            <v>6</v>
          </cell>
          <cell r="L106"/>
          <cell r="M106"/>
          <cell r="N106" t="str">
            <v>20200318GFPSOX2sg3_E12_Sort4</v>
          </cell>
          <cell r="O106" t="str">
            <v>Passage</v>
          </cell>
          <cell r="P106"/>
          <cell r="Q106"/>
          <cell r="R106" t="str">
            <v>Ran flow to document fluorescence profile.</v>
          </cell>
          <cell r="S106"/>
        </row>
        <row r="107">
          <cell r="B107" t="str">
            <v>20200318GFPSOX2sg3_A3_Sort4</v>
          </cell>
          <cell r="C107" t="str">
            <v>Feed w mTeSR++Ri</v>
          </cell>
          <cell r="D107">
            <v>1</v>
          </cell>
          <cell r="E107">
            <v>12</v>
          </cell>
          <cell r="F107"/>
          <cell r="G107"/>
          <cell r="H107" t="str">
            <v>20200318GFPSOX2sg3_A3_Sort4</v>
          </cell>
          <cell r="I107" t="str">
            <v>Feed w mTeSr+</v>
          </cell>
          <cell r="J107">
            <v>5</v>
          </cell>
          <cell r="K107">
            <v>6</v>
          </cell>
          <cell r="L107"/>
          <cell r="M107"/>
          <cell r="N107" t="str">
            <v>20210309mChOCT4sg2</v>
          </cell>
          <cell r="O107" t="str">
            <v>Image</v>
          </cell>
          <cell r="P107">
            <v>96</v>
          </cell>
          <cell r="Q107">
            <v>96</v>
          </cell>
          <cell r="R107" t="str">
            <v>Imaged using mTeSR+Ri w/o phenolRed.</v>
          </cell>
          <cell r="S107"/>
        </row>
        <row r="108">
          <cell r="B108" t="str">
            <v>20200318GFPSOX2sg3_E12_Sort4</v>
          </cell>
          <cell r="C108" t="str">
            <v>Feed w mTeSR++Ri</v>
          </cell>
          <cell r="D108">
            <v>1</v>
          </cell>
          <cell r="E108">
            <v>12</v>
          </cell>
          <cell r="F108"/>
          <cell r="G108"/>
          <cell r="H108" t="str">
            <v>20200318GFPSOX2sg3_E12_Sort4</v>
          </cell>
          <cell r="I108" t="str">
            <v>Passage</v>
          </cell>
          <cell r="J108">
            <v>5</v>
          </cell>
          <cell r="K108">
            <v>10</v>
          </cell>
          <cell r="L108"/>
          <cell r="M108"/>
          <cell r="N108"/>
          <cell r="O108"/>
          <cell r="P108"/>
          <cell r="Q108"/>
          <cell r="R108"/>
          <cell r="S108"/>
        </row>
        <row r="109">
          <cell r="B109"/>
          <cell r="C109"/>
          <cell r="D109"/>
          <cell r="E109"/>
          <cell r="F109"/>
          <cell r="G109"/>
          <cell r="H109"/>
          <cell r="I109"/>
          <cell r="J109"/>
          <cell r="K109"/>
          <cell r="L109"/>
          <cell r="M109"/>
          <cell r="N109"/>
          <cell r="O109"/>
          <cell r="P109"/>
          <cell r="Q109"/>
          <cell r="R109"/>
          <cell r="S109"/>
        </row>
        <row r="110">
          <cell r="B110"/>
          <cell r="C110"/>
          <cell r="D110"/>
          <cell r="E110"/>
          <cell r="F110"/>
          <cell r="G110"/>
          <cell r="H110"/>
          <cell r="I110"/>
          <cell r="J110"/>
          <cell r="K110"/>
          <cell r="L110"/>
          <cell r="M110"/>
          <cell r="N110"/>
          <cell r="O110"/>
          <cell r="P110"/>
          <cell r="Q110"/>
          <cell r="R110"/>
          <cell r="S110"/>
        </row>
        <row r="111">
          <cell r="B111"/>
          <cell r="C111"/>
          <cell r="D111"/>
          <cell r="E111"/>
          <cell r="F111"/>
          <cell r="G111"/>
          <cell r="H111"/>
          <cell r="I111"/>
          <cell r="J111"/>
          <cell r="K111"/>
          <cell r="L111"/>
          <cell r="M111"/>
          <cell r="N111"/>
          <cell r="O111"/>
          <cell r="P111"/>
          <cell r="Q111"/>
          <cell r="R111"/>
          <cell r="S111"/>
        </row>
        <row r="112">
          <cell r="B112"/>
          <cell r="C112"/>
          <cell r="D112"/>
          <cell r="E112"/>
          <cell r="F112"/>
          <cell r="G112"/>
          <cell r="H112"/>
          <cell r="I112"/>
          <cell r="J112"/>
          <cell r="K112"/>
          <cell r="L112"/>
          <cell r="M112"/>
          <cell r="N112"/>
          <cell r="O112"/>
          <cell r="P112"/>
          <cell r="Q112"/>
          <cell r="R112"/>
          <cell r="S112"/>
        </row>
        <row r="113">
          <cell r="B113"/>
          <cell r="C113"/>
          <cell r="D113"/>
          <cell r="E113"/>
          <cell r="F113"/>
          <cell r="G113"/>
          <cell r="H113"/>
          <cell r="I113"/>
          <cell r="J113"/>
          <cell r="K113"/>
          <cell r="L113"/>
          <cell r="M113"/>
          <cell r="N113"/>
          <cell r="O113"/>
          <cell r="P113"/>
          <cell r="Q113"/>
          <cell r="R113"/>
          <cell r="S113"/>
        </row>
        <row r="114">
          <cell r="B114"/>
          <cell r="C114"/>
          <cell r="D114"/>
          <cell r="E114"/>
          <cell r="F114"/>
          <cell r="G114"/>
          <cell r="H114"/>
          <cell r="I114"/>
          <cell r="J114"/>
          <cell r="K114"/>
          <cell r="L114"/>
          <cell r="M114"/>
          <cell r="N114"/>
          <cell r="O114"/>
          <cell r="P114"/>
          <cell r="Q114"/>
          <cell r="R114"/>
          <cell r="S114"/>
        </row>
        <row r="115">
          <cell r="B115"/>
          <cell r="C115"/>
          <cell r="D115"/>
          <cell r="E115"/>
          <cell r="F115"/>
          <cell r="G115"/>
          <cell r="H115"/>
          <cell r="I115"/>
          <cell r="J115"/>
          <cell r="K115"/>
          <cell r="L115"/>
          <cell r="M115"/>
          <cell r="N115"/>
          <cell r="O115"/>
          <cell r="P115"/>
          <cell r="Q115"/>
          <cell r="R115"/>
          <cell r="S115"/>
        </row>
        <row r="116">
          <cell r="B116"/>
          <cell r="C116"/>
          <cell r="D116"/>
          <cell r="E116"/>
          <cell r="F116"/>
          <cell r="G116"/>
          <cell r="H116"/>
          <cell r="I116"/>
          <cell r="J116"/>
          <cell r="K116"/>
          <cell r="L116"/>
          <cell r="M116"/>
          <cell r="N116"/>
          <cell r="O116"/>
          <cell r="P116"/>
          <cell r="Q116"/>
          <cell r="R116"/>
          <cell r="S116"/>
        </row>
        <row r="117">
          <cell r="B117"/>
          <cell r="C117"/>
          <cell r="D117"/>
          <cell r="E117"/>
          <cell r="F117"/>
          <cell r="G117"/>
          <cell r="H117"/>
          <cell r="I117"/>
          <cell r="J117"/>
          <cell r="K117"/>
          <cell r="L117"/>
          <cell r="M117"/>
          <cell r="N117"/>
          <cell r="O117"/>
          <cell r="P117"/>
          <cell r="Q117"/>
          <cell r="R117"/>
          <cell r="S117"/>
        </row>
        <row r="118">
          <cell r="B118"/>
          <cell r="C118"/>
          <cell r="D118"/>
          <cell r="E118"/>
          <cell r="F118"/>
          <cell r="G118"/>
          <cell r="H118"/>
          <cell r="I118"/>
          <cell r="J118"/>
          <cell r="K118"/>
          <cell r="L118"/>
          <cell r="M118"/>
          <cell r="N118"/>
          <cell r="O118"/>
          <cell r="P118"/>
          <cell r="Q118"/>
          <cell r="R118"/>
          <cell r="S118"/>
        </row>
        <row r="119">
          <cell r="B119"/>
          <cell r="C119"/>
          <cell r="D119"/>
          <cell r="E119"/>
          <cell r="F119"/>
          <cell r="G119"/>
          <cell r="H119"/>
          <cell r="I119"/>
          <cell r="J119"/>
          <cell r="K119"/>
          <cell r="L119"/>
          <cell r="M119"/>
          <cell r="N119"/>
          <cell r="O119"/>
          <cell r="P119"/>
          <cell r="Q119"/>
          <cell r="R119"/>
          <cell r="S119"/>
        </row>
        <row r="121">
          <cell r="B121"/>
          <cell r="H121"/>
          <cell r="N121"/>
        </row>
        <row r="125">
          <cell r="B125" t="str">
            <v>20210208GFPSOX2sg3_E7_Sort1</v>
          </cell>
          <cell r="C125" t="str">
            <v>Feed w Ri</v>
          </cell>
          <cell r="D125">
            <v>1</v>
          </cell>
          <cell r="E125">
            <v>96</v>
          </cell>
          <cell r="F125"/>
          <cell r="G125"/>
          <cell r="H125" t="str">
            <v>20210208GFPSOX2sg3_E7_Sort1</v>
          </cell>
          <cell r="I125" t="str">
            <v>Feed w Ri</v>
          </cell>
          <cell r="J125">
            <v>1</v>
          </cell>
          <cell r="K125">
            <v>6</v>
          </cell>
          <cell r="L125"/>
          <cell r="M125"/>
          <cell r="N125"/>
          <cell r="O125"/>
          <cell r="P125"/>
          <cell r="Q125"/>
          <cell r="R125"/>
          <cell r="S125"/>
        </row>
        <row r="126">
          <cell r="B126" t="str">
            <v>20210208GFPSOX2sg3_F9_Sort1</v>
          </cell>
          <cell r="C126" t="str">
            <v>Feed w Ri</v>
          </cell>
          <cell r="D126">
            <v>1</v>
          </cell>
          <cell r="E126">
            <v>96</v>
          </cell>
          <cell r="F126"/>
          <cell r="G126"/>
          <cell r="H126" t="str">
            <v>20210208GFPSOX2sg3_F9_Sort1</v>
          </cell>
          <cell r="I126" t="str">
            <v>Feed w Ri</v>
          </cell>
          <cell r="J126">
            <v>1</v>
          </cell>
          <cell r="K126">
            <v>6</v>
          </cell>
          <cell r="L126"/>
          <cell r="M126"/>
          <cell r="N126"/>
          <cell r="O126"/>
          <cell r="P126"/>
          <cell r="Q126"/>
          <cell r="R126"/>
          <cell r="S126"/>
        </row>
        <row r="127">
          <cell r="B127" t="str">
            <v>20200318GFPSOX2sg3_A3_Sort4</v>
          </cell>
          <cell r="C127" t="str">
            <v>Feed w mTeSr+</v>
          </cell>
          <cell r="D127">
            <v>1</v>
          </cell>
          <cell r="E127">
            <v>12</v>
          </cell>
          <cell r="F127"/>
          <cell r="G127"/>
          <cell r="H127" t="str">
            <v>20200318GFPSOX2sg3_A3_Sort4</v>
          </cell>
          <cell r="I127" t="str">
            <v>Passage</v>
          </cell>
          <cell r="J127">
            <v>5</v>
          </cell>
          <cell r="K127">
            <v>10</v>
          </cell>
          <cell r="L127"/>
          <cell r="M127"/>
          <cell r="N127"/>
          <cell r="O127"/>
          <cell r="P127"/>
          <cell r="Q127"/>
          <cell r="R127"/>
          <cell r="S127"/>
        </row>
        <row r="128">
          <cell r="B128" t="str">
            <v>20200318GFPSOX2sg3_E12_Sort4</v>
          </cell>
          <cell r="C128" t="str">
            <v>Feed w mTeSr+</v>
          </cell>
          <cell r="D128">
            <v>1</v>
          </cell>
          <cell r="E128">
            <v>12</v>
          </cell>
          <cell r="F128"/>
          <cell r="G128"/>
          <cell r="H128" t="str">
            <v>20200318GFPSOX2sg3_E12_Sort4</v>
          </cell>
          <cell r="I128" t="str">
            <v>Feed w mTeSR++Ri</v>
          </cell>
          <cell r="J128">
            <v>5</v>
          </cell>
          <cell r="K128">
            <v>10</v>
          </cell>
          <cell r="L128"/>
          <cell r="M128"/>
          <cell r="N128"/>
          <cell r="O128"/>
          <cell r="P128"/>
          <cell r="Q128"/>
          <cell r="R128"/>
          <cell r="S128"/>
        </row>
        <row r="129">
          <cell r="B129"/>
          <cell r="C129"/>
          <cell r="D129"/>
          <cell r="E129"/>
          <cell r="F129"/>
          <cell r="G129"/>
          <cell r="H129"/>
          <cell r="I129"/>
          <cell r="J129"/>
          <cell r="K129"/>
          <cell r="L129"/>
          <cell r="M129"/>
          <cell r="N129"/>
          <cell r="O129"/>
          <cell r="P129"/>
          <cell r="Q129"/>
          <cell r="R129"/>
          <cell r="S129"/>
        </row>
        <row r="130">
          <cell r="B130"/>
          <cell r="C130"/>
          <cell r="D130"/>
          <cell r="E130"/>
          <cell r="F130"/>
          <cell r="G130"/>
          <cell r="H130"/>
          <cell r="I130"/>
          <cell r="J130"/>
          <cell r="K130"/>
          <cell r="L130"/>
          <cell r="M130"/>
          <cell r="N130"/>
          <cell r="O130"/>
          <cell r="P130"/>
          <cell r="Q130"/>
          <cell r="R130"/>
          <cell r="S130"/>
        </row>
        <row r="131">
          <cell r="B131"/>
          <cell r="C131"/>
          <cell r="D131"/>
          <cell r="E131"/>
          <cell r="F131"/>
          <cell r="G131"/>
          <cell r="H131"/>
          <cell r="I131"/>
          <cell r="J131"/>
          <cell r="K131"/>
          <cell r="L131"/>
          <cell r="M131"/>
          <cell r="N131"/>
          <cell r="O131"/>
          <cell r="P131"/>
          <cell r="Q131"/>
          <cell r="R131"/>
          <cell r="S131"/>
        </row>
        <row r="132">
          <cell r="B132"/>
          <cell r="C132"/>
          <cell r="D132"/>
          <cell r="E132"/>
          <cell r="F132"/>
          <cell r="G132"/>
          <cell r="H132"/>
          <cell r="I132"/>
          <cell r="J132"/>
          <cell r="K132"/>
          <cell r="L132"/>
          <cell r="M132"/>
          <cell r="N132"/>
          <cell r="O132"/>
          <cell r="P132"/>
          <cell r="Q132"/>
          <cell r="R132"/>
          <cell r="S132"/>
        </row>
        <row r="133">
          <cell r="B133"/>
          <cell r="C133"/>
          <cell r="D133"/>
          <cell r="E133"/>
          <cell r="F133"/>
          <cell r="G133"/>
          <cell r="H133"/>
          <cell r="I133"/>
          <cell r="J133"/>
          <cell r="K133"/>
          <cell r="L133"/>
          <cell r="M133"/>
          <cell r="N133"/>
          <cell r="O133"/>
          <cell r="P133"/>
          <cell r="Q133"/>
          <cell r="R133"/>
          <cell r="S133"/>
        </row>
        <row r="134">
          <cell r="B134"/>
          <cell r="C134"/>
          <cell r="D134"/>
          <cell r="E134"/>
          <cell r="F134"/>
          <cell r="G134"/>
          <cell r="H134"/>
          <cell r="I134"/>
          <cell r="J134"/>
          <cell r="K134"/>
          <cell r="L134"/>
          <cell r="M134"/>
          <cell r="N134"/>
          <cell r="O134"/>
          <cell r="P134"/>
          <cell r="Q134"/>
          <cell r="R134"/>
          <cell r="S134"/>
        </row>
        <row r="135">
          <cell r="B135"/>
          <cell r="C135"/>
          <cell r="D135"/>
          <cell r="E135"/>
          <cell r="F135"/>
          <cell r="G135"/>
          <cell r="H135"/>
          <cell r="I135"/>
          <cell r="J135"/>
          <cell r="K135"/>
          <cell r="L135"/>
          <cell r="M135"/>
          <cell r="N135"/>
          <cell r="O135"/>
          <cell r="P135"/>
          <cell r="Q135"/>
          <cell r="R135"/>
          <cell r="S135"/>
        </row>
        <row r="136">
          <cell r="B136"/>
          <cell r="C136"/>
          <cell r="D136"/>
          <cell r="E136"/>
          <cell r="F136"/>
          <cell r="G136"/>
          <cell r="H136"/>
          <cell r="I136"/>
          <cell r="J136"/>
          <cell r="K136"/>
          <cell r="L136"/>
          <cell r="M136"/>
          <cell r="N136"/>
          <cell r="O136"/>
          <cell r="P136"/>
          <cell r="Q136"/>
          <cell r="R136"/>
          <cell r="S136"/>
        </row>
        <row r="137">
          <cell r="B137"/>
          <cell r="C137"/>
          <cell r="D137"/>
          <cell r="E137"/>
          <cell r="F137"/>
          <cell r="G137"/>
          <cell r="H137"/>
          <cell r="I137"/>
          <cell r="J137"/>
          <cell r="K137"/>
          <cell r="L137"/>
          <cell r="M137"/>
          <cell r="N137"/>
          <cell r="O137"/>
          <cell r="P137"/>
          <cell r="Q137"/>
          <cell r="R137"/>
          <cell r="S137"/>
        </row>
        <row r="138">
          <cell r="B138"/>
          <cell r="C138"/>
          <cell r="D138"/>
          <cell r="E138"/>
          <cell r="F138"/>
          <cell r="G138"/>
          <cell r="H138"/>
          <cell r="I138"/>
          <cell r="J138"/>
          <cell r="K138"/>
          <cell r="L138"/>
          <cell r="M138"/>
          <cell r="N138"/>
          <cell r="O138"/>
          <cell r="P138"/>
          <cell r="Q138"/>
          <cell r="R138"/>
          <cell r="S138"/>
        </row>
        <row r="139">
          <cell r="B139"/>
          <cell r="C139"/>
          <cell r="D139"/>
          <cell r="E139"/>
          <cell r="F139"/>
          <cell r="G139"/>
          <cell r="H139"/>
          <cell r="I139"/>
          <cell r="J139"/>
          <cell r="K139"/>
          <cell r="L139"/>
          <cell r="M139"/>
          <cell r="N139"/>
          <cell r="O139"/>
          <cell r="P139"/>
          <cell r="Q139"/>
          <cell r="R139"/>
          <cell r="S139"/>
        </row>
        <row r="141">
          <cell r="N141"/>
        </row>
      </sheetData>
      <sheetData sheetId="2" refreshError="1"/>
      <sheetData sheetId="3" refreshError="1"/>
      <sheetData sheetId="4" refreshError="1"/>
      <sheetData sheetId="5">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6">
        <row r="1">
          <cell r="A1" t="str">
            <v>Cell Sample Names</v>
          </cell>
        </row>
        <row r="2">
          <cell r="A2" t="str">
            <v>20210208GFPSOX2sg3_F9_Sort2</v>
          </cell>
        </row>
        <row r="3">
          <cell r="A3" t="str">
            <v>20210208GFPSOX2sg3_E7_Sort2</v>
          </cell>
        </row>
        <row r="4">
          <cell r="A4" t="str">
            <v>20210309mChOCT4sg2</v>
          </cell>
        </row>
        <row r="5">
          <cell r="A5" t="str">
            <v>20210208GFPSOX2sg3_E7_Sort1</v>
          </cell>
        </row>
        <row r="6">
          <cell r="A6" t="str">
            <v>20210208GFPSOX2sg3_F9_Sort1</v>
          </cell>
        </row>
        <row r="7">
          <cell r="A7" t="str">
            <v>20200318GFPSOX2sg3_E12_Sort4</v>
          </cell>
        </row>
        <row r="8">
          <cell r="A8" t="str">
            <v>20200318GFPSOX2sg3_A3_Sort4</v>
          </cell>
        </row>
        <row r="9">
          <cell r="A9" t="str">
            <v>20210208GFPSOX2sg3_F9</v>
          </cell>
        </row>
        <row r="10">
          <cell r="A10" t="str">
            <v>20210208GFPSOX2sg3_E7</v>
          </cell>
        </row>
        <row r="11">
          <cell r="A11" t="str">
            <v>20210208GFPSOX2sg3</v>
          </cell>
        </row>
        <row r="12">
          <cell r="A12" t="str">
            <v>20200318GFPSOX2sg3_E12_Sort3</v>
          </cell>
        </row>
        <row r="13">
          <cell r="A13" t="str">
            <v>20200318GFPSOX2sg3_A3_Sort3</v>
          </cell>
        </row>
        <row r="14">
          <cell r="A14" t="str">
            <v>20210203GFPSOX2sg3</v>
          </cell>
        </row>
        <row r="15">
          <cell r="A15" t="str">
            <v>20200318GFPSOX2sg3_E12_Sort2</v>
          </cell>
        </row>
        <row r="16">
          <cell r="A16" t="str">
            <v>20200318GFPSOX2sg3_A3_Sort2</v>
          </cell>
        </row>
        <row r="17">
          <cell r="A17" t="str">
            <v>20200318GFPSOX2sg3_A1_Sort2</v>
          </cell>
        </row>
        <row r="18">
          <cell r="A18" t="str">
            <v>20200318GFPSOX2sg3_A1_Sort1</v>
          </cell>
        </row>
        <row r="19">
          <cell r="A19" t="str">
            <v>20200318GFPSOX2sg3_E12_Sort1</v>
          </cell>
        </row>
        <row r="20">
          <cell r="A20" t="str">
            <v>20200318GFPSOX2sg3_A3_Sort1</v>
          </cell>
        </row>
        <row r="21">
          <cell r="A21" t="str">
            <v>20200120mChOCT4sg2_B9U_Sort3</v>
          </cell>
        </row>
        <row r="22">
          <cell r="A22" t="str">
            <v>20200220mChOCT4sg2_C6_Sort4</v>
          </cell>
        </row>
        <row r="23">
          <cell r="A23" t="str">
            <v>20200220mChOCT4sg2_C10_Sort4</v>
          </cell>
        </row>
        <row r="24">
          <cell r="A24" t="str">
            <v>20200220mChOCT4sg2_C10_Sort3</v>
          </cell>
        </row>
        <row r="25">
          <cell r="A25" t="str">
            <v>20200113mChOCT4sg2_C6_Sort7</v>
          </cell>
        </row>
        <row r="26">
          <cell r="A26" t="str">
            <v>20200220mChOCT4sg2_A7a_Sort3</v>
          </cell>
        </row>
        <row r="27">
          <cell r="A27" t="str">
            <v>20200220mChOCT4sg2_A7b_Sort3</v>
          </cell>
        </row>
        <row r="28">
          <cell r="A28" t="str">
            <v>20200220mChOCT4sg2_C6_Sort3</v>
          </cell>
        </row>
        <row r="29">
          <cell r="A29" t="str">
            <v>20200113mChOCT4sg2_C7_Sort5</v>
          </cell>
        </row>
        <row r="30">
          <cell r="A30" t="str">
            <v>20200113mChOCT4sg2_C6_Sort6</v>
          </cell>
        </row>
        <row r="31">
          <cell r="A31" t="str">
            <v>20200220mChOCT4sg2_A7_Sort2</v>
          </cell>
        </row>
        <row r="32">
          <cell r="A32" t="str">
            <v>20200220mChOCT4sg2_C10_Sort2</v>
          </cell>
        </row>
        <row r="33">
          <cell r="A33" t="str">
            <v>20200220mChOCT4sg2_C6_Sort2</v>
          </cell>
        </row>
        <row r="34">
          <cell r="A34" t="str">
            <v>20200113mChOCT4sg2_C6_Sort5</v>
          </cell>
        </row>
        <row r="35">
          <cell r="A35" t="str">
            <v>20200113mChOCT4sg2_C7_Sort4</v>
          </cell>
        </row>
        <row r="36">
          <cell r="A36" t="str">
            <v>20200113mChOCT4sg2_C6_Sort4</v>
          </cell>
        </row>
        <row r="37">
          <cell r="A37" t="str">
            <v>20200113mChOCT4sg2_C7_Sort3</v>
          </cell>
        </row>
        <row r="38">
          <cell r="A38" t="str">
            <v>20200113mChOCT4sg2_C6_Sort3</v>
          </cell>
        </row>
        <row r="39">
          <cell r="A39" t="str">
            <v>20200318GFPSOX2sg3_E12</v>
          </cell>
        </row>
        <row r="40">
          <cell r="A40" t="str">
            <v>20200318GFPSOX2sg3_A3</v>
          </cell>
        </row>
        <row r="41">
          <cell r="A41" t="str">
            <v>20200318GFPSOX2sg3_A1</v>
          </cell>
        </row>
        <row r="42">
          <cell r="A42" t="str">
            <v>20200120mChOCT4sg2_B9U_Sort2</v>
          </cell>
        </row>
        <row r="43">
          <cell r="A43" t="str">
            <v>20200120mChOCT4sg2_B9U</v>
          </cell>
        </row>
        <row r="44">
          <cell r="A44" t="str">
            <v>20200220mChOCT4sg2_A7_Sort1</v>
          </cell>
        </row>
        <row r="45">
          <cell r="A45" t="str">
            <v>20200220mChOCT4sg2_C6_Sort1</v>
          </cell>
        </row>
        <row r="46">
          <cell r="A46" t="str">
            <v>20200220mChOCT4sg2_C9_Sort1</v>
          </cell>
        </row>
        <row r="47">
          <cell r="A47" t="str">
            <v>20200220mChOCT4sg2_C10_Sort1</v>
          </cell>
        </row>
        <row r="48">
          <cell r="A48" t="str">
            <v>20200220mChOCT4sg2_D8_Sort1</v>
          </cell>
        </row>
        <row r="49">
          <cell r="A49" t="str">
            <v>20200220mChOCT4sg2_D8</v>
          </cell>
        </row>
        <row r="50">
          <cell r="A50" t="str">
            <v>20200220mChOCT4sg2_C10</v>
          </cell>
        </row>
        <row r="51">
          <cell r="A51" t="str">
            <v>20200220mChOCT4sg2_C9</v>
          </cell>
        </row>
        <row r="52">
          <cell r="A52" t="str">
            <v>20200220mChOCT4sg2_C6</v>
          </cell>
        </row>
        <row r="53">
          <cell r="A53" t="str">
            <v>20200220mChOCT4sg2_A7</v>
          </cell>
        </row>
        <row r="54">
          <cell r="A54" t="str">
            <v>20200120mChOCT4sg2_C11_Sort2</v>
          </cell>
        </row>
        <row r="55">
          <cell r="A55" t="str">
            <v>20200120mChOCT4sg2_B9_Sort2</v>
          </cell>
        </row>
        <row r="56">
          <cell r="A56" t="str">
            <v>20200120mChOCT4sg2_B9 Ultrasort</v>
          </cell>
        </row>
        <row r="57">
          <cell r="A57" t="str">
            <v>20200120mChOCT4sg2_B9_Sort1</v>
          </cell>
        </row>
        <row r="58">
          <cell r="A58" t="str">
            <v>20200120mChOCT4sg2_C11_Sort1</v>
          </cell>
        </row>
        <row r="59">
          <cell r="A59" t="str">
            <v>20200120mChOCT4sg2_D2_Sort1</v>
          </cell>
        </row>
        <row r="60">
          <cell r="A60" t="str">
            <v>20200120mChOCT4sg2_E6_Sort1</v>
          </cell>
        </row>
        <row r="61">
          <cell r="A61" t="str">
            <v>20200120mChOCT4sg2_E6</v>
          </cell>
        </row>
        <row r="62">
          <cell r="A62" t="str">
            <v>20200120mChOCT4sg2_D2</v>
          </cell>
        </row>
        <row r="63">
          <cell r="A63" t="str">
            <v>20200120mChOCT4sg2_C11</v>
          </cell>
        </row>
        <row r="64">
          <cell r="A64" t="str">
            <v>20200120mChOCT4sg2_B9</v>
          </cell>
        </row>
        <row r="65">
          <cell r="A65" t="str">
            <v>20200113mChOCT4sg2_B8_Sort2</v>
          </cell>
        </row>
        <row r="66">
          <cell r="A66" t="str">
            <v>20200113mChOCT4sg2_B9_Sort2</v>
          </cell>
        </row>
        <row r="67">
          <cell r="A67" t="str">
            <v>20200113mChOCT4sg2_C6_Sort2</v>
          </cell>
        </row>
        <row r="68">
          <cell r="A68" t="str">
            <v>20200113mChOCT4sg2_C11_Sort1</v>
          </cell>
        </row>
        <row r="69">
          <cell r="A69" t="str">
            <v>20200113mChOCT4sg2_C11</v>
          </cell>
        </row>
        <row r="70">
          <cell r="A70" t="str">
            <v>20200113mChOCT4sg2_B8_Sort1</v>
          </cell>
        </row>
        <row r="71">
          <cell r="A71" t="str">
            <v>20200113mChOCT4sg2_B9_Sort1</v>
          </cell>
        </row>
        <row r="72">
          <cell r="A72" t="str">
            <v>20200318GFPSOX2sg3_C11_Sort1</v>
          </cell>
        </row>
        <row r="73">
          <cell r="A73" t="str">
            <v>20200113mChOCT4sg2_C6_Sort1</v>
          </cell>
        </row>
        <row r="74">
          <cell r="A74" t="str">
            <v>20200113mChOCT4sg2_C7_Sort2</v>
          </cell>
        </row>
        <row r="75">
          <cell r="A75" t="str">
            <v>20200113mChOCT4sg2_C7_Sort1</v>
          </cell>
        </row>
        <row r="76">
          <cell r="A76" t="str">
            <v>20200113mChOCT4sg2_C7</v>
          </cell>
        </row>
        <row r="77">
          <cell r="A77" t="str">
            <v>20200113mChOCT4sg2_C9</v>
          </cell>
        </row>
        <row r="78">
          <cell r="A78" t="str">
            <v>20200113mChOCT4sg2_C6</v>
          </cell>
        </row>
        <row r="79">
          <cell r="A79" t="str">
            <v>20200113mChOCT4sg2_B9</v>
          </cell>
        </row>
        <row r="80">
          <cell r="A80" t="str">
            <v>20200113mChOCT4sg2_B8</v>
          </cell>
        </row>
        <row r="81">
          <cell r="A81" t="str">
            <v>20200113mChOCT4sg2</v>
          </cell>
        </row>
        <row r="82">
          <cell r="A82" t="str">
            <v>20200318GFPSOX2sg3</v>
          </cell>
        </row>
        <row r="83">
          <cell r="A83" t="str">
            <v>20200317GFPSOX2sg2</v>
          </cell>
        </row>
        <row r="84">
          <cell r="A84" t="str">
            <v>20200316GFPSOX2sg1</v>
          </cell>
        </row>
        <row r="85">
          <cell r="A85" t="str">
            <v>20200220mChOCT4sg2</v>
          </cell>
        </row>
        <row r="86">
          <cell r="A86" t="str">
            <v>20200120mChOCT4sg2</v>
          </cell>
        </row>
        <row r="87">
          <cell r="A87" t="str">
            <v>WTC11</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umentation"/>
      <sheetName val="Calendar"/>
      <sheetName val="Metadata Template"/>
      <sheetName val="20200113mChOCT4sg2"/>
      <sheetName val="20200120mChOCT4sg2"/>
      <sheetName val="20200220mChOCT4sg2"/>
      <sheetName val="Data"/>
      <sheetName val="ActivityList"/>
      <sheetName val="Cell Samples"/>
      <sheetName val="Data validation criteria"/>
      <sheetName val="TransfectionsReport"/>
      <sheetName val="FreezeReport"/>
      <sheetName val="DiscontinueReport"/>
      <sheetName val="ExtractDNAReport"/>
      <sheetName val="20200113mChOCT4sg2Report"/>
      <sheetName val="20200120mChOCT4sg2Report"/>
      <sheetName val="20200220mChOCT4sg2Report"/>
      <sheetName val="Passage#s200113_C6"/>
      <sheetName val="Passage#s200120_B9"/>
      <sheetName val="Passage#s2020220_A7"/>
      <sheetName val="Passage#s20200220_C6"/>
      <sheetName val="Passage#s200220_C10"/>
      <sheetName val="AllClonesIist"/>
      <sheetName val="ClonesSummaries"/>
      <sheetName val="Notes"/>
    </sheetNames>
    <sheetDataSet>
      <sheetData sheetId="0"/>
      <sheetData sheetId="1">
        <row r="3">
          <cell r="N3">
            <v>44556</v>
          </cell>
        </row>
      </sheetData>
      <sheetData sheetId="2"/>
      <sheetData sheetId="3"/>
      <sheetData sheetId="4"/>
      <sheetData sheetId="5"/>
      <sheetData sheetId="6"/>
      <sheetData sheetId="7">
        <row r="1">
          <cell r="A1" t="str">
            <v>Activities</v>
          </cell>
        </row>
        <row r="2">
          <cell r="A2" t="str">
            <v>Transfect</v>
          </cell>
        </row>
        <row r="3">
          <cell r="A3" t="str">
            <v>Feed w Ri</v>
          </cell>
        </row>
        <row r="4">
          <cell r="A4" t="str">
            <v>Image</v>
          </cell>
        </row>
        <row r="5">
          <cell r="A5" t="str">
            <v>Passage</v>
          </cell>
        </row>
        <row r="6">
          <cell r="A6" t="str">
            <v>Sort</v>
          </cell>
        </row>
        <row r="7">
          <cell r="A7" t="str">
            <v>Freeze</v>
          </cell>
        </row>
        <row r="8">
          <cell r="A8" t="str">
            <v>Thaw</v>
          </cell>
        </row>
        <row r="9">
          <cell r="A9" t="str">
            <v>Extract DNA</v>
          </cell>
        </row>
        <row r="10">
          <cell r="A10" t="str">
            <v>Feed w mTeSR++Ri</v>
          </cell>
        </row>
        <row r="11">
          <cell r="A11" t="str">
            <v>Feed w mTeSr+</v>
          </cell>
        </row>
        <row r="12">
          <cell r="A12" t="str">
            <v>Discontinue</v>
          </cell>
        </row>
        <row r="13">
          <cell r="A13" t="str">
            <v>Send out for analysis</v>
          </cell>
        </row>
      </sheetData>
      <sheetData sheetId="8">
        <row r="1">
          <cell r="A1" t="str">
            <v>Cell Sample Names</v>
          </cell>
        </row>
        <row r="2">
          <cell r="A2" t="str">
            <v>20200120mChOCT4sg2_B9U_Sort3</v>
          </cell>
        </row>
        <row r="3">
          <cell r="A3" t="str">
            <v>20200220mChOCT4sg2_C6_Sort4</v>
          </cell>
        </row>
        <row r="4">
          <cell r="A4" t="str">
            <v>20200220mChOCT4sg2_C10_Sort4</v>
          </cell>
        </row>
        <row r="5">
          <cell r="A5" t="str">
            <v>20200220mChOCT4sg2_C10_Sort3</v>
          </cell>
        </row>
        <row r="6">
          <cell r="A6" t="str">
            <v>20200113mChOCT4sg2_C6_Sort7</v>
          </cell>
        </row>
        <row r="7">
          <cell r="A7" t="str">
            <v>20200220mChOCT4sg2_A7a_Sort3</v>
          </cell>
        </row>
        <row r="8">
          <cell r="A8" t="str">
            <v>20200220mChOCT4sg2_A7b_Sort3</v>
          </cell>
        </row>
        <row r="9">
          <cell r="A9" t="str">
            <v>20200220mChOCT4sg2_C6_Sort3</v>
          </cell>
        </row>
        <row r="10">
          <cell r="A10" t="str">
            <v>20200113mChOCT4sg2_C7_Sort5</v>
          </cell>
        </row>
        <row r="11">
          <cell r="A11" t="str">
            <v>20200113mChOCT4sg2_C6_Sort6</v>
          </cell>
        </row>
        <row r="12">
          <cell r="A12" t="str">
            <v>20200220mChOCT4sg2_A7_Sort2</v>
          </cell>
        </row>
        <row r="13">
          <cell r="A13" t="str">
            <v>20200220mChOCT4sg2_C10_Sort2</v>
          </cell>
        </row>
        <row r="14">
          <cell r="A14" t="str">
            <v>20200220mChOCT4sg2_C6_Sort2</v>
          </cell>
        </row>
        <row r="15">
          <cell r="A15" t="str">
            <v>20200113mChOCT4sg2_C6_Sort5</v>
          </cell>
        </row>
        <row r="16">
          <cell r="A16" t="str">
            <v>20200113mChOCT4sg2_C7_Sort4</v>
          </cell>
        </row>
        <row r="17">
          <cell r="A17" t="str">
            <v>20200113mChOCT4sg2_C6_Sort4</v>
          </cell>
        </row>
        <row r="18">
          <cell r="A18" t="str">
            <v>20200113mChOCT4sg2_C7_Sort3</v>
          </cell>
        </row>
        <row r="19">
          <cell r="A19" t="str">
            <v>20200113mChOCT4sg2_C6_Sort3</v>
          </cell>
        </row>
        <row r="20">
          <cell r="A20" t="str">
            <v>20200120mChOCT4sg2_B9U_Sort2</v>
          </cell>
        </row>
        <row r="21">
          <cell r="A21" t="str">
            <v>20200120mChOCT4sg2_B9U</v>
          </cell>
        </row>
        <row r="22">
          <cell r="A22" t="str">
            <v>20200220mChOCT4sg2_A7_Sort1</v>
          </cell>
        </row>
        <row r="23">
          <cell r="A23" t="str">
            <v>20200220mChOCT4sg2_C6_Sort1</v>
          </cell>
        </row>
        <row r="24">
          <cell r="A24" t="str">
            <v>20200220mChOCT4sg2_C9_Sort1</v>
          </cell>
        </row>
        <row r="25">
          <cell r="A25" t="str">
            <v>20200220mChOCT4sg2_C10_Sort1</v>
          </cell>
        </row>
        <row r="26">
          <cell r="A26" t="str">
            <v>20200220mChOCT4sg2_D8_Sort1</v>
          </cell>
        </row>
        <row r="27">
          <cell r="A27" t="str">
            <v>20200220mChOCT4sg2_D8</v>
          </cell>
        </row>
        <row r="28">
          <cell r="A28" t="str">
            <v>20200220mChOCT4sg2_C10</v>
          </cell>
        </row>
        <row r="29">
          <cell r="A29" t="str">
            <v>20200220mChOCT4sg2_C9</v>
          </cell>
        </row>
        <row r="30">
          <cell r="A30" t="str">
            <v>20200220mChOCT4sg2_C6</v>
          </cell>
        </row>
        <row r="31">
          <cell r="A31" t="str">
            <v>20200220mChOCT4sg2_A7</v>
          </cell>
        </row>
        <row r="32">
          <cell r="A32" t="str">
            <v>20200120mChOCT4sg2_C11_Sort2</v>
          </cell>
        </row>
        <row r="33">
          <cell r="A33" t="str">
            <v>20200120mChOCT4sg2_B9_Sort2</v>
          </cell>
        </row>
        <row r="34">
          <cell r="A34" t="str">
            <v>20200120mChOCT4sg2_B9 Ultrasort</v>
          </cell>
        </row>
        <row r="35">
          <cell r="A35" t="str">
            <v>20200120mChOCT4sg2_B9_Sort1</v>
          </cell>
        </row>
        <row r="36">
          <cell r="A36" t="str">
            <v>20200120mChOCT4sg2_C11_Sort1</v>
          </cell>
        </row>
        <row r="37">
          <cell r="A37" t="str">
            <v>20200120mChOCT4sg2_D2_Sort1</v>
          </cell>
        </row>
        <row r="38">
          <cell r="A38" t="str">
            <v>20200120mChOCT4sg2_E6_Sort1</v>
          </cell>
        </row>
        <row r="39">
          <cell r="A39" t="str">
            <v>20200120mChOCT4sg2_E6</v>
          </cell>
        </row>
        <row r="40">
          <cell r="A40" t="str">
            <v>20200120mChOCT4sg2_D2</v>
          </cell>
        </row>
        <row r="41">
          <cell r="A41" t="str">
            <v>20200120mChOCT4sg2_C11</v>
          </cell>
        </row>
        <row r="42">
          <cell r="A42" t="str">
            <v>20200120mChOCT4sg2_B9</v>
          </cell>
        </row>
        <row r="43">
          <cell r="A43" t="str">
            <v>20200113mChOCT4sg2_B8_Sort2</v>
          </cell>
        </row>
        <row r="44">
          <cell r="A44" t="str">
            <v>20200113mChOCT4sg2_B9_Sort2</v>
          </cell>
        </row>
        <row r="45">
          <cell r="A45" t="str">
            <v>20200113mChOCT4sg2_C6_Sort2</v>
          </cell>
        </row>
        <row r="46">
          <cell r="A46" t="str">
            <v>20200113mChOCT4sg2_C11_Sort1</v>
          </cell>
        </row>
        <row r="47">
          <cell r="A47" t="str">
            <v>20200113mChOCT4sg2_C11</v>
          </cell>
        </row>
        <row r="48">
          <cell r="A48" t="str">
            <v>20200113mChOCT4sg2_B8_Sort1</v>
          </cell>
        </row>
        <row r="49">
          <cell r="A49" t="str">
            <v>20200113mChOCT4sg2_B9_Sort1</v>
          </cell>
        </row>
        <row r="50">
          <cell r="A50" t="str">
            <v>20200113mChOCT4sg2_C6_Sort1</v>
          </cell>
        </row>
        <row r="51">
          <cell r="A51" t="str">
            <v>20200113mChOCT4sg2_C7_Sort2</v>
          </cell>
        </row>
        <row r="52">
          <cell r="A52" t="str">
            <v>20200113mChOCT4sg2_C7_Sort1</v>
          </cell>
        </row>
        <row r="53">
          <cell r="A53" t="str">
            <v>20200113mChOCT4sg2_C7</v>
          </cell>
        </row>
        <row r="54">
          <cell r="A54" t="str">
            <v>20200113mChOCT4sg2_C9</v>
          </cell>
        </row>
        <row r="55">
          <cell r="A55" t="str">
            <v>20200113mChOCT4sg2_C6</v>
          </cell>
        </row>
        <row r="56">
          <cell r="A56" t="str">
            <v>20200113mChOCT4sg2_B9</v>
          </cell>
        </row>
        <row r="57">
          <cell r="A57" t="str">
            <v>20200113mChOCT4sg2_B8</v>
          </cell>
        </row>
        <row r="58">
          <cell r="A58" t="str">
            <v>20200113mChOCT4sg2</v>
          </cell>
        </row>
        <row r="59">
          <cell r="A59" t="str">
            <v>20200220mChOCT4sg2</v>
          </cell>
        </row>
        <row r="60">
          <cell r="A60" t="str">
            <v>20200120mChOCT4sg2</v>
          </cell>
        </row>
        <row r="61">
          <cell r="A61" t="str">
            <v>WTC11</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criteria"/>
      <sheetName val="20190723LamB1_OCT4sg2_CA-137"/>
      <sheetName val="20190723LamB1_OCT4sg2_CB-150"/>
      <sheetName val="20190723LamB1_OCT4sg2_CD-118"/>
      <sheetName val="20190723LamB1_OCT4sg2_CM-113"/>
      <sheetName val="20190723LamB1_OCT4sg2_DC-100"/>
      <sheetName val="20190723LamB1_OCT4sg3_CA-137"/>
      <sheetName val="20190723LamB1_OCT4sg3_CB-150"/>
      <sheetName val="20190723LamB1_OCT4sg3_CD118"/>
      <sheetName val="20190723LamB1_OCT4sg3_CM-113"/>
      <sheetName val="20190723LamB1_OCT4sg3_DC-100"/>
      <sheetName val="20190808WTC11_gfpOCT4sg2_CB-150"/>
      <sheetName val="20190809WTC11_gfpOCT4sg2_CB-150"/>
      <sheetName val="20190816LamB1_OCT4sg2_CB-150-A"/>
      <sheetName val="20190816LamB1_OCT4sg2_CB-150-B"/>
      <sheetName val="20190816LamB1_OCT4sg2_CB-150-C"/>
      <sheetName val="20190816LamB1_OCT4sg2_CB-150-D"/>
      <sheetName val="20190917WTC11_gfpOCT4sg2_CB-150"/>
      <sheetName val="20190917WTC11_mChOCT4sg2_CB-150"/>
      <sheetName val="20190930_mCherry_OCT4sg2_LamB1 "/>
      <sheetName val="20191113LamB1_mChOCT4sg2_CB-150"/>
      <sheetName val="20191127LamB1_mChOCT4sg2_CB-150"/>
      <sheetName val="20191211WTC11_mChOCT4sg2_CB-150"/>
      <sheetName val="20200108WTC11_mChOCT4sg2_CB-150"/>
      <sheetName val="BAD20200120_m-Cherry_OCT4sg2"/>
      <sheetName val="20200120_m-Cherry_OCT4sg2_WTC11"/>
      <sheetName val="20200220_m-Cherry_OCT4sg2_WTC11"/>
      <sheetName val="20200318_eGFP_SOX2sg3x2_WTC11"/>
      <sheetName val="Calendar"/>
      <sheetName val="DataValidationforCalendar"/>
      <sheetName val="NameUpdate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C5FDDD1-AC80-447F-AF1B-7334E40E14EE}" name="Table6" displayName="Table6" ref="A1:J2" insertRow="1" totalsRowShown="0" headerRowDxfId="16" dataDxfId="15">
  <sortState xmlns:xlrd2="http://schemas.microsoft.com/office/spreadsheetml/2017/richdata2" ref="A2:J2">
    <sortCondition ref="A2"/>
  </sortState>
  <tableColumns count="10">
    <tableColumn id="1" xr3:uid="{C236854D-59C1-4390-80A0-524D22DAA7D6}" name="Date" dataDxfId="14"/>
    <tableColumn id="2" xr3:uid="{B743EC38-E654-4EC9-9C8B-AD13E38D21A5}" name="Row" dataDxfId="13"/>
    <tableColumn id="3" xr3:uid="{DD66B37B-528E-4573-B5AA-AAF7760B0CCE}" name="Cell Sample Name" dataDxfId="12"/>
    <tableColumn id="4" xr3:uid="{F9B78A6C-5644-4CE9-B9DA-5139AA8D3A63}" name="Activity" dataDxfId="11"/>
    <tableColumn id="5" xr3:uid="{C7AA0082-7895-4B5F-BA6E-8AC51857592E}" name="#" dataDxfId="10"/>
    <tableColumn id="6" xr3:uid="{3ACAEF67-C9B2-4288-93EE-727A4FEFFA52}" name="Plate" dataDxfId="9"/>
    <tableColumn id="7" xr3:uid="{D36AA107-0D90-414D-BF96-D4C5F639BB9B}" name="Notes" dataDxfId="8"/>
    <tableColumn id="8" xr3:uid="{1A6F23A2-F5DC-485A-9CF5-0955B8A1819E}" name="Activity ID" dataDxfId="7"/>
    <tableColumn id="9" xr3:uid="{0F1E8EAA-BC63-4B2B-8F5F-7B48026E0E7B}" name="Username" dataDxfId="6"/>
    <tableColumn id="10" xr3:uid="{1F90DA5A-ABA0-4F58-A3C4-DE3CEC925B45}" name="Computer Name" dataDxfId="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1F2868-E760-418D-B203-1B56773CCE91}" name="Table1" displayName="Table1" ref="A1:A9" totalsRowShown="0">
  <autoFilter ref="A1:A9" xr:uid="{5E38AC27-4E34-4B45-A2B6-FA5D614645C6}"/>
  <tableColumns count="1">
    <tableColumn id="1" xr3:uid="{C6794A47-F93D-480A-84CD-1A3C74052572}" name="Operator"/>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C68470F-4228-4028-B282-7E08711AC97E}" name="Table2" displayName="Table2" ref="B1:B7" totalsRowShown="0">
  <autoFilter ref="B1:B7" xr:uid="{2012D3BB-6984-49A5-8419-C27BD1722D8B}"/>
  <tableColumns count="1">
    <tableColumn id="1" xr3:uid="{FFC03CDA-04E1-4869-B9C3-83EC89DF42C1}" name="Instrum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FA7CC8-817A-4126-A969-11EF12B1071B}" name="Table3" displayName="Table3" ref="C1:C2" totalsRowShown="0">
  <autoFilter ref="C1:C2" xr:uid="{4AC79ED2-3AC6-48C2-8286-CFAD822ACEF0}"/>
  <tableColumns count="1">
    <tableColumn id="1" xr3:uid="{6A8B2334-6C38-421E-967D-82D7F09B595B}" name="CO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4D359E3-F0A4-43B6-A65D-259CD727168A}" name="Table4" displayName="Table4" ref="D1:L9" totalsRowShown="0">
  <autoFilter ref="D1:L9" xr:uid="{F3B0BA5F-5C12-4385-B656-9D7A554C4C8B}"/>
  <tableColumns count="9">
    <tableColumn id="1" xr3:uid="{87238751-CB09-4CBE-A9DD-5171BC1C4F96}" name="Cell type"/>
    <tableColumn id="3" xr3:uid="{C711551A-1C66-44B1-BE0A-A6C59A7AAC56}" name="Incubator chamber"/>
    <tableColumn id="4" xr3:uid="{4FEED2D5-8178-409F-846B-4D53E02D2886}" name="Cell Source"/>
    <tableColumn id="5" xr3:uid="{054AF1C9-02F4-47E8-8BCD-E8922D9B5AC5}" name="in-house genetic modification"/>
    <tableColumn id="6" xr3:uid="{ABBB7204-CA3A-4AAD-B203-31A1FC8FA409}" name="Culture medium"/>
    <tableColumn id="7" xr3:uid="{70C5E6D5-6667-42EB-99DA-CBFA6F95A9A8}" name="Culture matrix"/>
    <tableColumn id="8" xr3:uid="{3F24E1DD-0A1D-496A-B50E-2CC3153DB3CD}" name="plate type"/>
    <tableColumn id="9" xr3:uid="{6134E737-FF73-464A-98A6-D1D91C323B68}" name="Passage method"/>
    <tableColumn id="10" xr3:uid="{613E3065-01E0-4787-BB7E-70DD97851F2F}" name="Imaging mod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2D07BF-A88F-4191-B005-BFF4B77D9C27}" name="Table8" displayName="Table8" ref="A20:N27" totalsRowShown="0">
  <autoFilter ref="A20:N27" xr:uid="{E9126791-912F-47D5-8F75-1CDCF41841A0}"/>
  <tableColumns count="14">
    <tableColumn id="1" xr3:uid="{BAA658EA-E891-4AB5-ABD7-319A8E3C3D39}" name="Plasmid components" dataCellStyle="Hyperlink"/>
    <tableColumn id="2" xr3:uid="{471D29B8-6CB4-42BA-ACAF-16E034087F50}" name="Column1"/>
    <tableColumn id="3" xr3:uid="{6BDD8059-E1D0-48E9-94B6-17B7680B2D0C}" name="Genetarget"/>
    <tableColumn id="4" xr3:uid="{2051C07C-0FDE-4788-96E7-90F8BB1928AC}" name="Fluoresc Protein"/>
    <tableColumn id="5" xr3:uid="{9EADE290-77E1-4C6A-9228-A6799AD593E9}" name="cell source"/>
    <tableColumn id="6" xr3:uid="{BD24E763-7EED-45E9-BDD1-300D6E10A947}" name="transfectn method"/>
    <tableColumn id="7" xr3:uid="{8B760E3B-A7F8-4463-8682-37BD3B2710E6}" name="suspension media"/>
    <tableColumn id="8" xr3:uid="{36A25399-75EA-4A52-98D3-4611A815AE63}" name="Control transfections"/>
    <tableColumn id="9" xr3:uid="{0451569B-38F1-40FB-AD58-C097BDFB81E1}" name="other plasmid components"/>
    <tableColumn id="10" xr3:uid="{0AAEDDBF-F0BB-42E2-900E-3863AF1AA83D}" name="Source of plasmid material"/>
    <tableColumn id="11" xr3:uid="{2A6DCC03-2815-4A9B-B397-7103CA8B2EB4}" name="Source of gRNA"/>
    <tableColumn id="12" xr3:uid="{3CAB37DA-B496-43D0-8FEC-43D370E6E850}" name="Electro Buffer"/>
    <tableColumn id="13" xr3:uid="{E93815E4-E4A6-4014-B4F9-E99974EB4CCC}" name="Guide RNA"/>
    <tableColumn id="14" xr3:uid="{1ED03C4E-FAA9-47BC-A7B3-1C18192A686E}" name="sgRNASeq"/>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04F84B-FC9B-4F91-B52A-45F08E09E1E8}" name="Table5" displayName="Table5" ref="A33:E39" totalsRowShown="0">
  <tableColumns count="5">
    <tableColumn id="1" xr3:uid="{3B030E89-16A3-41B6-B183-06F634AD9206}" name="Electroporation Program"/>
    <tableColumn id="2" xr3:uid="{09E8C78A-271D-40D2-B91A-6DB268EA06FD}" name="Column1"/>
    <tableColumn id="3" xr3:uid="{FF47F590-2516-4BC2-A529-ED6AF740993F}" name="Column2"/>
    <tableColumn id="4" xr3:uid="{1EDEA831-F3E5-4AD5-976D-9C9F9293E6C9}" name="cell shipping method"/>
    <tableColumn id="5" xr3:uid="{C03304E1-7D0B-44EB-AE83-56631BC451CF}" name="transf vesse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usnistgov/cell-line-engineering/blob/master/README.docx" TargetMode="External"/><Relationship Id="rId1" Type="http://schemas.openxmlformats.org/officeDocument/2006/relationships/hyperlink" Target="https://github.com/usnistgov/cell-line-engineering"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table" Target="../tables/table2.xml"/><Relationship Id="rId13" Type="http://schemas.openxmlformats.org/officeDocument/2006/relationships/table" Target="../tables/table7.xml"/><Relationship Id="rId3" Type="http://schemas.openxmlformats.org/officeDocument/2006/relationships/hyperlink" Target="https://www.addgene.org/26821/" TargetMode="External"/><Relationship Id="rId7" Type="http://schemas.openxmlformats.org/officeDocument/2006/relationships/hyperlink" Target="file:///\\64404QNAP1\Data\EngineeredPluripotencyCellLines\Probes_Primers_Plasmids\Plasmids\pSOX2_GFP" TargetMode="External"/><Relationship Id="rId12" Type="http://schemas.openxmlformats.org/officeDocument/2006/relationships/table" Target="../tables/table6.xml"/><Relationship Id="rId2" Type="http://schemas.openxmlformats.org/officeDocument/2006/relationships/hyperlink" Target="https://www.addgene.org/89991/" TargetMode="External"/><Relationship Id="rId1" Type="http://schemas.openxmlformats.org/officeDocument/2006/relationships/hyperlink" Target="https://www.addgene.org/89992/" TargetMode="External"/><Relationship Id="rId6" Type="http://schemas.openxmlformats.org/officeDocument/2006/relationships/hyperlink" Target="file:///\\64404QNAP1\Data\EngineeredPluripotencyCellLines\Probes_Primers_Plasmids\Plasmids\pOCT4_mCh%20long5'HA" TargetMode="External"/><Relationship Id="rId11" Type="http://schemas.openxmlformats.org/officeDocument/2006/relationships/table" Target="../tables/table5.xml"/><Relationship Id="rId5" Type="http://schemas.openxmlformats.org/officeDocument/2006/relationships/hyperlink" Target="file:///\\64404QNAP1\Data\EngineeredPluripotencyCellLines\Probes_Primers_Plasmids\Plasmids\pSOX2_GFP%20long%203'HA" TargetMode="External"/><Relationship Id="rId10" Type="http://schemas.openxmlformats.org/officeDocument/2006/relationships/table" Target="../tables/table4.xml"/><Relationship Id="rId4" Type="http://schemas.openxmlformats.org/officeDocument/2006/relationships/hyperlink" Target="https://www.addgene.org/99608/" TargetMode="External"/><Relationship Id="rId9"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C546E-8C6F-4E0C-9B93-E7F668EDB326}">
  <sheetPr codeName="Documentation2"/>
  <dimension ref="A1:T45"/>
  <sheetViews>
    <sheetView tabSelected="1" workbookViewId="0">
      <selection activeCell="K2" sqref="K2"/>
    </sheetView>
  </sheetViews>
  <sheetFormatPr defaultRowHeight="14.25"/>
  <cols>
    <col min="1" max="1" width="9.06640625" style="8"/>
    <col min="2" max="2" width="11.9296875" style="8" customWidth="1"/>
    <col min="3" max="16384" width="9.06640625" style="8"/>
  </cols>
  <sheetData>
    <row r="1" spans="1:20">
      <c r="A1" s="8" t="s">
        <v>348</v>
      </c>
    </row>
    <row r="2" spans="1:20">
      <c r="A2" s="11" t="s">
        <v>297</v>
      </c>
      <c r="C2" s="219" t="s">
        <v>298</v>
      </c>
    </row>
    <row r="4" spans="1:20">
      <c r="A4" s="313" t="s">
        <v>299</v>
      </c>
      <c r="B4" s="314"/>
      <c r="C4" s="314"/>
      <c r="D4" s="314"/>
      <c r="E4" s="314"/>
      <c r="F4" s="314"/>
      <c r="G4" s="314"/>
      <c r="H4" s="314"/>
      <c r="I4" s="314"/>
      <c r="J4" s="314"/>
      <c r="K4" s="314"/>
      <c r="L4" s="314"/>
      <c r="M4" s="314"/>
      <c r="N4" s="314"/>
      <c r="O4" s="314"/>
      <c r="P4" s="314"/>
      <c r="Q4" s="314"/>
      <c r="R4" s="314"/>
      <c r="S4" s="314"/>
      <c r="T4" s="314"/>
    </row>
    <row r="5" spans="1:20">
      <c r="A5" s="314"/>
      <c r="B5" s="314"/>
      <c r="C5" s="314"/>
      <c r="D5" s="314"/>
      <c r="E5" s="314"/>
      <c r="F5" s="314"/>
      <c r="G5" s="314"/>
      <c r="H5" s="314"/>
      <c r="I5" s="314"/>
      <c r="J5" s="314"/>
      <c r="K5" s="314"/>
      <c r="L5" s="314"/>
      <c r="M5" s="314"/>
      <c r="N5" s="314"/>
      <c r="O5" s="314"/>
      <c r="P5" s="314"/>
      <c r="Q5" s="314"/>
      <c r="R5" s="314"/>
      <c r="S5" s="314"/>
      <c r="T5" s="314"/>
    </row>
    <row r="6" spans="1:20">
      <c r="A6" s="312"/>
      <c r="B6" s="314" t="s">
        <v>300</v>
      </c>
      <c r="C6" s="314"/>
      <c r="D6" s="314"/>
      <c r="E6" s="314"/>
      <c r="F6" s="314"/>
      <c r="G6" s="314"/>
      <c r="H6" s="314"/>
      <c r="I6" s="332" t="s">
        <v>339</v>
      </c>
      <c r="J6" s="314"/>
      <c r="K6" s="314"/>
      <c r="L6" s="314"/>
      <c r="M6" s="314"/>
      <c r="N6" s="314"/>
      <c r="O6" s="314"/>
      <c r="P6" s="314"/>
      <c r="Q6" s="314"/>
      <c r="R6" s="314"/>
      <c r="S6" s="314"/>
      <c r="T6" s="314"/>
    </row>
    <row r="7" spans="1:20">
      <c r="A7" s="314" t="s">
        <v>301</v>
      </c>
      <c r="B7" s="314"/>
      <c r="C7" s="314"/>
      <c r="D7" s="314"/>
      <c r="E7" s="314"/>
      <c r="F7" s="314"/>
      <c r="G7" s="314"/>
      <c r="H7" s="314"/>
      <c r="I7" s="332" t="s">
        <v>340</v>
      </c>
      <c r="J7" s="314"/>
      <c r="K7" s="314"/>
      <c r="L7" s="314"/>
      <c r="M7" s="314"/>
      <c r="N7" s="314"/>
      <c r="O7" s="314"/>
      <c r="P7" s="314"/>
      <c r="Q7" s="314"/>
      <c r="R7" s="314"/>
      <c r="S7" s="314"/>
      <c r="T7" s="314"/>
    </row>
    <row r="8" spans="1:20">
      <c r="A8" s="314"/>
      <c r="B8" s="314"/>
      <c r="C8" s="314"/>
      <c r="D8" s="314"/>
      <c r="E8" s="314"/>
      <c r="F8" s="314"/>
      <c r="G8" s="314"/>
      <c r="H8" s="314"/>
      <c r="I8" s="314"/>
      <c r="J8" s="314"/>
      <c r="K8" s="314"/>
      <c r="L8" s="314"/>
      <c r="M8" s="314"/>
      <c r="N8" s="314"/>
      <c r="O8" s="314"/>
      <c r="P8" s="314"/>
      <c r="Q8" s="314"/>
      <c r="R8" s="314"/>
      <c r="S8" s="314"/>
      <c r="T8" s="314"/>
    </row>
    <row r="9" spans="1:20">
      <c r="A9" s="314" t="s">
        <v>286</v>
      </c>
      <c r="B9" s="314"/>
      <c r="C9" s="314"/>
      <c r="D9" s="314" t="s">
        <v>282</v>
      </c>
      <c r="E9" s="314" t="s">
        <v>302</v>
      </c>
      <c r="F9" s="314"/>
      <c r="G9" s="314"/>
      <c r="H9" s="314" t="s">
        <v>283</v>
      </c>
      <c r="I9" s="314"/>
      <c r="J9" s="314"/>
      <c r="K9" s="314"/>
      <c r="L9" s="314"/>
      <c r="M9" s="314"/>
      <c r="N9" s="314"/>
      <c r="O9" s="314"/>
      <c r="P9" s="314"/>
      <c r="Q9" s="314"/>
      <c r="R9" s="314"/>
      <c r="S9" s="314"/>
      <c r="T9" s="314"/>
    </row>
    <row r="10" spans="1:20">
      <c r="A10" s="314" t="s">
        <v>287</v>
      </c>
      <c r="B10" s="314"/>
      <c r="C10" s="314"/>
      <c r="D10" s="314" t="s">
        <v>285</v>
      </c>
      <c r="E10" s="314" t="s">
        <v>295</v>
      </c>
      <c r="F10" s="314"/>
      <c r="G10" s="314"/>
      <c r="H10" s="314" t="s">
        <v>284</v>
      </c>
      <c r="I10" s="314"/>
      <c r="J10" s="314"/>
      <c r="K10" s="314"/>
      <c r="L10" s="314"/>
      <c r="M10" s="314"/>
      <c r="N10" s="314"/>
      <c r="O10" s="314"/>
      <c r="P10" s="314"/>
      <c r="Q10" s="314"/>
      <c r="R10" s="314"/>
      <c r="S10" s="314"/>
      <c r="T10" s="314"/>
    </row>
    <row r="11" spans="1:20">
      <c r="A11" s="314" t="s">
        <v>290</v>
      </c>
      <c r="B11" s="314"/>
      <c r="C11" s="314"/>
      <c r="D11" s="314" t="s">
        <v>289</v>
      </c>
      <c r="E11" s="314" t="s">
        <v>303</v>
      </c>
      <c r="F11" s="314"/>
      <c r="G11" s="314"/>
      <c r="H11" s="314" t="s">
        <v>288</v>
      </c>
      <c r="I11" s="314"/>
      <c r="J11" s="314"/>
      <c r="K11" s="314"/>
      <c r="L11" s="314"/>
      <c r="M11" s="314"/>
      <c r="N11" s="314"/>
      <c r="O11" s="314"/>
      <c r="P11" s="314"/>
      <c r="Q11" s="314"/>
      <c r="R11" s="314"/>
      <c r="S11" s="314"/>
      <c r="T11" s="314"/>
    </row>
    <row r="12" spans="1:20">
      <c r="A12" s="314" t="s">
        <v>293</v>
      </c>
      <c r="B12" s="314"/>
      <c r="C12" s="314"/>
      <c r="D12" s="314" t="s">
        <v>291</v>
      </c>
      <c r="E12" s="314" t="s">
        <v>294</v>
      </c>
      <c r="F12" s="314"/>
      <c r="G12" s="314"/>
      <c r="H12" s="314" t="s">
        <v>292</v>
      </c>
      <c r="I12" s="314"/>
      <c r="J12" s="314"/>
      <c r="K12" s="314"/>
      <c r="L12" s="314"/>
      <c r="M12" s="314"/>
      <c r="N12" s="314"/>
      <c r="O12" s="314"/>
      <c r="P12" s="314"/>
      <c r="Q12" s="314"/>
      <c r="R12" s="314"/>
      <c r="S12" s="314"/>
      <c r="T12" s="314"/>
    </row>
    <row r="13" spans="1:20">
      <c r="A13" s="314"/>
      <c r="B13" s="314"/>
      <c r="C13" s="314"/>
      <c r="D13" s="314"/>
      <c r="E13" s="314"/>
      <c r="F13" s="314"/>
      <c r="G13" s="314"/>
      <c r="H13" s="314"/>
      <c r="I13" s="314"/>
      <c r="J13" s="314"/>
      <c r="K13" s="314"/>
      <c r="L13" s="314"/>
      <c r="M13" s="314"/>
      <c r="N13" s="314"/>
      <c r="O13" s="314"/>
      <c r="P13" s="314"/>
      <c r="Q13" s="314"/>
      <c r="R13" s="314"/>
      <c r="S13" s="314"/>
      <c r="T13" s="314"/>
    </row>
    <row r="14" spans="1:20">
      <c r="A14" s="314" t="s">
        <v>304</v>
      </c>
      <c r="B14" s="314"/>
      <c r="C14" s="314"/>
      <c r="D14" s="314"/>
      <c r="E14" s="314"/>
      <c r="F14" s="314"/>
      <c r="G14" s="314"/>
      <c r="H14" s="314"/>
      <c r="I14" s="314"/>
      <c r="J14" s="314"/>
      <c r="K14" s="314"/>
      <c r="L14" s="314"/>
      <c r="M14" s="314"/>
      <c r="N14" s="314"/>
      <c r="O14" s="314"/>
      <c r="P14" s="314"/>
      <c r="Q14" s="314"/>
      <c r="R14" s="314"/>
      <c r="S14" s="314"/>
      <c r="T14" s="314"/>
    </row>
    <row r="15" spans="1:20">
      <c r="A15" s="314" t="s">
        <v>301</v>
      </c>
      <c r="B15" s="314"/>
      <c r="C15" s="314"/>
      <c r="D15" s="314"/>
      <c r="E15" s="314"/>
      <c r="F15" s="314"/>
      <c r="G15" s="314"/>
      <c r="H15" s="314"/>
      <c r="I15" s="314"/>
      <c r="J15" s="314"/>
      <c r="K15" s="314"/>
      <c r="L15" s="314"/>
      <c r="M15" s="314"/>
      <c r="N15" s="314"/>
      <c r="O15" s="314"/>
      <c r="P15" s="314"/>
      <c r="Q15" s="314"/>
      <c r="R15" s="314"/>
      <c r="S15" s="314"/>
      <c r="T15" s="314"/>
    </row>
    <row r="16" spans="1:20">
      <c r="A16" s="315" t="s">
        <v>305</v>
      </c>
      <c r="B16" s="314"/>
      <c r="C16" s="314"/>
      <c r="D16" s="314" t="s">
        <v>306</v>
      </c>
      <c r="E16" s="314" t="s">
        <v>302</v>
      </c>
      <c r="F16" s="314"/>
      <c r="G16" s="314"/>
      <c r="H16" s="316" t="s">
        <v>307</v>
      </c>
      <c r="I16" s="314"/>
      <c r="J16" s="314"/>
      <c r="K16" s="314"/>
      <c r="L16" s="314"/>
      <c r="M16" s="314"/>
      <c r="N16" s="314"/>
      <c r="O16" s="314"/>
      <c r="P16" s="314"/>
      <c r="Q16" s="314"/>
      <c r="R16" s="314"/>
      <c r="S16" s="314"/>
      <c r="T16" s="314"/>
    </row>
    <row r="17" spans="1:20">
      <c r="A17" s="315" t="s">
        <v>308</v>
      </c>
      <c r="B17" s="314"/>
      <c r="C17" s="314"/>
      <c r="D17" s="314" t="s">
        <v>309</v>
      </c>
      <c r="E17" s="314" t="s">
        <v>302</v>
      </c>
      <c r="F17" s="314"/>
      <c r="G17" s="314"/>
      <c r="H17" s="316" t="s">
        <v>310</v>
      </c>
      <c r="I17" s="314"/>
      <c r="J17" s="314"/>
      <c r="K17" s="314"/>
      <c r="L17" s="314"/>
      <c r="M17" s="314"/>
      <c r="N17" s="314"/>
      <c r="O17" s="314"/>
      <c r="P17" s="314"/>
      <c r="Q17" s="314"/>
      <c r="R17" s="314"/>
      <c r="S17" s="314"/>
      <c r="T17" s="314"/>
    </row>
    <row r="18" spans="1:20">
      <c r="A18" s="314"/>
      <c r="B18" s="314"/>
      <c r="C18" s="314"/>
      <c r="D18" s="314"/>
      <c r="E18" s="314"/>
      <c r="F18" s="314"/>
      <c r="G18" s="314"/>
      <c r="H18" s="314"/>
      <c r="I18" s="314"/>
      <c r="J18" s="314"/>
      <c r="K18" s="314"/>
      <c r="L18" s="314"/>
      <c r="M18" s="314"/>
      <c r="N18" s="314"/>
      <c r="O18" s="314"/>
      <c r="P18" s="314"/>
      <c r="Q18" s="314"/>
      <c r="R18" s="314"/>
      <c r="S18" s="314"/>
      <c r="T18" s="314"/>
    </row>
    <row r="19" spans="1:20">
      <c r="A19" s="332" t="s">
        <v>341</v>
      </c>
      <c r="B19" s="314"/>
      <c r="C19" s="314"/>
      <c r="D19" s="314"/>
      <c r="E19" s="314"/>
      <c r="F19" s="314"/>
      <c r="G19" s="314"/>
      <c r="H19" s="314"/>
      <c r="I19" s="314"/>
      <c r="J19" s="314"/>
      <c r="K19" s="314"/>
      <c r="L19" s="314"/>
      <c r="M19" s="314"/>
      <c r="N19" s="314"/>
      <c r="O19" s="314"/>
      <c r="P19" s="314"/>
      <c r="Q19" s="314"/>
      <c r="R19" s="314"/>
      <c r="S19" s="314"/>
      <c r="T19" s="314"/>
    </row>
    <row r="21" spans="1:20">
      <c r="A21" s="317" t="s">
        <v>342</v>
      </c>
      <c r="B21" s="317"/>
      <c r="C21" s="317"/>
      <c r="D21" s="317"/>
      <c r="E21" s="317"/>
      <c r="F21" s="317"/>
      <c r="G21" s="317"/>
      <c r="H21" s="317"/>
      <c r="I21" s="317"/>
      <c r="J21" s="317"/>
      <c r="K21" s="317"/>
      <c r="L21" s="317"/>
      <c r="M21" s="317"/>
      <c r="N21" s="317"/>
      <c r="O21" s="317"/>
      <c r="P21" s="317"/>
      <c r="Q21" s="317"/>
      <c r="R21" s="317"/>
      <c r="S21" s="317"/>
      <c r="T21" s="317"/>
    </row>
    <row r="22" spans="1:20">
      <c r="A22" s="317"/>
      <c r="B22" s="317" t="s">
        <v>343</v>
      </c>
      <c r="C22" s="317"/>
      <c r="D22" s="317"/>
      <c r="E22" s="317"/>
      <c r="F22" s="317"/>
      <c r="G22" s="317"/>
      <c r="H22" s="317"/>
      <c r="I22" s="317"/>
      <c r="J22" s="317"/>
      <c r="K22" s="317"/>
      <c r="L22" s="317"/>
      <c r="M22" s="317"/>
      <c r="N22" s="317"/>
      <c r="O22" s="317"/>
      <c r="P22" s="317"/>
      <c r="Q22" s="317"/>
      <c r="R22" s="317"/>
      <c r="S22" s="317"/>
      <c r="T22" s="317"/>
    </row>
    <row r="23" spans="1:20">
      <c r="A23" s="317"/>
      <c r="B23" s="317" t="s">
        <v>344</v>
      </c>
      <c r="C23" s="317"/>
      <c r="D23" s="317"/>
      <c r="E23" s="317"/>
      <c r="F23" s="317"/>
      <c r="G23" s="317"/>
      <c r="H23" s="317"/>
      <c r="I23" s="317"/>
      <c r="J23" s="317"/>
      <c r="K23" s="317"/>
      <c r="L23" s="317"/>
      <c r="M23" s="317"/>
      <c r="N23" s="317"/>
      <c r="O23" s="317"/>
      <c r="P23" s="317"/>
      <c r="Q23" s="317"/>
      <c r="R23" s="317"/>
      <c r="S23" s="317"/>
      <c r="T23" s="317"/>
    </row>
    <row r="24" spans="1:20">
      <c r="A24" s="317"/>
      <c r="B24" s="317" t="s">
        <v>345</v>
      </c>
      <c r="C24" s="317"/>
      <c r="D24" s="317"/>
      <c r="E24" s="317"/>
      <c r="F24" s="317"/>
      <c r="G24" s="317"/>
      <c r="H24" s="317"/>
      <c r="I24" s="317"/>
      <c r="J24" s="317"/>
      <c r="K24" s="317"/>
      <c r="L24" s="317"/>
      <c r="M24" s="317"/>
      <c r="N24" s="317"/>
      <c r="O24" s="317"/>
      <c r="P24" s="317"/>
      <c r="Q24" s="317"/>
      <c r="R24" s="317"/>
      <c r="S24" s="317"/>
      <c r="T24" s="317"/>
    </row>
    <row r="25" spans="1:20">
      <c r="A25" s="317"/>
      <c r="B25" s="317" t="s">
        <v>346</v>
      </c>
      <c r="C25" s="317"/>
      <c r="D25" s="317"/>
      <c r="E25" s="317"/>
      <c r="F25" s="317"/>
      <c r="G25" s="317"/>
      <c r="H25" s="317"/>
      <c r="I25" s="317"/>
      <c r="J25" s="317"/>
      <c r="K25" s="317"/>
      <c r="L25" s="317"/>
      <c r="M25" s="317"/>
      <c r="N25" s="317"/>
      <c r="O25" s="317"/>
      <c r="P25" s="317"/>
      <c r="Q25" s="317"/>
      <c r="R25" s="317"/>
      <c r="S25" s="317"/>
      <c r="T25" s="317"/>
    </row>
    <row r="26" spans="1:20">
      <c r="A26" s="317"/>
      <c r="B26" s="317" t="s">
        <v>347</v>
      </c>
      <c r="C26" s="317"/>
      <c r="D26" s="317"/>
      <c r="E26" s="317"/>
      <c r="F26" s="317"/>
      <c r="G26" s="317"/>
      <c r="H26" s="317"/>
      <c r="I26" s="317"/>
      <c r="J26" s="317"/>
      <c r="K26" s="317"/>
      <c r="L26" s="317"/>
      <c r="M26" s="317"/>
      <c r="N26" s="317"/>
      <c r="O26" s="317"/>
      <c r="P26" s="317"/>
      <c r="Q26" s="317"/>
      <c r="R26" s="317"/>
      <c r="S26" s="317"/>
      <c r="T26" s="317"/>
    </row>
    <row r="27" spans="1:20">
      <c r="A27" s="317"/>
      <c r="B27" s="317"/>
      <c r="C27" s="317"/>
      <c r="D27" s="317"/>
      <c r="E27" s="317"/>
      <c r="F27" s="317"/>
      <c r="G27" s="317"/>
      <c r="H27" s="317"/>
      <c r="I27" s="317"/>
      <c r="J27" s="317"/>
      <c r="K27" s="317"/>
      <c r="L27" s="317"/>
      <c r="M27" s="317"/>
      <c r="N27" s="317"/>
      <c r="O27" s="317"/>
      <c r="P27" s="317"/>
      <c r="Q27" s="317"/>
      <c r="R27" s="317"/>
      <c r="S27" s="317"/>
      <c r="T27" s="317"/>
    </row>
    <row r="28" spans="1:20">
      <c r="A28" s="317" t="s">
        <v>311</v>
      </c>
      <c r="B28" s="317"/>
      <c r="C28" s="318" t="s">
        <v>312</v>
      </c>
      <c r="D28" s="317"/>
      <c r="E28" s="317"/>
      <c r="F28" s="317"/>
      <c r="G28" s="317"/>
      <c r="H28" s="318" t="s">
        <v>313</v>
      </c>
      <c r="I28" s="317"/>
      <c r="J28" s="317"/>
      <c r="K28" s="317"/>
      <c r="L28" s="317"/>
      <c r="M28" s="317"/>
      <c r="N28" s="317"/>
      <c r="O28" s="317"/>
      <c r="P28" s="317"/>
      <c r="Q28" s="317"/>
      <c r="R28" s="317"/>
    </row>
    <row r="29" spans="1:20">
      <c r="A29" s="317"/>
      <c r="B29" s="317"/>
      <c r="C29" s="318"/>
      <c r="D29" s="317"/>
      <c r="E29" s="317"/>
      <c r="F29" s="317"/>
      <c r="G29" s="317"/>
      <c r="H29" s="317"/>
      <c r="I29" s="317"/>
      <c r="J29" s="317"/>
      <c r="K29" s="317"/>
      <c r="L29" s="317"/>
      <c r="M29" s="317"/>
      <c r="N29" s="317"/>
      <c r="O29" s="317"/>
      <c r="P29" s="317"/>
      <c r="Q29" s="317"/>
      <c r="R29" s="317"/>
      <c r="S29" s="317"/>
      <c r="T29" s="317"/>
    </row>
    <row r="30" spans="1:20">
      <c r="C30" s="3"/>
    </row>
    <row r="32" spans="1:20">
      <c r="A32" s="319" t="s">
        <v>314</v>
      </c>
      <c r="B32" s="319"/>
      <c r="C32" s="319"/>
      <c r="D32" s="319"/>
      <c r="E32" s="319"/>
      <c r="F32" s="319"/>
      <c r="G32" s="319"/>
      <c r="H32" s="319"/>
      <c r="I32" s="319"/>
      <c r="J32" s="319"/>
      <c r="K32" s="319"/>
      <c r="L32" s="319"/>
      <c r="M32" s="319"/>
      <c r="N32" s="319"/>
      <c r="O32" s="319"/>
      <c r="P32" s="319"/>
      <c r="Q32" s="319"/>
      <c r="R32" s="319"/>
      <c r="S32" s="319"/>
      <c r="T32" s="319"/>
    </row>
    <row r="33" spans="1:20">
      <c r="A33" s="319"/>
      <c r="B33" s="319"/>
      <c r="C33" s="319"/>
      <c r="D33" s="319"/>
      <c r="E33" s="319"/>
      <c r="F33" s="319"/>
      <c r="G33" s="319"/>
      <c r="H33" s="319"/>
      <c r="I33" s="319"/>
      <c r="J33" s="319"/>
      <c r="K33" s="319"/>
      <c r="L33" s="319"/>
      <c r="M33" s="319"/>
      <c r="N33" s="319"/>
      <c r="O33" s="319"/>
      <c r="P33" s="319"/>
      <c r="Q33" s="319"/>
      <c r="R33" s="319"/>
      <c r="S33" s="319"/>
      <c r="T33" s="319"/>
    </row>
    <row r="34" spans="1:20">
      <c r="A34" s="319" t="s">
        <v>315</v>
      </c>
      <c r="B34" s="319"/>
      <c r="C34" s="319" t="s">
        <v>316</v>
      </c>
      <c r="D34" s="319"/>
      <c r="E34" s="319" t="s">
        <v>317</v>
      </c>
      <c r="F34" s="319"/>
      <c r="G34" s="319"/>
      <c r="H34" s="319"/>
      <c r="I34" s="319"/>
      <c r="J34" s="319"/>
      <c r="K34" s="319"/>
      <c r="L34" s="319"/>
      <c r="M34" s="319"/>
      <c r="N34" s="319"/>
      <c r="O34" s="319"/>
      <c r="P34" s="319"/>
      <c r="Q34" s="319"/>
      <c r="R34" s="319"/>
      <c r="S34" s="319"/>
      <c r="T34" s="319"/>
    </row>
    <row r="35" spans="1:20">
      <c r="A35" s="320" t="s">
        <v>318</v>
      </c>
      <c r="B35" s="321"/>
      <c r="C35" s="322" t="s">
        <v>318</v>
      </c>
      <c r="D35" s="321"/>
      <c r="E35" s="323" t="s">
        <v>319</v>
      </c>
      <c r="F35" s="321"/>
      <c r="G35" s="321"/>
      <c r="H35" s="319"/>
      <c r="I35" s="319"/>
      <c r="J35" s="319"/>
      <c r="K35" s="319"/>
      <c r="L35" s="319"/>
      <c r="M35" s="319"/>
      <c r="N35" s="319"/>
      <c r="O35" s="319"/>
      <c r="P35" s="319"/>
      <c r="Q35" s="319"/>
      <c r="R35" s="319"/>
      <c r="S35" s="319"/>
      <c r="T35" s="319"/>
    </row>
    <row r="36" spans="1:20">
      <c r="A36" s="324"/>
      <c r="B36" s="319"/>
      <c r="C36" s="325"/>
      <c r="D36" s="319"/>
      <c r="E36" s="325"/>
      <c r="F36" s="319"/>
      <c r="G36" s="319"/>
      <c r="H36" s="319"/>
      <c r="I36" s="319"/>
      <c r="J36" s="319"/>
      <c r="K36" s="319"/>
      <c r="L36" s="319"/>
      <c r="M36" s="319"/>
      <c r="N36" s="319"/>
      <c r="O36" s="319"/>
      <c r="P36" s="319"/>
      <c r="Q36" s="319"/>
      <c r="R36" s="319"/>
      <c r="S36" s="319"/>
      <c r="T36" s="319"/>
    </row>
    <row r="37" spans="1:20">
      <c r="A37" s="326" t="s">
        <v>320</v>
      </c>
      <c r="B37" s="327"/>
      <c r="C37" s="328" t="s">
        <v>321</v>
      </c>
      <c r="D37" s="327"/>
      <c r="E37" s="328" t="s">
        <v>322</v>
      </c>
      <c r="F37" s="327"/>
      <c r="G37" s="327"/>
      <c r="H37" s="327"/>
      <c r="I37" s="327"/>
      <c r="J37" s="319"/>
      <c r="K37" s="319"/>
      <c r="L37" s="319"/>
      <c r="M37" s="319"/>
      <c r="N37" s="319"/>
      <c r="O37" s="319"/>
      <c r="P37" s="319"/>
      <c r="Q37" s="319"/>
      <c r="R37" s="319"/>
      <c r="S37" s="319"/>
      <c r="T37" s="319"/>
    </row>
    <row r="38" spans="1:20">
      <c r="A38" s="324" t="s">
        <v>323</v>
      </c>
      <c r="B38" s="319"/>
      <c r="C38" s="325" t="s">
        <v>324</v>
      </c>
      <c r="D38" s="319"/>
      <c r="E38" s="325" t="s">
        <v>325</v>
      </c>
      <c r="F38" s="319"/>
      <c r="G38" s="319"/>
      <c r="H38" s="319"/>
      <c r="I38" s="319"/>
      <c r="J38" s="319"/>
      <c r="K38" s="319"/>
      <c r="L38" s="319"/>
      <c r="M38" s="319"/>
      <c r="N38" s="319"/>
      <c r="O38" s="319"/>
      <c r="P38" s="319"/>
      <c r="Q38" s="319"/>
      <c r="R38" s="319"/>
      <c r="S38" s="319"/>
      <c r="T38" s="319"/>
    </row>
    <row r="39" spans="1:20">
      <c r="A39" s="324"/>
      <c r="B39" s="319"/>
      <c r="C39" s="325"/>
      <c r="D39" s="319"/>
      <c r="E39" s="325"/>
      <c r="F39" s="319"/>
      <c r="G39" s="319"/>
      <c r="H39" s="319"/>
      <c r="I39" s="319"/>
      <c r="J39" s="319"/>
      <c r="K39" s="319"/>
      <c r="L39" s="319"/>
      <c r="M39" s="319"/>
      <c r="N39" s="319"/>
      <c r="O39" s="319"/>
      <c r="P39" s="319"/>
      <c r="Q39" s="319"/>
      <c r="R39" s="319"/>
      <c r="S39" s="319"/>
      <c r="T39" s="319"/>
    </row>
    <row r="40" spans="1:20">
      <c r="A40" s="326" t="s">
        <v>326</v>
      </c>
      <c r="B40" s="327"/>
      <c r="C40" s="328" t="s">
        <v>327</v>
      </c>
      <c r="D40" s="327"/>
      <c r="E40" s="328" t="s">
        <v>328</v>
      </c>
      <c r="F40" s="327"/>
      <c r="G40" s="327"/>
      <c r="H40" s="327"/>
      <c r="I40" s="327"/>
      <c r="J40" s="319"/>
      <c r="K40" s="319"/>
      <c r="L40" s="319"/>
      <c r="M40" s="319"/>
      <c r="N40" s="319"/>
      <c r="O40" s="319"/>
      <c r="P40" s="319"/>
      <c r="Q40" s="319"/>
      <c r="R40" s="319"/>
      <c r="S40" s="319"/>
      <c r="T40" s="319"/>
    </row>
    <row r="41" spans="1:20">
      <c r="A41" s="324" t="s">
        <v>329</v>
      </c>
      <c r="B41" s="319"/>
      <c r="C41" s="325" t="s">
        <v>330</v>
      </c>
      <c r="D41" s="319"/>
      <c r="E41" s="325" t="s">
        <v>331</v>
      </c>
      <c r="F41" s="319"/>
      <c r="G41" s="319"/>
      <c r="H41" s="319"/>
      <c r="I41" s="319"/>
      <c r="J41" s="319"/>
      <c r="K41" s="319"/>
      <c r="L41" s="319"/>
      <c r="M41" s="319"/>
      <c r="N41" s="319"/>
      <c r="O41" s="319"/>
      <c r="P41" s="319"/>
      <c r="Q41" s="319"/>
      <c r="R41" s="319"/>
      <c r="S41" s="319"/>
      <c r="T41" s="319"/>
    </row>
    <row r="42" spans="1:20">
      <c r="A42" s="324" t="s">
        <v>332</v>
      </c>
      <c r="B42" s="319"/>
      <c r="C42" s="325" t="s">
        <v>327</v>
      </c>
      <c r="D42" s="319"/>
      <c r="E42" s="325" t="s">
        <v>333</v>
      </c>
      <c r="F42" s="319"/>
      <c r="G42" s="319"/>
      <c r="H42" s="319"/>
      <c r="I42" s="319"/>
      <c r="J42" s="319"/>
      <c r="K42" s="319"/>
      <c r="L42" s="319"/>
      <c r="M42" s="319"/>
      <c r="N42" s="319"/>
      <c r="O42" s="319"/>
      <c r="P42" s="319"/>
      <c r="Q42" s="319"/>
      <c r="R42" s="319"/>
      <c r="S42" s="319"/>
      <c r="T42" s="319"/>
    </row>
    <row r="43" spans="1:20">
      <c r="A43" s="329" t="s">
        <v>334</v>
      </c>
      <c r="B43" s="330"/>
      <c r="C43" s="331" t="s">
        <v>330</v>
      </c>
      <c r="D43" s="330"/>
      <c r="E43" s="331" t="s">
        <v>335</v>
      </c>
      <c r="F43" s="330"/>
      <c r="G43" s="330"/>
      <c r="H43" s="330"/>
      <c r="I43" s="330"/>
      <c r="J43" s="319"/>
      <c r="K43" s="319"/>
      <c r="L43" s="319"/>
      <c r="M43" s="319"/>
      <c r="N43" s="319"/>
      <c r="O43" s="319"/>
      <c r="P43" s="319"/>
      <c r="Q43" s="319"/>
      <c r="R43" s="319"/>
      <c r="S43" s="319"/>
      <c r="T43" s="319"/>
    </row>
    <row r="44" spans="1:20">
      <c r="A44" s="324"/>
      <c r="B44" s="319"/>
      <c r="C44" s="325"/>
      <c r="D44" s="319"/>
      <c r="E44" s="325"/>
      <c r="F44" s="319"/>
      <c r="G44" s="319"/>
      <c r="H44" s="319"/>
      <c r="I44" s="319"/>
      <c r="J44" s="319"/>
      <c r="K44" s="319"/>
      <c r="L44" s="319"/>
      <c r="M44" s="319"/>
      <c r="N44" s="319"/>
      <c r="O44" s="319"/>
      <c r="P44" s="319"/>
      <c r="Q44" s="319"/>
      <c r="R44" s="319"/>
      <c r="S44" s="319"/>
      <c r="T44" s="319"/>
    </row>
    <row r="45" spans="1:20">
      <c r="A45" s="319"/>
      <c r="B45" s="319"/>
      <c r="C45" s="325"/>
      <c r="D45" s="319"/>
      <c r="E45" s="325"/>
      <c r="F45" s="319"/>
      <c r="G45" s="319"/>
      <c r="H45" s="319"/>
      <c r="I45" s="319"/>
      <c r="J45" s="319"/>
      <c r="K45" s="319"/>
      <c r="L45" s="319"/>
      <c r="M45" s="319"/>
      <c r="N45" s="319"/>
      <c r="O45" s="319"/>
      <c r="P45" s="319"/>
      <c r="Q45" s="319"/>
      <c r="R45" s="319"/>
      <c r="S45" s="319"/>
      <c r="T45" s="319"/>
    </row>
  </sheetData>
  <hyperlinks>
    <hyperlink ref="C28" r:id="rId1" xr:uid="{A0E2CF14-80FA-4375-B628-7537DA982C7A}"/>
    <hyperlink ref="H28" r:id="rId2" tooltip="README.docx" display="https://github.com/usnistgov/cell-line-engineering/blob/master/README.docx" xr:uid="{0B65DAFF-7515-47AC-918F-116BC8390B2C}"/>
  </hyperlinks>
  <pageMargins left="0.7" right="0.7" top="0.75" bottom="0.75" header="0.3" footer="0.3"/>
  <pageSetup orientation="portrait" verticalDpi="300"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79EC-9C5E-4A0F-894B-E0D47B438D36}">
  <sheetPr codeName="WSCalendar"/>
  <dimension ref="A1:S141"/>
  <sheetViews>
    <sheetView showGridLines="0" zoomScale="68" zoomScaleNormal="68" workbookViewId="0">
      <pane ySplit="2" topLeftCell="A36" activePane="bottomLeft" state="frozen"/>
      <selection pane="bottomLeft" activeCell="B67" sqref="B67"/>
    </sheetView>
  </sheetViews>
  <sheetFormatPr defaultColWidth="9.19921875" defaultRowHeight="11.65"/>
  <cols>
    <col min="1" max="1" width="2.796875" style="227" customWidth="1"/>
    <col min="2" max="2" width="28.73046875" style="228" customWidth="1"/>
    <col min="3" max="3" width="12.796875" style="228" customWidth="1"/>
    <col min="4" max="5" width="5.796875" style="228" customWidth="1"/>
    <col min="6" max="6" width="22.796875" style="243" customWidth="1"/>
    <col min="7" max="7" width="2.796875" style="229" customWidth="1"/>
    <col min="8" max="8" width="28.73046875" style="228" customWidth="1"/>
    <col min="9" max="9" width="12.796875" style="228" customWidth="1"/>
    <col min="10" max="11" width="5.796875" style="228" customWidth="1"/>
    <col min="12" max="12" width="22.796875" style="243" customWidth="1"/>
    <col min="13" max="13" width="2.796875" style="229" customWidth="1"/>
    <col min="14" max="14" width="28.73046875" style="228" customWidth="1"/>
    <col min="15" max="15" width="12.796875" style="228" customWidth="1"/>
    <col min="16" max="17" width="5.796875" style="228" customWidth="1"/>
    <col min="18" max="18" width="22.796875" style="243" customWidth="1"/>
    <col min="19" max="19" width="2.796875" style="229" customWidth="1"/>
    <col min="20" max="20" width="20.796875" style="228" customWidth="1"/>
    <col min="21" max="21" width="27.796875" style="228" bestFit="1" customWidth="1"/>
    <col min="22" max="22" width="2.53125" style="228" bestFit="1" customWidth="1"/>
    <col min="23" max="23" width="7.46484375" style="228" bestFit="1" customWidth="1"/>
    <col min="24" max="25" width="4.796875" style="228" customWidth="1"/>
    <col min="26" max="26" width="20.796875" style="228" customWidth="1"/>
    <col min="27" max="16384" width="9.19921875" style="228"/>
  </cols>
  <sheetData>
    <row r="1" spans="1:19" ht="21" customHeight="1"/>
    <row r="2" spans="1:19" ht="15.75" customHeight="1" thickBot="1">
      <c r="D2" s="354" t="s">
        <v>219</v>
      </c>
      <c r="E2" s="354"/>
      <c r="F2" s="354"/>
      <c r="I2" s="230"/>
      <c r="J2" s="354" t="s">
        <v>219</v>
      </c>
      <c r="K2" s="354"/>
      <c r="L2" s="354"/>
      <c r="O2" s="230"/>
      <c r="P2" s="354" t="s">
        <v>219</v>
      </c>
      <c r="Q2" s="354"/>
      <c r="R2" s="354"/>
    </row>
    <row r="3" spans="1:19" ht="12" thickBot="1">
      <c r="B3" s="351">
        <f>H3-7</f>
        <v>44521</v>
      </c>
      <c r="C3" s="352"/>
      <c r="D3" s="352"/>
      <c r="E3" s="352"/>
      <c r="F3" s="353"/>
      <c r="H3" s="345">
        <f>StartDate-7</f>
        <v>44528</v>
      </c>
      <c r="I3" s="346"/>
      <c r="J3" s="346"/>
      <c r="K3" s="346"/>
      <c r="L3" s="347"/>
      <c r="N3" s="336">
        <v>44535</v>
      </c>
      <c r="O3" s="337"/>
      <c r="P3" s="337"/>
      <c r="Q3" s="337"/>
      <c r="R3" s="338"/>
    </row>
    <row r="4" spans="1:19" ht="12" thickBot="1">
      <c r="B4" s="231" t="s">
        <v>152</v>
      </c>
      <c r="C4" s="232" t="s">
        <v>143</v>
      </c>
      <c r="D4" s="232" t="s">
        <v>142</v>
      </c>
      <c r="E4" s="233" t="s">
        <v>150</v>
      </c>
      <c r="F4" s="234" t="s">
        <v>148</v>
      </c>
      <c r="H4" s="235" t="s">
        <v>152</v>
      </c>
      <c r="I4" s="236" t="s">
        <v>143</v>
      </c>
      <c r="J4" s="236" t="s">
        <v>142</v>
      </c>
      <c r="K4" s="237" t="s">
        <v>150</v>
      </c>
      <c r="L4" s="238" t="s">
        <v>148</v>
      </c>
      <c r="N4" s="239" t="s">
        <v>152</v>
      </c>
      <c r="O4" s="240" t="s">
        <v>143</v>
      </c>
      <c r="P4" s="240" t="s">
        <v>142</v>
      </c>
      <c r="Q4" s="241" t="s">
        <v>150</v>
      </c>
      <c r="R4" s="242" t="s">
        <v>148</v>
      </c>
    </row>
    <row r="5" spans="1:19" s="21" customFormat="1">
      <c r="A5" s="34"/>
      <c r="B5" s="19"/>
      <c r="C5" s="20"/>
      <c r="D5" s="20"/>
      <c r="E5" s="20"/>
      <c r="F5" s="244"/>
      <c r="G5" s="35"/>
      <c r="H5" s="19"/>
      <c r="I5" s="20"/>
      <c r="J5" s="20"/>
      <c r="K5" s="20"/>
      <c r="L5" s="244"/>
      <c r="M5" s="35"/>
      <c r="N5" s="19"/>
      <c r="O5" s="20"/>
      <c r="P5" s="20"/>
      <c r="Q5" s="20"/>
      <c r="R5" s="244"/>
      <c r="S5" s="35"/>
    </row>
    <row r="6" spans="1:19" s="21" customFormat="1">
      <c r="A6" s="34"/>
      <c r="B6" s="22"/>
      <c r="C6" s="23"/>
      <c r="D6" s="20"/>
      <c r="E6" s="20"/>
      <c r="F6" s="27"/>
      <c r="G6" s="35"/>
      <c r="H6" s="22"/>
      <c r="I6" s="23"/>
      <c r="J6" s="23"/>
      <c r="K6" s="23"/>
      <c r="L6" s="27"/>
      <c r="M6" s="35"/>
      <c r="N6" s="22"/>
      <c r="O6" s="23"/>
      <c r="P6" s="23"/>
      <c r="Q6" s="23"/>
      <c r="R6" s="27"/>
      <c r="S6" s="35"/>
    </row>
    <row r="7" spans="1:19" s="21" customFormat="1">
      <c r="A7" s="34"/>
      <c r="B7" s="24"/>
      <c r="C7" s="25"/>
      <c r="D7" s="20"/>
      <c r="E7" s="20"/>
      <c r="F7" s="245"/>
      <c r="G7" s="35"/>
      <c r="H7" s="24"/>
      <c r="I7" s="25"/>
      <c r="J7" s="25"/>
      <c r="K7" s="25"/>
      <c r="L7" s="245"/>
      <c r="M7" s="35"/>
      <c r="N7" s="24"/>
      <c r="O7" s="25"/>
      <c r="P7" s="25"/>
      <c r="Q7" s="25"/>
      <c r="R7" s="245"/>
      <c r="S7" s="35"/>
    </row>
    <row r="8" spans="1:19" s="21" customFormat="1">
      <c r="A8" s="34"/>
      <c r="B8" s="22"/>
      <c r="C8" s="23"/>
      <c r="D8" s="20"/>
      <c r="E8" s="20"/>
      <c r="F8" s="27"/>
      <c r="G8" s="35"/>
      <c r="H8" s="22"/>
      <c r="I8" s="23"/>
      <c r="J8" s="23"/>
      <c r="K8" s="23"/>
      <c r="L8" s="27"/>
      <c r="M8" s="35"/>
      <c r="N8" s="22"/>
      <c r="O8" s="23"/>
      <c r="P8" s="23"/>
      <c r="Q8" s="23"/>
      <c r="R8" s="245"/>
      <c r="S8" s="35"/>
    </row>
    <row r="9" spans="1:19" s="21" customFormat="1">
      <c r="A9" s="34"/>
      <c r="B9" s="24"/>
      <c r="C9" s="25"/>
      <c r="D9" s="25"/>
      <c r="E9" s="25"/>
      <c r="F9" s="245"/>
      <c r="G9" s="35"/>
      <c r="H9" s="24"/>
      <c r="I9" s="25"/>
      <c r="J9" s="25"/>
      <c r="K9" s="25"/>
      <c r="L9" s="245"/>
      <c r="M9" s="35"/>
      <c r="N9" s="24"/>
      <c r="O9" s="25"/>
      <c r="P9" s="25"/>
      <c r="Q9" s="25"/>
      <c r="R9" s="27"/>
      <c r="S9" s="35"/>
    </row>
    <row r="10" spans="1:19" s="21" customFormat="1">
      <c r="A10" s="34"/>
      <c r="B10" s="22"/>
      <c r="C10" s="23"/>
      <c r="D10" s="23"/>
      <c r="E10" s="23"/>
      <c r="F10" s="27"/>
      <c r="G10" s="35"/>
      <c r="H10" s="22"/>
      <c r="I10" s="23"/>
      <c r="J10" s="23"/>
      <c r="K10" s="23"/>
      <c r="L10" s="27"/>
      <c r="M10" s="35"/>
      <c r="N10" s="22"/>
      <c r="O10" s="23"/>
      <c r="P10" s="23"/>
      <c r="Q10" s="23"/>
      <c r="R10" s="27"/>
      <c r="S10" s="35"/>
    </row>
    <row r="11" spans="1:19" s="21" customFormat="1">
      <c r="A11" s="34"/>
      <c r="B11" s="24"/>
      <c r="C11" s="25"/>
      <c r="D11" s="25"/>
      <c r="E11" s="25"/>
      <c r="F11" s="245"/>
      <c r="G11" s="35"/>
      <c r="H11" s="24"/>
      <c r="I11" s="25"/>
      <c r="J11" s="25"/>
      <c r="K11" s="25"/>
      <c r="L11" s="245"/>
      <c r="M11" s="35"/>
      <c r="N11" s="24"/>
      <c r="O11" s="25"/>
      <c r="P11" s="25"/>
      <c r="Q11" s="25"/>
      <c r="R11" s="245"/>
      <c r="S11" s="35"/>
    </row>
    <row r="12" spans="1:19" s="21" customFormat="1">
      <c r="A12" s="34"/>
      <c r="B12" s="22"/>
      <c r="C12" s="23"/>
      <c r="D12" s="23"/>
      <c r="E12" s="23"/>
      <c r="F12" s="27"/>
      <c r="G12" s="35"/>
      <c r="H12" s="22"/>
      <c r="I12" s="23"/>
      <c r="J12" s="23"/>
      <c r="K12" s="23"/>
      <c r="L12" s="27"/>
      <c r="M12" s="35"/>
      <c r="N12" s="22"/>
      <c r="O12" s="23"/>
      <c r="P12" s="23"/>
      <c r="Q12" s="23"/>
      <c r="R12" s="27"/>
      <c r="S12" s="35"/>
    </row>
    <row r="13" spans="1:19" s="21" customFormat="1">
      <c r="A13" s="34"/>
      <c r="B13" s="24"/>
      <c r="C13" s="25"/>
      <c r="D13" s="25"/>
      <c r="E13" s="25"/>
      <c r="F13" s="245"/>
      <c r="G13" s="35"/>
      <c r="H13" s="24"/>
      <c r="I13" s="25"/>
      <c r="J13" s="25"/>
      <c r="K13" s="25"/>
      <c r="L13" s="245"/>
      <c r="M13" s="35"/>
      <c r="N13" s="24"/>
      <c r="O13" s="25"/>
      <c r="P13" s="25"/>
      <c r="Q13" s="25"/>
      <c r="R13" s="245"/>
      <c r="S13" s="35"/>
    </row>
    <row r="14" spans="1:19" s="21" customFormat="1">
      <c r="A14" s="34"/>
      <c r="B14" s="22"/>
      <c r="C14" s="23"/>
      <c r="D14" s="23"/>
      <c r="E14" s="23"/>
      <c r="F14" s="27"/>
      <c r="G14" s="35"/>
      <c r="H14" s="22"/>
      <c r="I14" s="23"/>
      <c r="J14" s="23"/>
      <c r="K14" s="23"/>
      <c r="L14" s="27"/>
      <c r="M14" s="35"/>
      <c r="N14" s="22"/>
      <c r="O14" s="23"/>
      <c r="P14" s="23"/>
      <c r="Q14" s="23"/>
      <c r="R14" s="27"/>
      <c r="S14" s="35"/>
    </row>
    <row r="15" spans="1:19" s="21" customFormat="1">
      <c r="A15" s="34"/>
      <c r="B15" s="24"/>
      <c r="C15" s="25"/>
      <c r="D15" s="25"/>
      <c r="E15" s="25"/>
      <c r="F15" s="245"/>
      <c r="G15" s="35"/>
      <c r="H15" s="24"/>
      <c r="I15" s="25"/>
      <c r="J15" s="25"/>
      <c r="K15" s="25"/>
      <c r="L15" s="245"/>
      <c r="M15" s="35"/>
      <c r="N15" s="24"/>
      <c r="O15" s="25"/>
      <c r="P15" s="25"/>
      <c r="Q15" s="25"/>
      <c r="R15" s="245"/>
      <c r="S15" s="35"/>
    </row>
    <row r="16" spans="1:19" s="21" customFormat="1">
      <c r="A16" s="34"/>
      <c r="B16" s="22"/>
      <c r="C16" s="23"/>
      <c r="D16" s="23"/>
      <c r="E16" s="23"/>
      <c r="F16" s="27"/>
      <c r="G16" s="35"/>
      <c r="H16" s="22"/>
      <c r="I16" s="23"/>
      <c r="J16" s="23"/>
      <c r="K16" s="23"/>
      <c r="L16" s="27"/>
      <c r="M16" s="35"/>
      <c r="N16" s="22"/>
      <c r="O16" s="23"/>
      <c r="P16" s="23"/>
      <c r="Q16" s="23"/>
      <c r="R16" s="27"/>
      <c r="S16" s="35"/>
    </row>
    <row r="17" spans="1:19" s="21" customFormat="1">
      <c r="A17" s="34"/>
      <c r="B17" s="24"/>
      <c r="C17" s="25"/>
      <c r="D17" s="25"/>
      <c r="E17" s="25"/>
      <c r="F17" s="245"/>
      <c r="G17" s="35"/>
      <c r="H17" s="24"/>
      <c r="I17" s="25"/>
      <c r="J17" s="25"/>
      <c r="K17" s="25"/>
      <c r="L17" s="245"/>
      <c r="M17" s="35"/>
      <c r="N17" s="24"/>
      <c r="O17" s="25"/>
      <c r="P17" s="25"/>
      <c r="Q17" s="25"/>
      <c r="R17" s="245"/>
      <c r="S17" s="35"/>
    </row>
    <row r="18" spans="1:19" s="21" customFormat="1">
      <c r="A18" s="34"/>
      <c r="B18" s="22"/>
      <c r="C18" s="26"/>
      <c r="D18" s="26"/>
      <c r="E18" s="26"/>
      <c r="F18" s="27"/>
      <c r="G18" s="35"/>
      <c r="H18" s="22"/>
      <c r="I18" s="26"/>
      <c r="J18" s="26"/>
      <c r="K18" s="26"/>
      <c r="L18" s="27"/>
      <c r="M18" s="35"/>
      <c r="N18" s="22"/>
      <c r="O18" s="26"/>
      <c r="P18" s="26"/>
      <c r="Q18" s="26"/>
      <c r="R18" s="27"/>
      <c r="S18" s="35"/>
    </row>
    <row r="19" spans="1:19" s="21" customFormat="1" ht="12" thickBot="1">
      <c r="A19" s="34"/>
      <c r="B19" s="28"/>
      <c r="C19" s="29"/>
      <c r="D19" s="29"/>
      <c r="E19" s="29"/>
      <c r="F19" s="30"/>
      <c r="G19" s="35"/>
      <c r="H19" s="28"/>
      <c r="I19" s="29"/>
      <c r="J19" s="29"/>
      <c r="K19" s="29"/>
      <c r="L19" s="30"/>
      <c r="M19" s="35"/>
      <c r="N19" s="28"/>
      <c r="O19" s="29"/>
      <c r="P19" s="29"/>
      <c r="Q19" s="29"/>
      <c r="R19" s="30"/>
      <c r="S19" s="35"/>
    </row>
    <row r="20" spans="1:19" ht="12" thickBot="1">
      <c r="B20" s="348" t="s">
        <v>149</v>
      </c>
      <c r="C20" s="349"/>
      <c r="D20" s="349"/>
      <c r="E20" s="349"/>
      <c r="F20" s="350"/>
      <c r="H20" s="342" t="s">
        <v>149</v>
      </c>
      <c r="I20" s="343"/>
      <c r="J20" s="343"/>
      <c r="K20" s="343"/>
      <c r="L20" s="344"/>
      <c r="N20" s="339" t="s">
        <v>149</v>
      </c>
      <c r="O20" s="340"/>
      <c r="P20" s="340"/>
      <c r="Q20" s="340"/>
      <c r="R20" s="341"/>
    </row>
    <row r="21" spans="1:19" s="21" customFormat="1" ht="22.5" customHeight="1" thickBot="1">
      <c r="A21" s="34"/>
      <c r="B21" s="333"/>
      <c r="C21" s="334"/>
      <c r="D21" s="334"/>
      <c r="E21" s="334"/>
      <c r="F21" s="335"/>
      <c r="G21" s="35"/>
      <c r="H21" s="333"/>
      <c r="I21" s="334"/>
      <c r="J21" s="334"/>
      <c r="K21" s="334"/>
      <c r="L21" s="335"/>
      <c r="M21" s="35"/>
      <c r="N21" s="333"/>
      <c r="O21" s="334"/>
      <c r="P21" s="334"/>
      <c r="Q21" s="334"/>
      <c r="R21" s="335"/>
      <c r="S21" s="35"/>
    </row>
    <row r="22" spans="1:19" ht="12" thickBot="1"/>
    <row r="23" spans="1:19" ht="12" thickBot="1">
      <c r="B23" s="351">
        <f>B3+1</f>
        <v>44522</v>
      </c>
      <c r="C23" s="352"/>
      <c r="D23" s="352"/>
      <c r="E23" s="352"/>
      <c r="F23" s="353"/>
      <c r="H23" s="345">
        <f>H3+1</f>
        <v>44529</v>
      </c>
      <c r="I23" s="346"/>
      <c r="J23" s="346"/>
      <c r="K23" s="346"/>
      <c r="L23" s="347"/>
      <c r="N23" s="336">
        <f>N3+1</f>
        <v>44536</v>
      </c>
      <c r="O23" s="337"/>
      <c r="P23" s="337"/>
      <c r="Q23" s="337"/>
      <c r="R23" s="338"/>
    </row>
    <row r="24" spans="1:19" ht="12" thickBot="1">
      <c r="B24" s="231" t="s">
        <v>152</v>
      </c>
      <c r="C24" s="232" t="s">
        <v>143</v>
      </c>
      <c r="D24" s="232" t="s">
        <v>142</v>
      </c>
      <c r="E24" s="233" t="s">
        <v>150</v>
      </c>
      <c r="F24" s="234" t="s">
        <v>148</v>
      </c>
      <c r="H24" s="235" t="s">
        <v>152</v>
      </c>
      <c r="I24" s="236" t="s">
        <v>143</v>
      </c>
      <c r="J24" s="236" t="s">
        <v>142</v>
      </c>
      <c r="K24" s="237" t="s">
        <v>150</v>
      </c>
      <c r="L24" s="238" t="s">
        <v>148</v>
      </c>
      <c r="N24" s="239" t="s">
        <v>152</v>
      </c>
      <c r="O24" s="240" t="s">
        <v>143</v>
      </c>
      <c r="P24" s="240" t="s">
        <v>142</v>
      </c>
      <c r="Q24" s="241" t="s">
        <v>150</v>
      </c>
      <c r="R24" s="242" t="s">
        <v>148</v>
      </c>
    </row>
    <row r="25" spans="1:19" s="21" customFormat="1">
      <c r="A25" s="34"/>
      <c r="B25" s="19"/>
      <c r="C25" s="20"/>
      <c r="D25" s="20"/>
      <c r="E25" s="20"/>
      <c r="F25" s="244"/>
      <c r="G25" s="35"/>
      <c r="H25" s="19"/>
      <c r="I25" s="20"/>
      <c r="J25" s="20"/>
      <c r="K25" s="20"/>
      <c r="L25" s="244"/>
      <c r="M25" s="35"/>
      <c r="N25" s="19"/>
      <c r="O25" s="20"/>
      <c r="P25" s="20"/>
      <c r="Q25" s="20"/>
      <c r="R25" s="244"/>
      <c r="S25" s="35"/>
    </row>
    <row r="26" spans="1:19" s="21" customFormat="1">
      <c r="A26" s="34"/>
      <c r="B26" s="22"/>
      <c r="C26" s="23"/>
      <c r="D26" s="23"/>
      <c r="E26" s="23"/>
      <c r="F26" s="27"/>
      <c r="G26" s="35"/>
      <c r="H26" s="22"/>
      <c r="I26" s="23"/>
      <c r="J26" s="23"/>
      <c r="K26" s="23"/>
      <c r="L26" s="27"/>
      <c r="M26" s="35"/>
      <c r="N26" s="22"/>
      <c r="O26" s="23"/>
      <c r="P26" s="23"/>
      <c r="Q26" s="23"/>
      <c r="R26" s="244"/>
      <c r="S26" s="35"/>
    </row>
    <row r="27" spans="1:19" s="21" customFormat="1">
      <c r="A27" s="34"/>
      <c r="B27" s="24"/>
      <c r="C27" s="25"/>
      <c r="D27" s="25"/>
      <c r="E27" s="25"/>
      <c r="F27" s="245"/>
      <c r="G27" s="35"/>
      <c r="H27" s="24"/>
      <c r="I27" s="25"/>
      <c r="J27" s="25"/>
      <c r="K27" s="25"/>
      <c r="L27" s="27"/>
      <c r="M27" s="35"/>
      <c r="N27" s="24"/>
      <c r="O27" s="25"/>
      <c r="P27" s="25"/>
      <c r="Q27" s="25"/>
      <c r="R27" s="245"/>
      <c r="S27" s="35"/>
    </row>
    <row r="28" spans="1:19" s="21" customFormat="1">
      <c r="A28" s="34"/>
      <c r="B28" s="22"/>
      <c r="C28" s="23"/>
      <c r="D28" s="23"/>
      <c r="E28" s="23"/>
      <c r="F28" s="27"/>
      <c r="G28" s="35"/>
      <c r="H28" s="22"/>
      <c r="I28" s="23"/>
      <c r="J28" s="23"/>
      <c r="K28" s="23"/>
      <c r="L28" s="245"/>
      <c r="M28" s="35"/>
      <c r="N28" s="22"/>
      <c r="O28" s="23"/>
      <c r="P28" s="23"/>
      <c r="Q28" s="23"/>
      <c r="R28" s="27"/>
      <c r="S28" s="35"/>
    </row>
    <row r="29" spans="1:19" s="21" customFormat="1">
      <c r="A29" s="34"/>
      <c r="B29" s="24"/>
      <c r="C29" s="25"/>
      <c r="D29" s="25"/>
      <c r="E29" s="25"/>
      <c r="F29" s="245"/>
      <c r="G29" s="35"/>
      <c r="H29" s="24"/>
      <c r="I29" s="25"/>
      <c r="J29" s="25"/>
      <c r="K29" s="25"/>
      <c r="L29" s="245"/>
      <c r="M29" s="35"/>
      <c r="N29" s="24"/>
      <c r="O29" s="25"/>
      <c r="P29" s="25"/>
      <c r="Q29" s="25"/>
      <c r="R29" s="245"/>
      <c r="S29" s="35"/>
    </row>
    <row r="30" spans="1:19" s="21" customFormat="1">
      <c r="A30" s="34"/>
      <c r="B30" s="22"/>
      <c r="C30" s="23"/>
      <c r="D30" s="23"/>
      <c r="E30" s="23"/>
      <c r="F30" s="27"/>
      <c r="G30" s="35"/>
      <c r="H30" s="22"/>
      <c r="I30" s="23"/>
      <c r="J30" s="23"/>
      <c r="K30" s="23"/>
      <c r="L30" s="27"/>
      <c r="M30" s="35"/>
      <c r="N30" s="22"/>
      <c r="O30" s="23"/>
      <c r="P30" s="23"/>
      <c r="Q30" s="23"/>
      <c r="R30" s="27"/>
      <c r="S30" s="35"/>
    </row>
    <row r="31" spans="1:19" s="21" customFormat="1">
      <c r="A31" s="34"/>
      <c r="B31" s="24"/>
      <c r="C31" s="25"/>
      <c r="D31" s="25"/>
      <c r="E31" s="25"/>
      <c r="F31" s="245"/>
      <c r="G31" s="35"/>
      <c r="H31" s="24"/>
      <c r="I31" s="25"/>
      <c r="J31" s="25"/>
      <c r="K31" s="25"/>
      <c r="L31" s="245"/>
      <c r="M31" s="35"/>
      <c r="N31" s="24"/>
      <c r="O31" s="25"/>
      <c r="P31" s="25"/>
      <c r="Q31" s="25"/>
      <c r="R31" s="245"/>
      <c r="S31" s="35"/>
    </row>
    <row r="32" spans="1:19" s="21" customFormat="1">
      <c r="A32" s="34"/>
      <c r="B32" s="22"/>
      <c r="C32" s="23"/>
      <c r="D32" s="23"/>
      <c r="E32" s="23"/>
      <c r="F32" s="27"/>
      <c r="G32" s="35"/>
      <c r="H32" s="22"/>
      <c r="I32" s="23"/>
      <c r="J32" s="23"/>
      <c r="K32" s="23"/>
      <c r="L32" s="27"/>
      <c r="M32" s="35"/>
      <c r="N32" s="22"/>
      <c r="O32" s="23"/>
      <c r="P32" s="23"/>
      <c r="Q32" s="23"/>
      <c r="R32" s="27"/>
      <c r="S32" s="35"/>
    </row>
    <row r="33" spans="1:19" s="21" customFormat="1">
      <c r="A33" s="34"/>
      <c r="B33" s="24"/>
      <c r="C33" s="25"/>
      <c r="D33" s="25"/>
      <c r="E33" s="25"/>
      <c r="F33" s="245"/>
      <c r="G33" s="35"/>
      <c r="H33" s="24"/>
      <c r="I33" s="25"/>
      <c r="J33" s="25"/>
      <c r="K33" s="25"/>
      <c r="L33" s="245"/>
      <c r="M33" s="35"/>
      <c r="N33" s="24"/>
      <c r="O33" s="25"/>
      <c r="P33" s="25"/>
      <c r="Q33" s="25"/>
      <c r="R33" s="27"/>
      <c r="S33" s="35"/>
    </row>
    <row r="34" spans="1:19" s="21" customFormat="1">
      <c r="A34" s="34"/>
      <c r="B34" s="22"/>
      <c r="C34" s="23"/>
      <c r="D34" s="23"/>
      <c r="E34" s="23"/>
      <c r="F34" s="27"/>
      <c r="G34" s="35"/>
      <c r="H34" s="22"/>
      <c r="I34" s="23"/>
      <c r="J34" s="23"/>
      <c r="K34" s="23"/>
      <c r="L34" s="27"/>
      <c r="M34" s="35"/>
      <c r="N34" s="22"/>
      <c r="O34" s="23"/>
      <c r="P34" s="23"/>
      <c r="Q34" s="23"/>
      <c r="R34" s="27"/>
      <c r="S34" s="35"/>
    </row>
    <row r="35" spans="1:19" s="21" customFormat="1">
      <c r="A35" s="34"/>
      <c r="B35" s="24"/>
      <c r="C35" s="25"/>
      <c r="D35" s="25"/>
      <c r="E35" s="25"/>
      <c r="F35" s="245"/>
      <c r="G35" s="35"/>
      <c r="H35" s="24"/>
      <c r="I35" s="25"/>
      <c r="J35" s="25"/>
      <c r="K35" s="25"/>
      <c r="L35" s="245"/>
      <c r="M35" s="35"/>
      <c r="N35" s="24"/>
      <c r="O35" s="25"/>
      <c r="P35" s="25"/>
      <c r="Q35" s="25"/>
      <c r="R35" s="245"/>
      <c r="S35" s="35"/>
    </row>
    <row r="36" spans="1:19" s="21" customFormat="1">
      <c r="A36" s="34"/>
      <c r="B36" s="22"/>
      <c r="C36" s="23"/>
      <c r="D36" s="23"/>
      <c r="E36" s="23"/>
      <c r="F36" s="27"/>
      <c r="G36" s="35"/>
      <c r="H36" s="22"/>
      <c r="I36" s="23"/>
      <c r="J36" s="23"/>
      <c r="K36" s="23"/>
      <c r="L36" s="27"/>
      <c r="M36" s="35"/>
      <c r="N36" s="22"/>
      <c r="O36" s="23"/>
      <c r="P36" s="23"/>
      <c r="Q36" s="23"/>
      <c r="R36" s="27"/>
      <c r="S36" s="35"/>
    </row>
    <row r="37" spans="1:19" s="21" customFormat="1">
      <c r="A37" s="34"/>
      <c r="B37" s="24"/>
      <c r="C37" s="25"/>
      <c r="D37" s="25"/>
      <c r="E37" s="25"/>
      <c r="F37" s="245"/>
      <c r="G37" s="35"/>
      <c r="H37" s="24"/>
      <c r="I37" s="25"/>
      <c r="J37" s="25"/>
      <c r="K37" s="25"/>
      <c r="L37" s="245"/>
      <c r="M37" s="35"/>
      <c r="N37" s="24"/>
      <c r="O37" s="25"/>
      <c r="P37" s="25"/>
      <c r="Q37" s="25"/>
      <c r="R37" s="245"/>
      <c r="S37" s="35"/>
    </row>
    <row r="38" spans="1:19" s="21" customFormat="1">
      <c r="A38" s="34"/>
      <c r="B38" s="22"/>
      <c r="C38" s="26"/>
      <c r="D38" s="26"/>
      <c r="E38" s="26"/>
      <c r="F38" s="27"/>
      <c r="G38" s="35"/>
      <c r="H38" s="22"/>
      <c r="I38" s="26"/>
      <c r="J38" s="26"/>
      <c r="K38" s="26"/>
      <c r="L38" s="27"/>
      <c r="M38" s="35"/>
      <c r="N38" s="22"/>
      <c r="O38" s="26"/>
      <c r="P38" s="26"/>
      <c r="Q38" s="26"/>
      <c r="R38" s="27"/>
      <c r="S38" s="35"/>
    </row>
    <row r="39" spans="1:19" s="21" customFormat="1" ht="12" thickBot="1">
      <c r="A39" s="34"/>
      <c r="B39" s="28"/>
      <c r="C39" s="29"/>
      <c r="D39" s="29"/>
      <c r="E39" s="29"/>
      <c r="F39" s="30"/>
      <c r="G39" s="35"/>
      <c r="H39" s="28"/>
      <c r="I39" s="29"/>
      <c r="J39" s="29"/>
      <c r="K39" s="29"/>
      <c r="L39" s="30"/>
      <c r="M39" s="35"/>
      <c r="N39" s="28"/>
      <c r="O39" s="29"/>
      <c r="P39" s="29"/>
      <c r="Q39" s="29"/>
      <c r="R39" s="30"/>
      <c r="S39" s="35"/>
    </row>
    <row r="40" spans="1:19" ht="12" thickBot="1">
      <c r="B40" s="348" t="s">
        <v>149</v>
      </c>
      <c r="C40" s="349"/>
      <c r="D40" s="349"/>
      <c r="E40" s="349"/>
      <c r="F40" s="350"/>
      <c r="H40" s="342" t="s">
        <v>149</v>
      </c>
      <c r="I40" s="343"/>
      <c r="J40" s="343"/>
      <c r="K40" s="343"/>
      <c r="L40" s="344"/>
      <c r="N40" s="339" t="s">
        <v>149</v>
      </c>
      <c r="O40" s="340"/>
      <c r="P40" s="340"/>
      <c r="Q40" s="340"/>
      <c r="R40" s="341"/>
    </row>
    <row r="41" spans="1:19" s="21" customFormat="1" ht="22.5" customHeight="1" thickBot="1">
      <c r="A41" s="34"/>
      <c r="B41" s="333"/>
      <c r="C41" s="334"/>
      <c r="D41" s="334"/>
      <c r="E41" s="334"/>
      <c r="F41" s="335"/>
      <c r="G41" s="35"/>
      <c r="H41" s="333"/>
      <c r="I41" s="334"/>
      <c r="J41" s="334"/>
      <c r="K41" s="334"/>
      <c r="L41" s="335"/>
      <c r="M41" s="35"/>
      <c r="N41" s="333"/>
      <c r="O41" s="334"/>
      <c r="P41" s="334"/>
      <c r="Q41" s="334"/>
      <c r="R41" s="335"/>
      <c r="S41" s="35"/>
    </row>
    <row r="42" spans="1:19" ht="12" thickBot="1"/>
    <row r="43" spans="1:19" ht="12" thickBot="1">
      <c r="B43" s="351">
        <f>B23+1</f>
        <v>44523</v>
      </c>
      <c r="C43" s="352"/>
      <c r="D43" s="352"/>
      <c r="E43" s="352"/>
      <c r="F43" s="353"/>
      <c r="H43" s="345">
        <f>H23+1</f>
        <v>44530</v>
      </c>
      <c r="I43" s="346"/>
      <c r="J43" s="346"/>
      <c r="K43" s="346"/>
      <c r="L43" s="347"/>
      <c r="N43" s="336">
        <f>N23+1</f>
        <v>44537</v>
      </c>
      <c r="O43" s="337"/>
      <c r="P43" s="337"/>
      <c r="Q43" s="337"/>
      <c r="R43" s="338"/>
    </row>
    <row r="44" spans="1:19" ht="12" thickBot="1">
      <c r="B44" s="231" t="s">
        <v>152</v>
      </c>
      <c r="C44" s="232" t="s">
        <v>143</v>
      </c>
      <c r="D44" s="232" t="s">
        <v>142</v>
      </c>
      <c r="E44" s="233" t="s">
        <v>150</v>
      </c>
      <c r="F44" s="234" t="s">
        <v>148</v>
      </c>
      <c r="H44" s="235" t="s">
        <v>152</v>
      </c>
      <c r="I44" s="236" t="s">
        <v>143</v>
      </c>
      <c r="J44" s="236" t="s">
        <v>142</v>
      </c>
      <c r="K44" s="237" t="s">
        <v>150</v>
      </c>
      <c r="L44" s="238" t="s">
        <v>148</v>
      </c>
      <c r="N44" s="239" t="s">
        <v>152</v>
      </c>
      <c r="O44" s="240" t="s">
        <v>143</v>
      </c>
      <c r="P44" s="240" t="s">
        <v>142</v>
      </c>
      <c r="Q44" s="241" t="s">
        <v>150</v>
      </c>
      <c r="R44" s="242" t="s">
        <v>148</v>
      </c>
    </row>
    <row r="45" spans="1:19" s="21" customFormat="1">
      <c r="A45" s="34"/>
      <c r="B45" s="19"/>
      <c r="C45" s="20"/>
      <c r="D45" s="20"/>
      <c r="E45" s="20"/>
      <c r="F45" s="244"/>
      <c r="G45" s="35"/>
      <c r="H45" s="19"/>
      <c r="I45" s="20"/>
      <c r="J45" s="20"/>
      <c r="K45" s="20"/>
      <c r="L45" s="244"/>
      <c r="M45" s="35"/>
      <c r="N45" s="19"/>
      <c r="O45" s="20"/>
      <c r="P45" s="20"/>
      <c r="Q45" s="20"/>
      <c r="R45" s="27"/>
      <c r="S45" s="35"/>
    </row>
    <row r="46" spans="1:19" s="21" customFormat="1">
      <c r="A46" s="34"/>
      <c r="B46" s="22"/>
      <c r="C46" s="23"/>
      <c r="D46" s="23"/>
      <c r="E46" s="23"/>
      <c r="F46" s="27"/>
      <c r="G46" s="35"/>
      <c r="H46" s="22"/>
      <c r="I46" s="23"/>
      <c r="J46" s="23"/>
      <c r="K46" s="23"/>
      <c r="L46" s="27"/>
      <c r="M46" s="35"/>
      <c r="N46" s="22"/>
      <c r="O46" s="23"/>
      <c r="P46" s="23"/>
      <c r="Q46" s="23"/>
      <c r="R46" s="244"/>
      <c r="S46" s="35"/>
    </row>
    <row r="47" spans="1:19" s="21" customFormat="1">
      <c r="A47" s="34"/>
      <c r="B47" s="24"/>
      <c r="C47" s="25"/>
      <c r="D47" s="25"/>
      <c r="E47" s="25"/>
      <c r="F47" s="245"/>
      <c r="G47" s="35"/>
      <c r="H47" s="24"/>
      <c r="I47" s="25"/>
      <c r="J47" s="25"/>
      <c r="K47" s="25"/>
      <c r="L47" s="27"/>
      <c r="M47" s="35"/>
      <c r="N47" s="24"/>
      <c r="O47" s="25"/>
      <c r="P47" s="25"/>
      <c r="Q47" s="25"/>
      <c r="R47" s="244"/>
      <c r="S47" s="35"/>
    </row>
    <row r="48" spans="1:19" s="21" customFormat="1">
      <c r="A48" s="34"/>
      <c r="B48" s="22"/>
      <c r="C48" s="23"/>
      <c r="D48" s="25"/>
      <c r="E48" s="25"/>
      <c r="F48" s="27"/>
      <c r="G48" s="35"/>
      <c r="H48" s="22"/>
      <c r="I48" s="23"/>
      <c r="J48" s="23"/>
      <c r="K48" s="23"/>
      <c r="L48" s="27"/>
      <c r="M48" s="35"/>
      <c r="N48" s="22"/>
      <c r="O48" s="23"/>
      <c r="P48" s="23"/>
      <c r="Q48" s="23"/>
      <c r="R48" s="245"/>
      <c r="S48" s="35"/>
    </row>
    <row r="49" spans="1:19" s="21" customFormat="1">
      <c r="A49" s="34"/>
      <c r="B49" s="24"/>
      <c r="C49" s="25"/>
      <c r="D49" s="25"/>
      <c r="E49" s="25"/>
      <c r="F49" s="245"/>
      <c r="G49" s="35"/>
      <c r="H49" s="24"/>
      <c r="I49" s="25"/>
      <c r="J49" s="25"/>
      <c r="K49" s="25"/>
      <c r="L49" s="27"/>
      <c r="M49" s="35"/>
      <c r="N49" s="22"/>
      <c r="O49" s="23"/>
      <c r="P49" s="25"/>
      <c r="Q49" s="25"/>
      <c r="R49" s="244"/>
      <c r="S49" s="35"/>
    </row>
    <row r="50" spans="1:19" s="21" customFormat="1">
      <c r="A50" s="34"/>
      <c r="B50" s="22"/>
      <c r="C50" s="23"/>
      <c r="D50" s="25"/>
      <c r="E50" s="25"/>
      <c r="F50" s="27"/>
      <c r="G50" s="35"/>
      <c r="H50" s="22"/>
      <c r="I50" s="23"/>
      <c r="J50" s="23"/>
      <c r="K50" s="23"/>
      <c r="L50" s="27"/>
      <c r="M50" s="35"/>
      <c r="N50" s="22"/>
      <c r="O50" s="23"/>
      <c r="P50" s="23"/>
      <c r="Q50" s="23"/>
      <c r="R50" s="27"/>
      <c r="S50" s="35"/>
    </row>
    <row r="51" spans="1:19" s="21" customFormat="1">
      <c r="A51" s="34"/>
      <c r="B51" s="24"/>
      <c r="C51" s="25"/>
      <c r="D51" s="25"/>
      <c r="E51" s="25"/>
      <c r="F51" s="257"/>
      <c r="G51" s="35"/>
      <c r="H51" s="24"/>
      <c r="I51" s="25"/>
      <c r="J51" s="25"/>
      <c r="K51" s="25"/>
      <c r="L51" s="245"/>
      <c r="M51" s="35"/>
      <c r="N51" s="22"/>
      <c r="O51" s="25"/>
      <c r="P51" s="25"/>
      <c r="Q51" s="25"/>
      <c r="R51" s="27"/>
      <c r="S51" s="35"/>
    </row>
    <row r="52" spans="1:19" s="21" customFormat="1">
      <c r="A52" s="34"/>
      <c r="B52" s="24"/>
      <c r="C52" s="23"/>
      <c r="D52" s="23"/>
      <c r="E52" s="23"/>
      <c r="F52" s="245"/>
      <c r="G52" s="35"/>
      <c r="H52" s="22"/>
      <c r="I52" s="23"/>
      <c r="J52" s="23"/>
      <c r="K52" s="23"/>
      <c r="L52" s="27"/>
      <c r="M52" s="35"/>
      <c r="N52" s="22"/>
      <c r="O52" s="23"/>
      <c r="P52" s="23"/>
      <c r="Q52" s="23"/>
      <c r="R52" s="27"/>
      <c r="S52" s="35"/>
    </row>
    <row r="53" spans="1:19" s="21" customFormat="1">
      <c r="A53" s="34"/>
      <c r="B53" s="22"/>
      <c r="C53" s="25"/>
      <c r="D53" s="25"/>
      <c r="E53" s="25"/>
      <c r="F53" s="27"/>
      <c r="G53" s="35"/>
      <c r="H53" s="24"/>
      <c r="I53" s="25"/>
      <c r="J53" s="25"/>
      <c r="K53" s="25"/>
      <c r="L53" s="245"/>
      <c r="M53" s="35"/>
      <c r="N53" s="24"/>
      <c r="O53" s="25"/>
      <c r="P53" s="25"/>
      <c r="Q53" s="25"/>
      <c r="R53" s="245"/>
      <c r="S53" s="35"/>
    </row>
    <row r="54" spans="1:19" s="21" customFormat="1">
      <c r="A54" s="34"/>
      <c r="B54" s="22"/>
      <c r="C54" s="23"/>
      <c r="D54" s="23"/>
      <c r="E54" s="23"/>
      <c r="F54" s="27"/>
      <c r="G54" s="35"/>
      <c r="H54" s="22"/>
      <c r="I54" s="23"/>
      <c r="J54" s="23"/>
      <c r="K54" s="23"/>
      <c r="L54" s="27"/>
      <c r="M54" s="35"/>
      <c r="N54" s="22"/>
      <c r="O54" s="23"/>
      <c r="P54" s="23"/>
      <c r="Q54" s="23"/>
      <c r="R54" s="27"/>
      <c r="S54" s="35"/>
    </row>
    <row r="55" spans="1:19" s="21" customFormat="1">
      <c r="A55" s="34"/>
      <c r="B55" s="24"/>
      <c r="C55" s="25"/>
      <c r="D55" s="25"/>
      <c r="E55" s="25"/>
      <c r="F55" s="245"/>
      <c r="G55" s="35"/>
      <c r="H55" s="24"/>
      <c r="I55" s="25"/>
      <c r="J55" s="25"/>
      <c r="K55" s="25"/>
      <c r="L55" s="245"/>
      <c r="M55" s="35"/>
      <c r="N55" s="24"/>
      <c r="O55" s="25"/>
      <c r="P55" s="25"/>
      <c r="Q55" s="25"/>
      <c r="R55" s="245"/>
      <c r="S55" s="35"/>
    </row>
    <row r="56" spans="1:19" s="21" customFormat="1">
      <c r="A56" s="34"/>
      <c r="B56" s="22"/>
      <c r="C56" s="23"/>
      <c r="D56" s="23"/>
      <c r="E56" s="23"/>
      <c r="F56" s="27"/>
      <c r="G56" s="35"/>
      <c r="H56" s="22"/>
      <c r="I56" s="23"/>
      <c r="J56" s="23"/>
      <c r="K56" s="23"/>
      <c r="L56" s="27"/>
      <c r="M56" s="35"/>
      <c r="N56" s="22"/>
      <c r="O56" s="23"/>
      <c r="P56" s="23"/>
      <c r="Q56" s="23"/>
      <c r="R56" s="27"/>
      <c r="S56" s="35"/>
    </row>
    <row r="57" spans="1:19" s="21" customFormat="1">
      <c r="A57" s="34"/>
      <c r="B57" s="24"/>
      <c r="C57" s="25"/>
      <c r="D57" s="25"/>
      <c r="E57" s="25"/>
      <c r="F57" s="245"/>
      <c r="G57" s="35"/>
      <c r="H57" s="24"/>
      <c r="I57" s="25"/>
      <c r="J57" s="25"/>
      <c r="K57" s="25"/>
      <c r="L57" s="245"/>
      <c r="M57" s="35"/>
      <c r="N57" s="24"/>
      <c r="O57" s="25"/>
      <c r="P57" s="25"/>
      <c r="Q57" s="25"/>
      <c r="R57" s="245"/>
      <c r="S57" s="35"/>
    </row>
    <row r="58" spans="1:19" s="21" customFormat="1">
      <c r="A58" s="34"/>
      <c r="B58" s="22"/>
      <c r="C58" s="26"/>
      <c r="D58" s="26"/>
      <c r="E58" s="26"/>
      <c r="F58" s="27"/>
      <c r="G58" s="35"/>
      <c r="H58" s="22"/>
      <c r="I58" s="26"/>
      <c r="J58" s="26"/>
      <c r="K58" s="26"/>
      <c r="L58" s="27"/>
      <c r="M58" s="35"/>
      <c r="N58" s="22"/>
      <c r="O58" s="26"/>
      <c r="P58" s="26"/>
      <c r="Q58" s="26"/>
      <c r="R58" s="27"/>
      <c r="S58" s="35"/>
    </row>
    <row r="59" spans="1:19" s="21" customFormat="1" ht="12" thickBot="1">
      <c r="A59" s="34"/>
      <c r="B59" s="28"/>
      <c r="C59" s="29"/>
      <c r="D59" s="29"/>
      <c r="E59" s="29"/>
      <c r="F59" s="30"/>
      <c r="G59" s="35"/>
      <c r="H59" s="28"/>
      <c r="I59" s="29"/>
      <c r="J59" s="29"/>
      <c r="K59" s="29"/>
      <c r="L59" s="30"/>
      <c r="M59" s="35"/>
      <c r="N59" s="28"/>
      <c r="O59" s="29"/>
      <c r="P59" s="29"/>
      <c r="Q59" s="29"/>
      <c r="R59" s="30"/>
      <c r="S59" s="35"/>
    </row>
    <row r="60" spans="1:19" ht="12" thickBot="1">
      <c r="B60" s="348" t="s">
        <v>149</v>
      </c>
      <c r="C60" s="349"/>
      <c r="D60" s="349"/>
      <c r="E60" s="349"/>
      <c r="F60" s="350"/>
      <c r="H60" s="342" t="s">
        <v>149</v>
      </c>
      <c r="I60" s="343"/>
      <c r="J60" s="343"/>
      <c r="K60" s="343"/>
      <c r="L60" s="344"/>
      <c r="N60" s="339" t="s">
        <v>149</v>
      </c>
      <c r="O60" s="340"/>
      <c r="P60" s="340"/>
      <c r="Q60" s="340"/>
      <c r="R60" s="341"/>
    </row>
    <row r="61" spans="1:19" s="21" customFormat="1" ht="22.5" customHeight="1" thickBot="1">
      <c r="A61" s="34"/>
      <c r="B61" s="333"/>
      <c r="C61" s="334"/>
      <c r="D61" s="334"/>
      <c r="E61" s="334"/>
      <c r="F61" s="335"/>
      <c r="G61" s="35"/>
      <c r="H61" s="333"/>
      <c r="I61" s="334"/>
      <c r="J61" s="334"/>
      <c r="K61" s="334"/>
      <c r="L61" s="335"/>
      <c r="M61" s="35"/>
      <c r="N61" s="333"/>
      <c r="O61" s="334"/>
      <c r="P61" s="334"/>
      <c r="Q61" s="334"/>
      <c r="R61" s="335"/>
      <c r="S61" s="35"/>
    </row>
    <row r="62" spans="1:19" ht="12" thickBot="1"/>
    <row r="63" spans="1:19" ht="12" thickBot="1">
      <c r="B63" s="351">
        <f>B43+1</f>
        <v>44524</v>
      </c>
      <c r="C63" s="352"/>
      <c r="D63" s="352"/>
      <c r="E63" s="352"/>
      <c r="F63" s="353"/>
      <c r="H63" s="345">
        <f>H43+1</f>
        <v>44531</v>
      </c>
      <c r="I63" s="346"/>
      <c r="J63" s="346"/>
      <c r="K63" s="346"/>
      <c r="L63" s="347"/>
      <c r="N63" s="336">
        <f>N43+1</f>
        <v>44538</v>
      </c>
      <c r="O63" s="337"/>
      <c r="P63" s="337"/>
      <c r="Q63" s="337"/>
      <c r="R63" s="338"/>
    </row>
    <row r="64" spans="1:19" ht="12" thickBot="1">
      <c r="B64" s="231" t="s">
        <v>152</v>
      </c>
      <c r="C64" s="232" t="s">
        <v>143</v>
      </c>
      <c r="D64" s="232" t="s">
        <v>142</v>
      </c>
      <c r="E64" s="233" t="s">
        <v>150</v>
      </c>
      <c r="F64" s="234" t="s">
        <v>148</v>
      </c>
      <c r="H64" s="235" t="s">
        <v>152</v>
      </c>
      <c r="I64" s="236" t="s">
        <v>143</v>
      </c>
      <c r="J64" s="236" t="s">
        <v>142</v>
      </c>
      <c r="K64" s="237" t="s">
        <v>150</v>
      </c>
      <c r="L64" s="238" t="s">
        <v>148</v>
      </c>
      <c r="N64" s="239" t="s">
        <v>152</v>
      </c>
      <c r="O64" s="240" t="s">
        <v>143</v>
      </c>
      <c r="P64" s="240" t="s">
        <v>142</v>
      </c>
      <c r="Q64" s="241" t="s">
        <v>150</v>
      </c>
      <c r="R64" s="242" t="s">
        <v>148</v>
      </c>
    </row>
    <row r="65" spans="1:19" s="21" customFormat="1">
      <c r="A65" s="34"/>
      <c r="B65" s="19"/>
      <c r="C65" s="20"/>
      <c r="D65" s="20"/>
      <c r="E65" s="20"/>
      <c r="F65" s="244"/>
      <c r="G65" s="35"/>
      <c r="H65" s="19"/>
      <c r="I65" s="20"/>
      <c r="J65" s="20"/>
      <c r="K65" s="20"/>
      <c r="L65" s="244"/>
      <c r="M65" s="35"/>
      <c r="N65" s="19"/>
      <c r="O65" s="20"/>
      <c r="P65" s="20"/>
      <c r="Q65" s="20"/>
      <c r="R65" s="244"/>
      <c r="S65" s="35"/>
    </row>
    <row r="66" spans="1:19" s="21" customFormat="1">
      <c r="A66" s="34"/>
      <c r="B66" s="22"/>
      <c r="C66" s="23"/>
      <c r="D66" s="23"/>
      <c r="E66" s="23"/>
      <c r="F66" s="27"/>
      <c r="G66" s="35"/>
      <c r="H66" s="22"/>
      <c r="I66" s="23"/>
      <c r="J66" s="23"/>
      <c r="K66" s="23"/>
      <c r="L66" s="27"/>
      <c r="M66" s="35"/>
      <c r="N66" s="22"/>
      <c r="O66" s="20"/>
      <c r="P66" s="20"/>
      <c r="Q66" s="20"/>
      <c r="R66" s="27"/>
      <c r="S66" s="35"/>
    </row>
    <row r="67" spans="1:19" s="21" customFormat="1">
      <c r="A67" s="34"/>
      <c r="B67" s="24"/>
      <c r="C67" s="25"/>
      <c r="D67" s="25"/>
      <c r="E67" s="25"/>
      <c r="F67" s="245"/>
      <c r="G67" s="35"/>
      <c r="H67" s="24"/>
      <c r="I67" s="25"/>
      <c r="J67" s="25"/>
      <c r="K67" s="25"/>
      <c r="L67" s="245"/>
      <c r="M67" s="35"/>
      <c r="N67" s="24"/>
      <c r="O67" s="23"/>
      <c r="P67" s="23"/>
      <c r="Q67" s="23"/>
      <c r="R67" s="245"/>
      <c r="S67" s="35"/>
    </row>
    <row r="68" spans="1:19" s="21" customFormat="1">
      <c r="A68" s="34"/>
      <c r="B68" s="22"/>
      <c r="C68" s="23"/>
      <c r="D68" s="23"/>
      <c r="E68" s="23"/>
      <c r="F68" s="27"/>
      <c r="G68" s="35"/>
      <c r="H68" s="22"/>
      <c r="I68" s="23"/>
      <c r="J68" s="23"/>
      <c r="K68" s="23"/>
      <c r="L68" s="27"/>
      <c r="M68" s="35"/>
      <c r="N68" s="22"/>
      <c r="O68" s="25"/>
      <c r="P68" s="25"/>
      <c r="Q68" s="25"/>
      <c r="R68" s="27"/>
      <c r="S68" s="35"/>
    </row>
    <row r="69" spans="1:19" s="21" customFormat="1">
      <c r="A69" s="34"/>
      <c r="B69" s="24"/>
      <c r="C69" s="25"/>
      <c r="D69" s="25"/>
      <c r="E69" s="25"/>
      <c r="F69" s="27"/>
      <c r="G69" s="35"/>
      <c r="H69" s="24"/>
      <c r="I69" s="25"/>
      <c r="J69" s="25"/>
      <c r="K69" s="25"/>
      <c r="L69" s="245"/>
      <c r="M69" s="35"/>
      <c r="N69" s="22"/>
      <c r="O69" s="25"/>
      <c r="P69" s="25"/>
      <c r="Q69" s="25"/>
      <c r="R69" s="245"/>
      <c r="S69" s="35"/>
    </row>
    <row r="70" spans="1:19" s="21" customFormat="1">
      <c r="A70" s="34"/>
      <c r="B70" s="24"/>
      <c r="C70" s="23"/>
      <c r="D70" s="23"/>
      <c r="E70" s="23"/>
      <c r="F70" s="27"/>
      <c r="G70" s="35"/>
      <c r="H70" s="22"/>
      <c r="I70" s="23"/>
      <c r="J70" s="23"/>
      <c r="K70" s="23"/>
      <c r="L70" s="27"/>
      <c r="M70" s="35"/>
      <c r="N70" s="22"/>
      <c r="O70" s="23"/>
      <c r="P70" s="23"/>
      <c r="Q70" s="23"/>
      <c r="R70" s="244"/>
      <c r="S70" s="35"/>
    </row>
    <row r="71" spans="1:19" s="21" customFormat="1">
      <c r="A71" s="34"/>
      <c r="B71" s="22"/>
      <c r="C71" s="25"/>
      <c r="D71" s="25"/>
      <c r="E71" s="25"/>
      <c r="F71" s="245"/>
      <c r="G71" s="35"/>
      <c r="H71" s="24"/>
      <c r="I71" s="25"/>
      <c r="J71" s="25"/>
      <c r="K71" s="25"/>
      <c r="L71" s="245"/>
      <c r="M71" s="35"/>
      <c r="N71" s="24"/>
      <c r="O71" s="25"/>
      <c r="P71" s="25"/>
      <c r="Q71" s="25"/>
      <c r="R71" s="245"/>
      <c r="S71" s="35"/>
    </row>
    <row r="72" spans="1:19" s="21" customFormat="1">
      <c r="A72" s="34"/>
      <c r="B72" s="24"/>
      <c r="C72" s="23"/>
      <c r="D72" s="23"/>
      <c r="E72" s="23"/>
      <c r="F72" s="27"/>
      <c r="G72" s="35"/>
      <c r="H72" s="22"/>
      <c r="I72" s="23"/>
      <c r="J72" s="23"/>
      <c r="K72" s="23"/>
      <c r="L72" s="27"/>
      <c r="M72" s="35"/>
      <c r="N72" s="22"/>
      <c r="O72" s="23"/>
      <c r="P72" s="23"/>
      <c r="Q72" s="23"/>
      <c r="R72" s="245"/>
      <c r="S72" s="35"/>
    </row>
    <row r="73" spans="1:19" s="21" customFormat="1">
      <c r="A73" s="34"/>
      <c r="B73" s="22"/>
      <c r="C73" s="25"/>
      <c r="D73" s="25"/>
      <c r="E73" s="25"/>
      <c r="F73" s="245"/>
      <c r="G73" s="35"/>
      <c r="H73" s="24"/>
      <c r="I73" s="25"/>
      <c r="J73" s="25"/>
      <c r="K73" s="25"/>
      <c r="L73" s="245"/>
      <c r="M73" s="35"/>
      <c r="N73" s="24"/>
      <c r="O73" s="25"/>
      <c r="P73" s="25"/>
      <c r="Q73" s="25"/>
      <c r="R73" s="245"/>
      <c r="S73" s="35"/>
    </row>
    <row r="74" spans="1:19" s="21" customFormat="1">
      <c r="A74" s="34"/>
      <c r="B74" s="24"/>
      <c r="C74" s="23"/>
      <c r="D74" s="23"/>
      <c r="E74" s="23"/>
      <c r="F74" s="27"/>
      <c r="G74" s="35"/>
      <c r="H74" s="22"/>
      <c r="I74" s="23"/>
      <c r="J74" s="23"/>
      <c r="K74" s="23"/>
      <c r="L74" s="27"/>
      <c r="M74" s="35"/>
      <c r="N74" s="22"/>
      <c r="O74" s="23"/>
      <c r="P74" s="23"/>
      <c r="Q74" s="23"/>
      <c r="R74" s="27"/>
      <c r="S74" s="35"/>
    </row>
    <row r="75" spans="1:19" s="21" customFormat="1">
      <c r="A75" s="34"/>
      <c r="B75" s="24"/>
      <c r="C75" s="25"/>
      <c r="D75" s="25"/>
      <c r="E75" s="25"/>
      <c r="F75" s="245"/>
      <c r="G75" s="35"/>
      <c r="H75" s="24"/>
      <c r="I75" s="25"/>
      <c r="J75" s="25"/>
      <c r="K75" s="25"/>
      <c r="L75" s="245"/>
      <c r="M75" s="35"/>
      <c r="N75" s="24"/>
      <c r="O75" s="25"/>
      <c r="P75" s="25"/>
      <c r="Q75" s="25"/>
      <c r="R75" s="245"/>
      <c r="S75" s="35"/>
    </row>
    <row r="76" spans="1:19" s="21" customFormat="1">
      <c r="A76" s="34"/>
      <c r="B76" s="22"/>
      <c r="C76" s="23"/>
      <c r="D76" s="23"/>
      <c r="E76" s="23"/>
      <c r="F76" s="245"/>
      <c r="G76" s="35"/>
      <c r="H76" s="22"/>
      <c r="I76" s="23"/>
      <c r="J76" s="23"/>
      <c r="K76" s="23"/>
      <c r="L76" s="27"/>
      <c r="M76" s="35"/>
      <c r="N76" s="22"/>
      <c r="O76" s="23"/>
      <c r="P76" s="23"/>
      <c r="Q76" s="23"/>
      <c r="R76" s="27"/>
      <c r="S76" s="35"/>
    </row>
    <row r="77" spans="1:19" s="21" customFormat="1">
      <c r="A77" s="34"/>
      <c r="B77" s="24"/>
      <c r="C77" s="25"/>
      <c r="D77" s="25"/>
      <c r="E77" s="25"/>
      <c r="F77" s="245"/>
      <c r="G77" s="35"/>
      <c r="H77" s="24"/>
      <c r="I77" s="25"/>
      <c r="J77" s="25"/>
      <c r="K77" s="25"/>
      <c r="L77" s="245"/>
      <c r="M77" s="35"/>
      <c r="N77" s="24"/>
      <c r="O77" s="25"/>
      <c r="P77" s="25"/>
      <c r="Q77" s="25"/>
      <c r="R77" s="245"/>
      <c r="S77" s="35"/>
    </row>
    <row r="78" spans="1:19" s="21" customFormat="1">
      <c r="A78" s="34"/>
      <c r="B78" s="22"/>
      <c r="C78" s="26"/>
      <c r="D78" s="26"/>
      <c r="E78" s="26"/>
      <c r="F78" s="245"/>
      <c r="G78" s="35"/>
      <c r="H78" s="22"/>
      <c r="I78" s="26"/>
      <c r="J78" s="26"/>
      <c r="K78" s="26"/>
      <c r="L78" s="27"/>
      <c r="M78" s="35"/>
      <c r="N78" s="22"/>
      <c r="O78" s="26"/>
      <c r="P78" s="26"/>
      <c r="Q78" s="26"/>
      <c r="R78" s="27"/>
      <c r="S78" s="35"/>
    </row>
    <row r="79" spans="1:19" s="21" customFormat="1" ht="12" thickBot="1">
      <c r="A79" s="34"/>
      <c r="B79" s="24"/>
      <c r="C79" s="29"/>
      <c r="D79" s="29"/>
      <c r="E79" s="29"/>
      <c r="F79" s="245"/>
      <c r="G79" s="35"/>
      <c r="H79" s="28"/>
      <c r="I79" s="29"/>
      <c r="J79" s="29"/>
      <c r="K79" s="29"/>
      <c r="L79" s="30"/>
      <c r="M79" s="35"/>
      <c r="N79" s="28"/>
      <c r="O79" s="29"/>
      <c r="P79" s="29"/>
      <c r="Q79" s="29"/>
      <c r="R79" s="30"/>
      <c r="S79" s="35"/>
    </row>
    <row r="80" spans="1:19" ht="12" thickBot="1">
      <c r="B80" s="348" t="s">
        <v>149</v>
      </c>
      <c r="C80" s="349"/>
      <c r="D80" s="349"/>
      <c r="E80" s="349"/>
      <c r="F80" s="350"/>
      <c r="H80" s="342" t="s">
        <v>149</v>
      </c>
      <c r="I80" s="343"/>
      <c r="J80" s="343"/>
      <c r="K80" s="343"/>
      <c r="L80" s="344"/>
      <c r="N80" s="339" t="s">
        <v>149</v>
      </c>
      <c r="O80" s="340"/>
      <c r="P80" s="340"/>
      <c r="Q80" s="340"/>
      <c r="R80" s="341"/>
    </row>
    <row r="81" spans="1:19" s="21" customFormat="1" ht="22.5" customHeight="1" thickBot="1">
      <c r="A81" s="34"/>
      <c r="B81" s="333"/>
      <c r="C81" s="334"/>
      <c r="D81" s="334"/>
      <c r="E81" s="334"/>
      <c r="F81" s="335"/>
      <c r="G81" s="35"/>
      <c r="H81" s="333"/>
      <c r="I81" s="334"/>
      <c r="J81" s="334"/>
      <c r="K81" s="334"/>
      <c r="L81" s="335"/>
      <c r="M81" s="35"/>
      <c r="N81" s="333"/>
      <c r="O81" s="334"/>
      <c r="P81" s="334"/>
      <c r="Q81" s="334"/>
      <c r="R81" s="335"/>
      <c r="S81" s="35"/>
    </row>
    <row r="82" spans="1:19" ht="12" thickBot="1"/>
    <row r="83" spans="1:19" ht="12" thickBot="1">
      <c r="B83" s="351">
        <f>B63+1</f>
        <v>44525</v>
      </c>
      <c r="C83" s="352"/>
      <c r="D83" s="352"/>
      <c r="E83" s="352"/>
      <c r="F83" s="353"/>
      <c r="H83" s="345">
        <f>H63+1</f>
        <v>44532</v>
      </c>
      <c r="I83" s="346"/>
      <c r="J83" s="346"/>
      <c r="K83" s="346"/>
      <c r="L83" s="347"/>
      <c r="N83" s="336">
        <f>N63+1</f>
        <v>44539</v>
      </c>
      <c r="O83" s="337"/>
      <c r="P83" s="337"/>
      <c r="Q83" s="337"/>
      <c r="R83" s="338"/>
    </row>
    <row r="84" spans="1:19" ht="12" thickBot="1">
      <c r="B84" s="231" t="s">
        <v>152</v>
      </c>
      <c r="C84" s="232" t="s">
        <v>143</v>
      </c>
      <c r="D84" s="232" t="s">
        <v>142</v>
      </c>
      <c r="E84" s="233" t="s">
        <v>150</v>
      </c>
      <c r="F84" s="234" t="s">
        <v>148</v>
      </c>
      <c r="H84" s="235" t="s">
        <v>152</v>
      </c>
      <c r="I84" s="236" t="s">
        <v>143</v>
      </c>
      <c r="J84" s="236" t="s">
        <v>142</v>
      </c>
      <c r="K84" s="237" t="s">
        <v>150</v>
      </c>
      <c r="L84" s="238" t="s">
        <v>148</v>
      </c>
      <c r="N84" s="239" t="s">
        <v>152</v>
      </c>
      <c r="O84" s="240" t="s">
        <v>143</v>
      </c>
      <c r="P84" s="240" t="s">
        <v>142</v>
      </c>
      <c r="Q84" s="241" t="s">
        <v>150</v>
      </c>
      <c r="R84" s="242" t="s">
        <v>148</v>
      </c>
    </row>
    <row r="85" spans="1:19" s="21" customFormat="1">
      <c r="A85" s="34"/>
      <c r="B85" s="19"/>
      <c r="C85" s="20"/>
      <c r="D85" s="20"/>
      <c r="E85" s="20"/>
      <c r="F85" s="244"/>
      <c r="G85" s="35"/>
      <c r="H85" s="19"/>
      <c r="I85" s="20"/>
      <c r="J85" s="20"/>
      <c r="K85" s="20"/>
      <c r="L85" s="244"/>
      <c r="M85" s="35"/>
      <c r="N85" s="19"/>
      <c r="O85" s="20"/>
      <c r="P85" s="20"/>
      <c r="Q85" s="20"/>
      <c r="R85" s="244"/>
      <c r="S85" s="35"/>
    </row>
    <row r="86" spans="1:19" s="21" customFormat="1">
      <c r="A86" s="34"/>
      <c r="B86" s="24"/>
      <c r="C86" s="23"/>
      <c r="D86" s="23"/>
      <c r="E86" s="23"/>
      <c r="F86" s="27"/>
      <c r="G86" s="35"/>
      <c r="H86" s="22"/>
      <c r="I86" s="23"/>
      <c r="J86" s="23"/>
      <c r="K86" s="23"/>
      <c r="L86" s="27"/>
      <c r="M86" s="35"/>
      <c r="N86" s="19"/>
      <c r="O86" s="23"/>
      <c r="P86" s="23"/>
      <c r="Q86" s="23"/>
      <c r="R86" s="27"/>
      <c r="S86" s="35"/>
    </row>
    <row r="87" spans="1:19" s="21" customFormat="1">
      <c r="A87" s="34"/>
      <c r="B87" s="22"/>
      <c r="C87" s="25"/>
      <c r="D87" s="25"/>
      <c r="E87" s="25"/>
      <c r="F87" s="245"/>
      <c r="G87" s="35"/>
      <c r="H87" s="24"/>
      <c r="I87" s="25"/>
      <c r="J87" s="25"/>
      <c r="K87" s="25"/>
      <c r="L87" s="245"/>
      <c r="M87" s="35"/>
      <c r="N87" s="22"/>
      <c r="O87" s="25"/>
      <c r="P87" s="25"/>
      <c r="Q87" s="25"/>
      <c r="R87" s="245"/>
      <c r="S87" s="35"/>
    </row>
    <row r="88" spans="1:19" s="21" customFormat="1">
      <c r="A88" s="34"/>
      <c r="B88" s="24"/>
      <c r="C88" s="23"/>
      <c r="D88" s="23"/>
      <c r="E88" s="23"/>
      <c r="F88" s="27"/>
      <c r="G88" s="35"/>
      <c r="H88" s="22"/>
      <c r="I88" s="23"/>
      <c r="J88" s="23"/>
      <c r="K88" s="23"/>
      <c r="L88" s="27"/>
      <c r="M88" s="35"/>
      <c r="N88" s="22"/>
      <c r="O88" s="23"/>
      <c r="P88" s="23"/>
      <c r="Q88" s="23"/>
      <c r="R88" s="27"/>
      <c r="S88" s="35"/>
    </row>
    <row r="89" spans="1:19" s="21" customFormat="1">
      <c r="A89" s="34"/>
      <c r="B89" s="24"/>
      <c r="C89" s="25"/>
      <c r="D89" s="25"/>
      <c r="E89" s="25"/>
      <c r="F89" s="245"/>
      <c r="G89" s="35"/>
      <c r="H89" s="24"/>
      <c r="I89" s="25"/>
      <c r="J89" s="25"/>
      <c r="K89" s="25"/>
      <c r="L89" s="245"/>
      <c r="M89" s="35"/>
      <c r="N89" s="24"/>
      <c r="O89" s="25"/>
      <c r="P89" s="25"/>
      <c r="Q89" s="25"/>
      <c r="R89" s="245"/>
      <c r="S89" s="35"/>
    </row>
    <row r="90" spans="1:19" s="21" customFormat="1">
      <c r="A90" s="34"/>
      <c r="B90" s="22"/>
      <c r="C90" s="23"/>
      <c r="D90" s="23"/>
      <c r="E90" s="23"/>
      <c r="F90" s="27"/>
      <c r="G90" s="35"/>
      <c r="H90" s="22"/>
      <c r="I90" s="23"/>
      <c r="J90" s="23"/>
      <c r="K90" s="23"/>
      <c r="L90" s="27"/>
      <c r="M90" s="35"/>
      <c r="N90" s="22"/>
      <c r="O90" s="23"/>
      <c r="P90" s="23"/>
      <c r="Q90" s="23"/>
      <c r="R90" s="245"/>
      <c r="S90" s="35"/>
    </row>
    <row r="91" spans="1:19" s="21" customFormat="1">
      <c r="A91" s="34"/>
      <c r="B91" s="24"/>
      <c r="C91" s="25"/>
      <c r="D91" s="25"/>
      <c r="E91" s="25"/>
      <c r="F91" s="245"/>
      <c r="G91" s="35"/>
      <c r="H91" s="24"/>
      <c r="I91" s="25"/>
      <c r="J91" s="25"/>
      <c r="K91" s="25"/>
      <c r="L91" s="245"/>
      <c r="M91" s="35"/>
      <c r="N91" s="24"/>
      <c r="O91" s="25"/>
      <c r="P91" s="25"/>
      <c r="Q91" s="25"/>
      <c r="R91" s="245"/>
      <c r="S91" s="35"/>
    </row>
    <row r="92" spans="1:19" s="21" customFormat="1">
      <c r="A92" s="34"/>
      <c r="B92" s="22"/>
      <c r="C92" s="23"/>
      <c r="D92" s="23"/>
      <c r="E92" s="23"/>
      <c r="F92" s="27"/>
      <c r="G92" s="35"/>
      <c r="H92" s="22"/>
      <c r="I92" s="23"/>
      <c r="J92" s="23"/>
      <c r="K92" s="23"/>
      <c r="L92" s="27"/>
      <c r="M92" s="35"/>
      <c r="N92" s="22"/>
      <c r="O92" s="23"/>
      <c r="P92" s="23"/>
      <c r="Q92" s="23"/>
      <c r="R92" s="27"/>
      <c r="S92" s="35"/>
    </row>
    <row r="93" spans="1:19" s="21" customFormat="1">
      <c r="A93" s="34"/>
      <c r="B93" s="24"/>
      <c r="C93" s="25"/>
      <c r="D93" s="25"/>
      <c r="E93" s="25"/>
      <c r="F93" s="245"/>
      <c r="G93" s="35"/>
      <c r="H93" s="24"/>
      <c r="I93" s="25"/>
      <c r="J93" s="25"/>
      <c r="K93" s="25"/>
      <c r="L93" s="245"/>
      <c r="M93" s="35"/>
      <c r="N93" s="24"/>
      <c r="O93" s="25"/>
      <c r="P93" s="25"/>
      <c r="Q93" s="25"/>
      <c r="R93" s="245"/>
      <c r="S93" s="35"/>
    </row>
    <row r="94" spans="1:19" s="21" customFormat="1">
      <c r="A94" s="34"/>
      <c r="B94" s="22"/>
      <c r="C94" s="23"/>
      <c r="D94" s="23"/>
      <c r="E94" s="23"/>
      <c r="F94" s="27"/>
      <c r="G94" s="35"/>
      <c r="H94" s="22"/>
      <c r="I94" s="23"/>
      <c r="J94" s="23"/>
      <c r="K94" s="23"/>
      <c r="L94" s="27"/>
      <c r="M94" s="35"/>
      <c r="N94" s="22"/>
      <c r="O94" s="23"/>
      <c r="P94" s="23"/>
      <c r="Q94" s="23"/>
      <c r="R94" s="27"/>
      <c r="S94" s="35"/>
    </row>
    <row r="95" spans="1:19" s="21" customFormat="1">
      <c r="A95" s="34"/>
      <c r="B95" s="24"/>
      <c r="C95" s="25"/>
      <c r="D95" s="25"/>
      <c r="E95" s="25"/>
      <c r="F95" s="245"/>
      <c r="G95" s="35"/>
      <c r="H95" s="24"/>
      <c r="I95" s="25"/>
      <c r="J95" s="25"/>
      <c r="K95" s="25"/>
      <c r="L95" s="245"/>
      <c r="M95" s="35"/>
      <c r="N95" s="24"/>
      <c r="O95" s="25"/>
      <c r="P95" s="25"/>
      <c r="Q95" s="25"/>
      <c r="R95" s="245"/>
      <c r="S95" s="35"/>
    </row>
    <row r="96" spans="1:19" s="21" customFormat="1">
      <c r="A96" s="34"/>
      <c r="B96" s="22"/>
      <c r="C96" s="23"/>
      <c r="D96" s="23"/>
      <c r="E96" s="23"/>
      <c r="F96" s="27"/>
      <c r="G96" s="35"/>
      <c r="H96" s="22"/>
      <c r="I96" s="23"/>
      <c r="J96" s="23"/>
      <c r="K96" s="23"/>
      <c r="L96" s="27"/>
      <c r="M96" s="35"/>
      <c r="N96" s="22"/>
      <c r="O96" s="23"/>
      <c r="P96" s="23"/>
      <c r="Q96" s="23"/>
      <c r="R96" s="27"/>
      <c r="S96" s="35"/>
    </row>
    <row r="97" spans="1:19" s="21" customFormat="1">
      <c r="A97" s="34"/>
      <c r="B97" s="24"/>
      <c r="C97" s="25"/>
      <c r="D97" s="25"/>
      <c r="E97" s="25"/>
      <c r="F97" s="245"/>
      <c r="G97" s="35"/>
      <c r="H97" s="24"/>
      <c r="I97" s="25"/>
      <c r="J97" s="25"/>
      <c r="K97" s="25"/>
      <c r="L97" s="245"/>
      <c r="M97" s="35"/>
      <c r="N97" s="24"/>
      <c r="O97" s="25"/>
      <c r="P97" s="25"/>
      <c r="Q97" s="25"/>
      <c r="R97" s="245"/>
      <c r="S97" s="35"/>
    </row>
    <row r="98" spans="1:19" s="21" customFormat="1">
      <c r="A98" s="34"/>
      <c r="B98" s="22"/>
      <c r="C98" s="26"/>
      <c r="D98" s="26"/>
      <c r="E98" s="26"/>
      <c r="F98" s="27"/>
      <c r="G98" s="35"/>
      <c r="H98" s="22"/>
      <c r="I98" s="26"/>
      <c r="J98" s="26"/>
      <c r="K98" s="26"/>
      <c r="L98" s="27"/>
      <c r="M98" s="35"/>
      <c r="N98" s="22"/>
      <c r="O98" s="26"/>
      <c r="P98" s="26"/>
      <c r="Q98" s="26"/>
      <c r="R98" s="27"/>
      <c r="S98" s="35"/>
    </row>
    <row r="99" spans="1:19" s="21" customFormat="1" ht="12" thickBot="1">
      <c r="A99" s="34"/>
      <c r="B99" s="28"/>
      <c r="C99" s="29"/>
      <c r="D99" s="29"/>
      <c r="E99" s="29"/>
      <c r="F99" s="30"/>
      <c r="G99" s="35"/>
      <c r="H99" s="28"/>
      <c r="I99" s="29"/>
      <c r="J99" s="29"/>
      <c r="K99" s="29"/>
      <c r="L99" s="30"/>
      <c r="M99" s="35"/>
      <c r="N99" s="28"/>
      <c r="O99" s="29"/>
      <c r="P99" s="29"/>
      <c r="Q99" s="29"/>
      <c r="R99" s="30"/>
      <c r="S99" s="35"/>
    </row>
    <row r="100" spans="1:19" ht="12" thickBot="1">
      <c r="B100" s="348" t="s">
        <v>149</v>
      </c>
      <c r="C100" s="349"/>
      <c r="D100" s="349"/>
      <c r="E100" s="349"/>
      <c r="F100" s="350"/>
      <c r="H100" s="342" t="s">
        <v>149</v>
      </c>
      <c r="I100" s="343"/>
      <c r="J100" s="343"/>
      <c r="K100" s="343"/>
      <c r="L100" s="344"/>
      <c r="N100" s="339" t="s">
        <v>149</v>
      </c>
      <c r="O100" s="340"/>
      <c r="P100" s="340"/>
      <c r="Q100" s="340"/>
      <c r="R100" s="341"/>
    </row>
    <row r="101" spans="1:19" s="21" customFormat="1" ht="22.5" customHeight="1" thickBot="1">
      <c r="A101" s="34"/>
      <c r="B101" s="333"/>
      <c r="C101" s="334"/>
      <c r="D101" s="334"/>
      <c r="E101" s="334"/>
      <c r="F101" s="335"/>
      <c r="G101" s="35"/>
      <c r="H101" s="333"/>
      <c r="I101" s="334"/>
      <c r="J101" s="334"/>
      <c r="K101" s="334"/>
      <c r="L101" s="335"/>
      <c r="M101" s="35"/>
      <c r="N101" s="333"/>
      <c r="O101" s="334"/>
      <c r="P101" s="334"/>
      <c r="Q101" s="334"/>
      <c r="R101" s="335"/>
      <c r="S101" s="35"/>
    </row>
    <row r="102" spans="1:19" ht="12" thickBot="1"/>
    <row r="103" spans="1:19" ht="12" thickBot="1">
      <c r="B103" s="351">
        <f>B83+1</f>
        <v>44526</v>
      </c>
      <c r="C103" s="352"/>
      <c r="D103" s="352"/>
      <c r="E103" s="352"/>
      <c r="F103" s="353"/>
      <c r="H103" s="345">
        <f>H83+1</f>
        <v>44533</v>
      </c>
      <c r="I103" s="346"/>
      <c r="J103" s="346"/>
      <c r="K103" s="346"/>
      <c r="L103" s="347"/>
      <c r="N103" s="336">
        <f>N83+1</f>
        <v>44540</v>
      </c>
      <c r="O103" s="337"/>
      <c r="P103" s="337"/>
      <c r="Q103" s="337"/>
      <c r="R103" s="338"/>
    </row>
    <row r="104" spans="1:19" ht="12" thickBot="1">
      <c r="B104" s="231" t="s">
        <v>152</v>
      </c>
      <c r="C104" s="232" t="s">
        <v>143</v>
      </c>
      <c r="D104" s="232" t="s">
        <v>142</v>
      </c>
      <c r="E104" s="233" t="s">
        <v>150</v>
      </c>
      <c r="F104" s="234" t="s">
        <v>148</v>
      </c>
      <c r="H104" s="235" t="s">
        <v>152</v>
      </c>
      <c r="I104" s="236" t="s">
        <v>143</v>
      </c>
      <c r="J104" s="236" t="s">
        <v>142</v>
      </c>
      <c r="K104" s="237" t="s">
        <v>150</v>
      </c>
      <c r="L104" s="238" t="s">
        <v>148</v>
      </c>
      <c r="N104" s="239" t="s">
        <v>152</v>
      </c>
      <c r="O104" s="240" t="s">
        <v>143</v>
      </c>
      <c r="P104" s="240" t="s">
        <v>142</v>
      </c>
      <c r="Q104" s="241" t="s">
        <v>150</v>
      </c>
      <c r="R104" s="242" t="s">
        <v>148</v>
      </c>
    </row>
    <row r="105" spans="1:19" s="21" customFormat="1">
      <c r="A105" s="34"/>
      <c r="B105" s="24"/>
      <c r="C105" s="23"/>
      <c r="D105" s="23"/>
      <c r="E105" s="23"/>
      <c r="F105" s="244"/>
      <c r="G105" s="35"/>
      <c r="H105" s="19"/>
      <c r="I105" s="20"/>
      <c r="J105" s="20"/>
      <c r="K105" s="20"/>
      <c r="L105" s="244"/>
      <c r="M105" s="35"/>
      <c r="N105" s="19"/>
      <c r="O105" s="20"/>
      <c r="P105" s="20"/>
      <c r="Q105" s="20"/>
      <c r="R105" s="27"/>
      <c r="S105" s="35"/>
    </row>
    <row r="106" spans="1:19" s="21" customFormat="1">
      <c r="A106" s="34"/>
      <c r="B106" s="22"/>
      <c r="C106" s="25"/>
      <c r="D106" s="25"/>
      <c r="E106" s="25"/>
      <c r="F106" s="244"/>
      <c r="G106" s="35"/>
      <c r="H106" s="22"/>
      <c r="I106" s="23"/>
      <c r="J106" s="23"/>
      <c r="K106" s="23"/>
      <c r="L106" s="27"/>
      <c r="M106" s="35"/>
      <c r="N106" s="19"/>
      <c r="O106" s="20"/>
      <c r="P106" s="20"/>
      <c r="Q106" s="20"/>
      <c r="R106" s="27"/>
      <c r="S106" s="35"/>
    </row>
    <row r="107" spans="1:19" s="21" customFormat="1">
      <c r="A107" s="34"/>
      <c r="B107" s="24"/>
      <c r="C107" s="25"/>
      <c r="D107" s="25"/>
      <c r="E107" s="25"/>
      <c r="F107" s="245"/>
      <c r="G107" s="35"/>
      <c r="H107" s="24"/>
      <c r="I107" s="25"/>
      <c r="J107" s="25"/>
      <c r="K107" s="25"/>
      <c r="L107" s="245"/>
      <c r="M107" s="35"/>
      <c r="N107" s="22"/>
      <c r="O107" s="23"/>
      <c r="P107" s="23"/>
      <c r="Q107" s="23"/>
      <c r="R107" s="27"/>
      <c r="S107" s="35"/>
    </row>
    <row r="108" spans="1:19" s="21" customFormat="1">
      <c r="A108" s="34"/>
      <c r="B108" s="22"/>
      <c r="C108" s="23"/>
      <c r="D108" s="23"/>
      <c r="E108" s="23"/>
      <c r="F108" s="27"/>
      <c r="G108" s="35"/>
      <c r="H108" s="22"/>
      <c r="I108" s="23"/>
      <c r="J108" s="23"/>
      <c r="K108" s="23"/>
      <c r="L108" s="27"/>
      <c r="M108" s="35"/>
      <c r="N108" s="24"/>
      <c r="O108" s="25"/>
      <c r="P108" s="25"/>
      <c r="Q108" s="25"/>
      <c r="R108" s="27"/>
      <c r="S108" s="35"/>
    </row>
    <row r="109" spans="1:19" s="21" customFormat="1">
      <c r="A109" s="34"/>
      <c r="B109" s="24"/>
      <c r="C109" s="25"/>
      <c r="D109" s="25"/>
      <c r="E109" s="25"/>
      <c r="F109" s="245"/>
      <c r="G109" s="35"/>
      <c r="H109" s="24"/>
      <c r="I109" s="25"/>
      <c r="J109" s="25"/>
      <c r="K109" s="25"/>
      <c r="L109" s="245"/>
      <c r="M109" s="35"/>
      <c r="N109" s="24"/>
      <c r="O109" s="25"/>
      <c r="P109" s="25"/>
      <c r="Q109" s="25"/>
      <c r="R109" s="245"/>
      <c r="S109" s="35"/>
    </row>
    <row r="110" spans="1:19" s="21" customFormat="1">
      <c r="A110" s="34"/>
      <c r="B110" s="22"/>
      <c r="C110" s="23"/>
      <c r="D110" s="23"/>
      <c r="E110" s="23"/>
      <c r="F110" s="27"/>
      <c r="G110" s="35"/>
      <c r="H110" s="22"/>
      <c r="I110" s="23"/>
      <c r="J110" s="23"/>
      <c r="K110" s="23"/>
      <c r="L110" s="27"/>
      <c r="M110" s="35"/>
      <c r="N110" s="22"/>
      <c r="O110" s="23"/>
      <c r="P110" s="23"/>
      <c r="Q110" s="23"/>
      <c r="R110" s="27"/>
      <c r="S110" s="35"/>
    </row>
    <row r="111" spans="1:19" s="21" customFormat="1">
      <c r="A111" s="34"/>
      <c r="B111" s="24"/>
      <c r="C111" s="25"/>
      <c r="D111" s="25"/>
      <c r="E111" s="25"/>
      <c r="F111" s="245"/>
      <c r="G111" s="35"/>
      <c r="H111" s="24"/>
      <c r="I111" s="25"/>
      <c r="J111" s="25"/>
      <c r="K111" s="25"/>
      <c r="L111" s="245"/>
      <c r="M111" s="35"/>
      <c r="N111" s="24"/>
      <c r="O111" s="25"/>
      <c r="P111" s="25"/>
      <c r="Q111" s="25"/>
      <c r="R111" s="27"/>
      <c r="S111" s="35"/>
    </row>
    <row r="112" spans="1:19" s="21" customFormat="1">
      <c r="A112" s="34"/>
      <c r="B112" s="22"/>
      <c r="C112" s="23"/>
      <c r="D112" s="23"/>
      <c r="E112" s="23"/>
      <c r="F112" s="27"/>
      <c r="G112" s="35"/>
      <c r="H112" s="22"/>
      <c r="I112" s="23"/>
      <c r="J112" s="23"/>
      <c r="K112" s="23"/>
      <c r="L112" s="27"/>
      <c r="M112" s="35"/>
      <c r="N112" s="22"/>
      <c r="O112" s="23"/>
      <c r="P112" s="23"/>
      <c r="Q112" s="23"/>
      <c r="R112" s="27"/>
      <c r="S112" s="35"/>
    </row>
    <row r="113" spans="1:19" s="21" customFormat="1">
      <c r="A113" s="34"/>
      <c r="B113" s="24"/>
      <c r="C113" s="25"/>
      <c r="D113" s="25"/>
      <c r="E113" s="25"/>
      <c r="F113" s="245"/>
      <c r="G113" s="35"/>
      <c r="H113" s="24"/>
      <c r="I113" s="25"/>
      <c r="J113" s="25"/>
      <c r="K113" s="25"/>
      <c r="L113" s="245"/>
      <c r="M113" s="35"/>
      <c r="N113" s="24"/>
      <c r="O113" s="25"/>
      <c r="P113" s="25"/>
      <c r="Q113" s="25"/>
      <c r="R113" s="245"/>
      <c r="S113" s="35"/>
    </row>
    <row r="114" spans="1:19" s="21" customFormat="1">
      <c r="A114" s="34"/>
      <c r="B114" s="22"/>
      <c r="C114" s="23"/>
      <c r="D114" s="23"/>
      <c r="E114" s="23"/>
      <c r="F114" s="27"/>
      <c r="G114" s="35"/>
      <c r="H114" s="22"/>
      <c r="I114" s="23"/>
      <c r="J114" s="23"/>
      <c r="K114" s="23"/>
      <c r="L114" s="27"/>
      <c r="M114" s="35"/>
      <c r="N114" s="22"/>
      <c r="O114" s="23"/>
      <c r="P114" s="23"/>
      <c r="Q114" s="23"/>
      <c r="R114" s="27"/>
      <c r="S114" s="35"/>
    </row>
    <row r="115" spans="1:19" s="21" customFormat="1">
      <c r="A115" s="34"/>
      <c r="B115" s="24"/>
      <c r="C115" s="25"/>
      <c r="D115" s="25"/>
      <c r="E115" s="25"/>
      <c r="F115" s="245"/>
      <c r="G115" s="35"/>
      <c r="H115" s="24"/>
      <c r="I115" s="25"/>
      <c r="J115" s="25"/>
      <c r="K115" s="25"/>
      <c r="L115" s="245"/>
      <c r="M115" s="35"/>
      <c r="N115" s="24"/>
      <c r="O115" s="25"/>
      <c r="P115" s="25"/>
      <c r="Q115" s="25"/>
      <c r="R115" s="245"/>
      <c r="S115" s="35"/>
    </row>
    <row r="116" spans="1:19" s="21" customFormat="1">
      <c r="A116" s="34"/>
      <c r="B116" s="22"/>
      <c r="C116" s="23"/>
      <c r="D116" s="23"/>
      <c r="E116" s="23"/>
      <c r="F116" s="27"/>
      <c r="G116" s="35"/>
      <c r="H116" s="22"/>
      <c r="I116" s="23"/>
      <c r="J116" s="23"/>
      <c r="K116" s="23"/>
      <c r="L116" s="27"/>
      <c r="M116" s="35"/>
      <c r="N116" s="22"/>
      <c r="O116" s="23"/>
      <c r="P116" s="23"/>
      <c r="Q116" s="23"/>
      <c r="R116" s="27"/>
      <c r="S116" s="35"/>
    </row>
    <row r="117" spans="1:19" s="21" customFormat="1">
      <c r="A117" s="34"/>
      <c r="B117" s="24"/>
      <c r="C117" s="25"/>
      <c r="D117" s="25"/>
      <c r="E117" s="25"/>
      <c r="F117" s="245"/>
      <c r="G117" s="35"/>
      <c r="H117" s="24"/>
      <c r="I117" s="25"/>
      <c r="J117" s="25"/>
      <c r="K117" s="25"/>
      <c r="L117" s="245"/>
      <c r="M117" s="35"/>
      <c r="N117" s="24"/>
      <c r="O117" s="25"/>
      <c r="P117" s="25"/>
      <c r="Q117" s="25"/>
      <c r="R117" s="245"/>
      <c r="S117" s="35"/>
    </row>
    <row r="118" spans="1:19" s="21" customFormat="1">
      <c r="A118" s="34"/>
      <c r="B118" s="22"/>
      <c r="C118" s="26"/>
      <c r="D118" s="26"/>
      <c r="E118" s="26"/>
      <c r="F118" s="27"/>
      <c r="G118" s="35"/>
      <c r="H118" s="22"/>
      <c r="I118" s="26"/>
      <c r="J118" s="26"/>
      <c r="K118" s="26"/>
      <c r="L118" s="27"/>
      <c r="M118" s="35"/>
      <c r="N118" s="22"/>
      <c r="O118" s="26"/>
      <c r="P118" s="26"/>
      <c r="Q118" s="26"/>
      <c r="R118" s="27"/>
      <c r="S118" s="35"/>
    </row>
    <row r="119" spans="1:19" s="21" customFormat="1" ht="12" thickBot="1">
      <c r="A119" s="34"/>
      <c r="B119" s="28"/>
      <c r="C119" s="29"/>
      <c r="D119" s="29"/>
      <c r="E119" s="29"/>
      <c r="F119" s="30"/>
      <c r="G119" s="35"/>
      <c r="H119" s="28"/>
      <c r="I119" s="29"/>
      <c r="J119" s="29"/>
      <c r="K119" s="29"/>
      <c r="L119" s="30"/>
      <c r="M119" s="35"/>
      <c r="N119" s="28"/>
      <c r="O119" s="29"/>
      <c r="P119" s="29"/>
      <c r="Q119" s="29"/>
      <c r="R119" s="30"/>
      <c r="S119" s="35"/>
    </row>
    <row r="120" spans="1:19" ht="12" thickBot="1">
      <c r="B120" s="348" t="s">
        <v>149</v>
      </c>
      <c r="C120" s="349"/>
      <c r="D120" s="349"/>
      <c r="E120" s="349"/>
      <c r="F120" s="350"/>
      <c r="H120" s="342" t="s">
        <v>149</v>
      </c>
      <c r="I120" s="343"/>
      <c r="J120" s="343"/>
      <c r="K120" s="343"/>
      <c r="L120" s="344"/>
      <c r="N120" s="339" t="s">
        <v>149</v>
      </c>
      <c r="O120" s="340"/>
      <c r="P120" s="340"/>
      <c r="Q120" s="340"/>
      <c r="R120" s="341"/>
    </row>
    <row r="121" spans="1:19" s="21" customFormat="1" ht="22.5" customHeight="1" thickBot="1">
      <c r="A121" s="34"/>
      <c r="B121" s="333"/>
      <c r="C121" s="334"/>
      <c r="D121" s="334"/>
      <c r="E121" s="334"/>
      <c r="F121" s="335"/>
      <c r="G121" s="35"/>
      <c r="H121" s="333"/>
      <c r="I121" s="334"/>
      <c r="J121" s="334"/>
      <c r="K121" s="334"/>
      <c r="L121" s="335"/>
      <c r="M121" s="35"/>
      <c r="N121" s="333"/>
      <c r="O121" s="334"/>
      <c r="P121" s="334"/>
      <c r="Q121" s="334"/>
      <c r="R121" s="335"/>
      <c r="S121" s="35"/>
    </row>
    <row r="122" spans="1:19" ht="12" thickBot="1"/>
    <row r="123" spans="1:19" ht="12" thickBot="1">
      <c r="B123" s="351">
        <f>B103+1</f>
        <v>44527</v>
      </c>
      <c r="C123" s="352"/>
      <c r="D123" s="352"/>
      <c r="E123" s="352"/>
      <c r="F123" s="353"/>
      <c r="H123" s="345">
        <f>H103+1</f>
        <v>44534</v>
      </c>
      <c r="I123" s="346"/>
      <c r="J123" s="346"/>
      <c r="K123" s="346"/>
      <c r="L123" s="347"/>
      <c r="N123" s="336">
        <f>N103+1</f>
        <v>44541</v>
      </c>
      <c r="O123" s="337"/>
      <c r="P123" s="337"/>
      <c r="Q123" s="337"/>
      <c r="R123" s="338"/>
    </row>
    <row r="124" spans="1:19" ht="12" thickBot="1">
      <c r="B124" s="231" t="s">
        <v>152</v>
      </c>
      <c r="C124" s="232" t="s">
        <v>143</v>
      </c>
      <c r="D124" s="232" t="s">
        <v>142</v>
      </c>
      <c r="E124" s="233" t="s">
        <v>150</v>
      </c>
      <c r="F124" s="234" t="s">
        <v>148</v>
      </c>
      <c r="H124" s="235" t="s">
        <v>152</v>
      </c>
      <c r="I124" s="236" t="s">
        <v>143</v>
      </c>
      <c r="J124" s="236" t="s">
        <v>142</v>
      </c>
      <c r="K124" s="237" t="s">
        <v>150</v>
      </c>
      <c r="L124" s="238" t="s">
        <v>148</v>
      </c>
      <c r="N124" s="239" t="s">
        <v>152</v>
      </c>
      <c r="O124" s="240" t="s">
        <v>143</v>
      </c>
      <c r="P124" s="240" t="s">
        <v>142</v>
      </c>
      <c r="Q124" s="241" t="s">
        <v>150</v>
      </c>
      <c r="R124" s="242" t="s">
        <v>148</v>
      </c>
    </row>
    <row r="125" spans="1:19" s="21" customFormat="1">
      <c r="A125" s="34"/>
      <c r="B125" s="24"/>
      <c r="C125" s="23"/>
      <c r="D125" s="23"/>
      <c r="E125" s="23"/>
      <c r="F125" s="244"/>
      <c r="G125" s="35"/>
      <c r="H125" s="19"/>
      <c r="I125" s="20"/>
      <c r="J125" s="20"/>
      <c r="K125" s="20"/>
      <c r="L125" s="244"/>
      <c r="M125" s="35"/>
      <c r="N125" s="19"/>
      <c r="O125" s="20"/>
      <c r="P125" s="20"/>
      <c r="Q125" s="20"/>
      <c r="R125" s="244"/>
      <c r="S125" s="35"/>
    </row>
    <row r="126" spans="1:19" s="21" customFormat="1">
      <c r="A126" s="34"/>
      <c r="B126" s="22"/>
      <c r="C126" s="25"/>
      <c r="D126" s="25"/>
      <c r="E126" s="25"/>
      <c r="F126" s="27"/>
      <c r="G126" s="35"/>
      <c r="H126" s="22"/>
      <c r="I126" s="23"/>
      <c r="J126" s="23"/>
      <c r="K126" s="23"/>
      <c r="L126" s="27"/>
      <c r="M126" s="35"/>
      <c r="N126" s="22"/>
      <c r="O126" s="23"/>
      <c r="P126" s="23"/>
      <c r="Q126" s="23"/>
      <c r="R126" s="27"/>
      <c r="S126" s="35"/>
    </row>
    <row r="127" spans="1:19" s="21" customFormat="1">
      <c r="A127" s="34"/>
      <c r="B127" s="24"/>
      <c r="C127" s="25"/>
      <c r="D127" s="25"/>
      <c r="E127" s="25"/>
      <c r="F127" s="245"/>
      <c r="G127" s="35"/>
      <c r="H127" s="24"/>
      <c r="I127" s="25"/>
      <c r="J127" s="25"/>
      <c r="K127" s="25"/>
      <c r="L127" s="245"/>
      <c r="M127" s="35"/>
      <c r="N127" s="24"/>
      <c r="O127" s="25"/>
      <c r="P127" s="25"/>
      <c r="Q127" s="25"/>
      <c r="R127" s="245"/>
      <c r="S127" s="35"/>
    </row>
    <row r="128" spans="1:19" s="21" customFormat="1">
      <c r="A128" s="34"/>
      <c r="B128" s="22"/>
      <c r="C128" s="23"/>
      <c r="D128" s="23"/>
      <c r="E128" s="23"/>
      <c r="F128" s="27"/>
      <c r="G128" s="35"/>
      <c r="H128" s="22"/>
      <c r="I128" s="23"/>
      <c r="J128" s="23"/>
      <c r="K128" s="23"/>
      <c r="L128" s="27"/>
      <c r="M128" s="35"/>
      <c r="N128" s="22"/>
      <c r="O128" s="23"/>
      <c r="P128" s="23"/>
      <c r="Q128" s="23"/>
      <c r="R128" s="27"/>
      <c r="S128" s="35"/>
    </row>
    <row r="129" spans="1:19" s="21" customFormat="1">
      <c r="A129" s="34"/>
      <c r="B129" s="24"/>
      <c r="C129" s="25"/>
      <c r="D129" s="25"/>
      <c r="E129" s="25"/>
      <c r="F129" s="245"/>
      <c r="G129" s="35"/>
      <c r="H129" s="24"/>
      <c r="I129" s="25"/>
      <c r="J129" s="25"/>
      <c r="K129" s="25"/>
      <c r="L129" s="245"/>
      <c r="M129" s="35"/>
      <c r="N129" s="24"/>
      <c r="O129" s="25"/>
      <c r="P129" s="25"/>
      <c r="Q129" s="25"/>
      <c r="R129" s="245"/>
      <c r="S129" s="35"/>
    </row>
    <row r="130" spans="1:19" s="21" customFormat="1">
      <c r="A130" s="34"/>
      <c r="B130" s="22"/>
      <c r="C130" s="23"/>
      <c r="D130" s="23"/>
      <c r="E130" s="23"/>
      <c r="F130" s="27"/>
      <c r="G130" s="35"/>
      <c r="H130" s="22"/>
      <c r="I130" s="23"/>
      <c r="J130" s="23"/>
      <c r="K130" s="23"/>
      <c r="L130" s="27"/>
      <c r="M130" s="35"/>
      <c r="N130" s="22"/>
      <c r="O130" s="23"/>
      <c r="P130" s="23"/>
      <c r="Q130" s="23"/>
      <c r="R130" s="27"/>
      <c r="S130" s="35"/>
    </row>
    <row r="131" spans="1:19" s="21" customFormat="1">
      <c r="A131" s="34"/>
      <c r="B131" s="24"/>
      <c r="C131" s="25"/>
      <c r="D131" s="25"/>
      <c r="E131" s="25"/>
      <c r="F131" s="245"/>
      <c r="G131" s="35"/>
      <c r="H131" s="24"/>
      <c r="I131" s="25"/>
      <c r="J131" s="25"/>
      <c r="K131" s="25"/>
      <c r="L131" s="245"/>
      <c r="M131" s="35"/>
      <c r="N131" s="24"/>
      <c r="O131" s="25"/>
      <c r="P131" s="25"/>
      <c r="Q131" s="25"/>
      <c r="R131" s="245"/>
      <c r="S131" s="35"/>
    </row>
    <row r="132" spans="1:19" s="21" customFormat="1">
      <c r="A132" s="34"/>
      <c r="B132" s="22"/>
      <c r="C132" s="23"/>
      <c r="D132" s="23"/>
      <c r="E132" s="23"/>
      <c r="F132" s="27"/>
      <c r="G132" s="35"/>
      <c r="H132" s="22"/>
      <c r="I132" s="23"/>
      <c r="J132" s="23"/>
      <c r="K132" s="23"/>
      <c r="L132" s="27"/>
      <c r="M132" s="35"/>
      <c r="N132" s="22"/>
      <c r="O132" s="23"/>
      <c r="P132" s="23"/>
      <c r="Q132" s="23"/>
      <c r="R132" s="27"/>
      <c r="S132" s="35"/>
    </row>
    <row r="133" spans="1:19" s="21" customFormat="1">
      <c r="A133" s="34"/>
      <c r="B133" s="24"/>
      <c r="C133" s="25"/>
      <c r="D133" s="25"/>
      <c r="E133" s="25"/>
      <c r="F133" s="245"/>
      <c r="G133" s="35"/>
      <c r="H133" s="24"/>
      <c r="I133" s="25"/>
      <c r="J133" s="25"/>
      <c r="K133" s="25"/>
      <c r="L133" s="245"/>
      <c r="M133" s="35"/>
      <c r="N133" s="24"/>
      <c r="O133" s="25"/>
      <c r="P133" s="25"/>
      <c r="Q133" s="25"/>
      <c r="R133" s="245"/>
      <c r="S133" s="35"/>
    </row>
    <row r="134" spans="1:19" s="21" customFormat="1">
      <c r="A134" s="34"/>
      <c r="B134" s="22"/>
      <c r="C134" s="23"/>
      <c r="D134" s="23"/>
      <c r="E134" s="23"/>
      <c r="F134" s="27"/>
      <c r="G134" s="35"/>
      <c r="H134" s="22"/>
      <c r="I134" s="23"/>
      <c r="J134" s="23"/>
      <c r="K134" s="23"/>
      <c r="L134" s="27"/>
      <c r="M134" s="35"/>
      <c r="N134" s="22"/>
      <c r="O134" s="23"/>
      <c r="P134" s="23"/>
      <c r="Q134" s="23"/>
      <c r="R134" s="27"/>
      <c r="S134" s="35"/>
    </row>
    <row r="135" spans="1:19" s="21" customFormat="1">
      <c r="A135" s="34"/>
      <c r="B135" s="24"/>
      <c r="C135" s="25"/>
      <c r="D135" s="25"/>
      <c r="E135" s="25"/>
      <c r="F135" s="245"/>
      <c r="G135" s="35"/>
      <c r="H135" s="24"/>
      <c r="I135" s="25"/>
      <c r="J135" s="25"/>
      <c r="K135" s="25"/>
      <c r="L135" s="245"/>
      <c r="M135" s="35"/>
      <c r="N135" s="24"/>
      <c r="O135" s="25"/>
      <c r="P135" s="25"/>
      <c r="Q135" s="25"/>
      <c r="R135" s="245"/>
      <c r="S135" s="35"/>
    </row>
    <row r="136" spans="1:19" s="21" customFormat="1">
      <c r="A136" s="34"/>
      <c r="B136" s="22"/>
      <c r="C136" s="23"/>
      <c r="D136" s="23"/>
      <c r="E136" s="23"/>
      <c r="F136" s="27"/>
      <c r="G136" s="35"/>
      <c r="H136" s="22"/>
      <c r="I136" s="23"/>
      <c r="J136" s="23"/>
      <c r="K136" s="23"/>
      <c r="L136" s="27"/>
      <c r="M136" s="35"/>
      <c r="N136" s="22"/>
      <c r="O136" s="23"/>
      <c r="P136" s="23"/>
      <c r="Q136" s="23"/>
      <c r="R136" s="27"/>
      <c r="S136" s="35"/>
    </row>
    <row r="137" spans="1:19" s="21" customFormat="1">
      <c r="A137" s="34"/>
      <c r="B137" s="24"/>
      <c r="C137" s="25"/>
      <c r="D137" s="25"/>
      <c r="E137" s="25"/>
      <c r="F137" s="245"/>
      <c r="G137" s="35"/>
      <c r="H137" s="24"/>
      <c r="I137" s="25"/>
      <c r="J137" s="25"/>
      <c r="K137" s="25"/>
      <c r="L137" s="245"/>
      <c r="M137" s="35"/>
      <c r="N137" s="24"/>
      <c r="O137" s="25"/>
      <c r="P137" s="25"/>
      <c r="Q137" s="25"/>
      <c r="R137" s="245"/>
      <c r="S137" s="35"/>
    </row>
    <row r="138" spans="1:19" s="21" customFormat="1">
      <c r="A138" s="34"/>
      <c r="B138" s="22"/>
      <c r="C138" s="26"/>
      <c r="D138" s="26"/>
      <c r="E138" s="26"/>
      <c r="F138" s="27"/>
      <c r="G138" s="35"/>
      <c r="H138" s="22"/>
      <c r="I138" s="26"/>
      <c r="J138" s="26"/>
      <c r="K138" s="26"/>
      <c r="L138" s="27"/>
      <c r="M138" s="35"/>
      <c r="N138" s="22"/>
      <c r="O138" s="26"/>
      <c r="P138" s="26"/>
      <c r="Q138" s="26"/>
      <c r="R138" s="27"/>
      <c r="S138" s="35"/>
    </row>
    <row r="139" spans="1:19" s="21" customFormat="1" ht="12" thickBot="1">
      <c r="A139" s="34"/>
      <c r="B139" s="28"/>
      <c r="C139" s="29"/>
      <c r="D139" s="29"/>
      <c r="E139" s="29"/>
      <c r="F139" s="30"/>
      <c r="G139" s="35"/>
      <c r="H139" s="28"/>
      <c r="I139" s="29"/>
      <c r="J139" s="29"/>
      <c r="K139" s="29"/>
      <c r="L139" s="30"/>
      <c r="M139" s="35"/>
      <c r="N139" s="28"/>
      <c r="O139" s="29"/>
      <c r="P139" s="29"/>
      <c r="Q139" s="29"/>
      <c r="R139" s="30"/>
      <c r="S139" s="35"/>
    </row>
    <row r="140" spans="1:19" ht="12" thickBot="1">
      <c r="B140" s="348" t="s">
        <v>149</v>
      </c>
      <c r="C140" s="349"/>
      <c r="D140" s="349"/>
      <c r="E140" s="349"/>
      <c r="F140" s="350"/>
      <c r="H140" s="342" t="s">
        <v>149</v>
      </c>
      <c r="I140" s="343"/>
      <c r="J140" s="343"/>
      <c r="K140" s="343"/>
      <c r="L140" s="344"/>
      <c r="N140" s="339" t="s">
        <v>149</v>
      </c>
      <c r="O140" s="340"/>
      <c r="P140" s="340"/>
      <c r="Q140" s="340"/>
      <c r="R140" s="341"/>
    </row>
    <row r="141" spans="1:19" s="21" customFormat="1" ht="22.5" customHeight="1" thickBot="1">
      <c r="A141" s="34"/>
      <c r="B141" s="333"/>
      <c r="C141" s="334"/>
      <c r="D141" s="334"/>
      <c r="E141" s="334"/>
      <c r="F141" s="335"/>
      <c r="G141" s="35"/>
      <c r="H141" s="333"/>
      <c r="I141" s="334"/>
      <c r="J141" s="334"/>
      <c r="K141" s="334"/>
      <c r="L141" s="335"/>
      <c r="M141" s="35"/>
      <c r="N141" s="333"/>
      <c r="O141" s="334"/>
      <c r="P141" s="334"/>
      <c r="Q141" s="334"/>
      <c r="R141" s="335"/>
      <c r="S141" s="35"/>
    </row>
  </sheetData>
  <sheetProtection sheet="1" objects="1" scenarios="1" selectLockedCells="1"/>
  <mergeCells count="66">
    <mergeCell ref="D2:F2"/>
    <mergeCell ref="J2:L2"/>
    <mergeCell ref="P2:R2"/>
    <mergeCell ref="B3:F3"/>
    <mergeCell ref="B23:F23"/>
    <mergeCell ref="H3:L3"/>
    <mergeCell ref="H20:L20"/>
    <mergeCell ref="H21:L21"/>
    <mergeCell ref="H23:L23"/>
    <mergeCell ref="B43:F43"/>
    <mergeCell ref="B63:F63"/>
    <mergeCell ref="B83:F83"/>
    <mergeCell ref="B20:F20"/>
    <mergeCell ref="B21:F21"/>
    <mergeCell ref="B40:F40"/>
    <mergeCell ref="B41:F41"/>
    <mergeCell ref="B80:F80"/>
    <mergeCell ref="B81:F81"/>
    <mergeCell ref="B60:F60"/>
    <mergeCell ref="B61:F61"/>
    <mergeCell ref="B140:F140"/>
    <mergeCell ref="B141:F141"/>
    <mergeCell ref="B120:F120"/>
    <mergeCell ref="B121:F121"/>
    <mergeCell ref="B100:F100"/>
    <mergeCell ref="B101:F101"/>
    <mergeCell ref="B123:F123"/>
    <mergeCell ref="B103:F103"/>
    <mergeCell ref="H40:L40"/>
    <mergeCell ref="H41:L41"/>
    <mergeCell ref="H43:L43"/>
    <mergeCell ref="H60:L60"/>
    <mergeCell ref="H61:L61"/>
    <mergeCell ref="H63:L63"/>
    <mergeCell ref="H80:L80"/>
    <mergeCell ref="H81:L81"/>
    <mergeCell ref="H83:L83"/>
    <mergeCell ref="H100:L100"/>
    <mergeCell ref="H101:L101"/>
    <mergeCell ref="H103:L103"/>
    <mergeCell ref="H120:L120"/>
    <mergeCell ref="H121:L121"/>
    <mergeCell ref="H123:L123"/>
    <mergeCell ref="H140:L140"/>
    <mergeCell ref="H141:L141"/>
    <mergeCell ref="N3:R3"/>
    <mergeCell ref="N20:R20"/>
    <mergeCell ref="N21:R21"/>
    <mergeCell ref="N23:R23"/>
    <mergeCell ref="N40:R40"/>
    <mergeCell ref="N41:R41"/>
    <mergeCell ref="N43:R43"/>
    <mergeCell ref="N60:R60"/>
    <mergeCell ref="N61:R61"/>
    <mergeCell ref="N63:R63"/>
    <mergeCell ref="N80:R80"/>
    <mergeCell ref="N81:R81"/>
    <mergeCell ref="N83:R83"/>
    <mergeCell ref="N100:R100"/>
    <mergeCell ref="N101:R101"/>
    <mergeCell ref="N141:R141"/>
    <mergeCell ref="N103:R103"/>
    <mergeCell ref="N120:R120"/>
    <mergeCell ref="N121:R121"/>
    <mergeCell ref="N123:R123"/>
    <mergeCell ref="N140:R140"/>
  </mergeCells>
  <dataValidations count="2">
    <dataValidation type="list" allowBlank="1" showInputMessage="1" showErrorMessage="1" sqref="C5:C19 C25:C39 C45:C59 C65:C79 C85:C99 C105:C119 I25:I39 I45:I59 I125:I139 O5:O19 O25:O39 O65:O79 O125:O139 O105:O119 O86:O99 O45:O48 O50:O59 I65:I69 C128:C139 I85:I99 I73:I79 I105:I119 I5:I19" xr:uid="{1722A67F-1CD6-4EDC-A502-96EC21941FE9}">
      <formula1>Activities</formula1>
    </dataValidation>
    <dataValidation type="list" allowBlank="1" showInputMessage="1" showErrorMessage="1" sqref="B5:B19 B25:B39 B45:B59 B65:B79 B85:B99 B105:B119 H25:H39 H45:H59 H125:H139 N5:N19 N25:N39 N65:N79 N125:N139 N105:N119 N45:N48 N50:N59 N86:N99 H5:H19 B128:B139 H85:H99 H73:H79 H105:H119 H65:H69" xr:uid="{3F070498-EF9A-4FBA-9258-3779C47E9BB0}">
      <formula1>CellSampleNames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2290" r:id="rId4" name="ButtonSave1">
              <controlPr defaultSize="0" print="0" autoFill="0" autoPict="0" macro="[0]!SaveData">
                <anchor moveWithCells="1" sizeWithCells="1">
                  <from>
                    <xdr:col>1</xdr:col>
                    <xdr:colOff>19050</xdr:colOff>
                    <xdr:row>2</xdr:row>
                    <xdr:rowOff>19050</xdr:rowOff>
                  </from>
                  <to>
                    <xdr:col>2</xdr:col>
                    <xdr:colOff>0</xdr:colOff>
                    <xdr:row>2</xdr:row>
                    <xdr:rowOff>152400</xdr:rowOff>
                  </to>
                </anchor>
              </controlPr>
            </control>
          </mc:Choice>
        </mc:AlternateContent>
        <mc:AlternateContent xmlns:mc="http://schemas.openxmlformats.org/markup-compatibility/2006">
          <mc:Choice Requires="x14">
            <control shapeId="12300" r:id="rId5" name="ButtonSave2">
              <controlPr defaultSize="0" print="0" autoFill="0" autoPict="0" macro="[0]!SaveData">
                <anchor moveWithCells="1" sizeWithCells="1">
                  <from>
                    <xdr:col>1</xdr:col>
                    <xdr:colOff>19050</xdr:colOff>
                    <xdr:row>22</xdr:row>
                    <xdr:rowOff>19050</xdr:rowOff>
                  </from>
                  <to>
                    <xdr:col>2</xdr:col>
                    <xdr:colOff>0</xdr:colOff>
                    <xdr:row>22</xdr:row>
                    <xdr:rowOff>152400</xdr:rowOff>
                  </to>
                </anchor>
              </controlPr>
            </control>
          </mc:Choice>
        </mc:AlternateContent>
        <mc:AlternateContent xmlns:mc="http://schemas.openxmlformats.org/markup-compatibility/2006">
          <mc:Choice Requires="x14">
            <control shapeId="12301" r:id="rId6" name="ButtonSave3">
              <controlPr defaultSize="0" print="0" autoFill="0" autoPict="0" macro="[0]!SaveData">
                <anchor moveWithCells="1" sizeWithCells="1">
                  <from>
                    <xdr:col>1</xdr:col>
                    <xdr:colOff>19050</xdr:colOff>
                    <xdr:row>42</xdr:row>
                    <xdr:rowOff>19050</xdr:rowOff>
                  </from>
                  <to>
                    <xdr:col>2</xdr:col>
                    <xdr:colOff>0</xdr:colOff>
                    <xdr:row>42</xdr:row>
                    <xdr:rowOff>152400</xdr:rowOff>
                  </to>
                </anchor>
              </controlPr>
            </control>
          </mc:Choice>
        </mc:AlternateContent>
        <mc:AlternateContent xmlns:mc="http://schemas.openxmlformats.org/markup-compatibility/2006">
          <mc:Choice Requires="x14">
            <control shapeId="12302" r:id="rId7" name="ButtonSave4">
              <controlPr defaultSize="0" print="0" autoFill="0" autoPict="0" macro="[0]!SaveData">
                <anchor moveWithCells="1" sizeWithCells="1">
                  <from>
                    <xdr:col>1</xdr:col>
                    <xdr:colOff>19050</xdr:colOff>
                    <xdr:row>62</xdr:row>
                    <xdr:rowOff>19050</xdr:rowOff>
                  </from>
                  <to>
                    <xdr:col>2</xdr:col>
                    <xdr:colOff>0</xdr:colOff>
                    <xdr:row>62</xdr:row>
                    <xdr:rowOff>152400</xdr:rowOff>
                  </to>
                </anchor>
              </controlPr>
            </control>
          </mc:Choice>
        </mc:AlternateContent>
        <mc:AlternateContent xmlns:mc="http://schemas.openxmlformats.org/markup-compatibility/2006">
          <mc:Choice Requires="x14">
            <control shapeId="12303" r:id="rId8" name="ButtonSave5">
              <controlPr defaultSize="0" print="0" autoFill="0" autoPict="0" macro="[0]!SaveData">
                <anchor moveWithCells="1" sizeWithCells="1">
                  <from>
                    <xdr:col>1</xdr:col>
                    <xdr:colOff>19050</xdr:colOff>
                    <xdr:row>82</xdr:row>
                    <xdr:rowOff>19050</xdr:rowOff>
                  </from>
                  <to>
                    <xdr:col>2</xdr:col>
                    <xdr:colOff>0</xdr:colOff>
                    <xdr:row>82</xdr:row>
                    <xdr:rowOff>152400</xdr:rowOff>
                  </to>
                </anchor>
              </controlPr>
            </control>
          </mc:Choice>
        </mc:AlternateContent>
        <mc:AlternateContent xmlns:mc="http://schemas.openxmlformats.org/markup-compatibility/2006">
          <mc:Choice Requires="x14">
            <control shapeId="12304" r:id="rId9" name="ButtonSave6">
              <controlPr defaultSize="0" print="0" autoFill="0" autoPict="0" macro="[0]!SaveData">
                <anchor moveWithCells="1" sizeWithCells="1">
                  <from>
                    <xdr:col>1</xdr:col>
                    <xdr:colOff>19050</xdr:colOff>
                    <xdr:row>102</xdr:row>
                    <xdr:rowOff>19050</xdr:rowOff>
                  </from>
                  <to>
                    <xdr:col>2</xdr:col>
                    <xdr:colOff>0</xdr:colOff>
                    <xdr:row>102</xdr:row>
                    <xdr:rowOff>152400</xdr:rowOff>
                  </to>
                </anchor>
              </controlPr>
            </control>
          </mc:Choice>
        </mc:AlternateContent>
        <mc:AlternateContent xmlns:mc="http://schemas.openxmlformats.org/markup-compatibility/2006">
          <mc:Choice Requires="x14">
            <control shapeId="12305" r:id="rId10" name="ButtonSave7">
              <controlPr defaultSize="0" print="0" autoFill="0" autoPict="0" macro="[0]!SaveData">
                <anchor moveWithCells="1" sizeWithCells="1">
                  <from>
                    <xdr:col>1</xdr:col>
                    <xdr:colOff>19050</xdr:colOff>
                    <xdr:row>122</xdr:row>
                    <xdr:rowOff>19050</xdr:rowOff>
                  </from>
                  <to>
                    <xdr:col>2</xdr:col>
                    <xdr:colOff>0</xdr:colOff>
                    <xdr:row>122</xdr:row>
                    <xdr:rowOff>152400</xdr:rowOff>
                  </to>
                </anchor>
              </controlPr>
            </control>
          </mc:Choice>
        </mc:AlternateContent>
        <mc:AlternateContent xmlns:mc="http://schemas.openxmlformats.org/markup-compatibility/2006">
          <mc:Choice Requires="x14">
            <control shapeId="12306" r:id="rId11" name="ButtonSave14">
              <controlPr defaultSize="0" print="0" autoFill="0" autoPict="0" macro="[0]!SaveData">
                <anchor moveWithCells="1" sizeWithCells="1">
                  <from>
                    <xdr:col>7</xdr:col>
                    <xdr:colOff>19050</xdr:colOff>
                    <xdr:row>122</xdr:row>
                    <xdr:rowOff>19050</xdr:rowOff>
                  </from>
                  <to>
                    <xdr:col>8</xdr:col>
                    <xdr:colOff>0</xdr:colOff>
                    <xdr:row>122</xdr:row>
                    <xdr:rowOff>152400</xdr:rowOff>
                  </to>
                </anchor>
              </controlPr>
            </control>
          </mc:Choice>
        </mc:AlternateContent>
        <mc:AlternateContent xmlns:mc="http://schemas.openxmlformats.org/markup-compatibility/2006">
          <mc:Choice Requires="x14">
            <control shapeId="12307" r:id="rId12" name="ButtonSave21">
              <controlPr defaultSize="0" print="0" autoFill="0" autoPict="0" macro="[0]!SaveData">
                <anchor moveWithCells="1" sizeWithCells="1">
                  <from>
                    <xdr:col>13</xdr:col>
                    <xdr:colOff>19050</xdr:colOff>
                    <xdr:row>122</xdr:row>
                    <xdr:rowOff>19050</xdr:rowOff>
                  </from>
                  <to>
                    <xdr:col>14</xdr:col>
                    <xdr:colOff>0</xdr:colOff>
                    <xdr:row>122</xdr:row>
                    <xdr:rowOff>152400</xdr:rowOff>
                  </to>
                </anchor>
              </controlPr>
            </control>
          </mc:Choice>
        </mc:AlternateContent>
        <mc:AlternateContent xmlns:mc="http://schemas.openxmlformats.org/markup-compatibility/2006">
          <mc:Choice Requires="x14">
            <control shapeId="12309" r:id="rId13" name="ButtonSave13">
              <controlPr defaultSize="0" print="0" autoFill="0" autoPict="0" macro="[0]!SaveData">
                <anchor moveWithCells="1" sizeWithCells="1">
                  <from>
                    <xdr:col>7</xdr:col>
                    <xdr:colOff>19050</xdr:colOff>
                    <xdr:row>102</xdr:row>
                    <xdr:rowOff>19050</xdr:rowOff>
                  </from>
                  <to>
                    <xdr:col>8</xdr:col>
                    <xdr:colOff>0</xdr:colOff>
                    <xdr:row>102</xdr:row>
                    <xdr:rowOff>152400</xdr:rowOff>
                  </to>
                </anchor>
              </controlPr>
            </control>
          </mc:Choice>
        </mc:AlternateContent>
        <mc:AlternateContent xmlns:mc="http://schemas.openxmlformats.org/markup-compatibility/2006">
          <mc:Choice Requires="x14">
            <control shapeId="12310" r:id="rId14" name="ButtonSave20">
              <controlPr defaultSize="0" print="0" autoFill="0" autoPict="0" macro="[0]!SaveData">
                <anchor moveWithCells="1" sizeWithCells="1">
                  <from>
                    <xdr:col>13</xdr:col>
                    <xdr:colOff>19050</xdr:colOff>
                    <xdr:row>102</xdr:row>
                    <xdr:rowOff>19050</xdr:rowOff>
                  </from>
                  <to>
                    <xdr:col>14</xdr:col>
                    <xdr:colOff>0</xdr:colOff>
                    <xdr:row>102</xdr:row>
                    <xdr:rowOff>152400</xdr:rowOff>
                  </to>
                </anchor>
              </controlPr>
            </control>
          </mc:Choice>
        </mc:AlternateContent>
        <mc:AlternateContent xmlns:mc="http://schemas.openxmlformats.org/markup-compatibility/2006">
          <mc:Choice Requires="x14">
            <control shapeId="12312" r:id="rId15" name="ButtonSave12">
              <controlPr defaultSize="0" print="0" autoFill="0" autoPict="0" macro="[0]!SaveData">
                <anchor moveWithCells="1" sizeWithCells="1">
                  <from>
                    <xdr:col>7</xdr:col>
                    <xdr:colOff>19050</xdr:colOff>
                    <xdr:row>82</xdr:row>
                    <xdr:rowOff>19050</xdr:rowOff>
                  </from>
                  <to>
                    <xdr:col>8</xdr:col>
                    <xdr:colOff>0</xdr:colOff>
                    <xdr:row>82</xdr:row>
                    <xdr:rowOff>152400</xdr:rowOff>
                  </to>
                </anchor>
              </controlPr>
            </control>
          </mc:Choice>
        </mc:AlternateContent>
        <mc:AlternateContent xmlns:mc="http://schemas.openxmlformats.org/markup-compatibility/2006">
          <mc:Choice Requires="x14">
            <control shapeId="12313" r:id="rId16" name="ButtonSave19">
              <controlPr defaultSize="0" print="0" autoFill="0" autoPict="0" macro="[0]!SaveData">
                <anchor moveWithCells="1" sizeWithCells="1">
                  <from>
                    <xdr:col>13</xdr:col>
                    <xdr:colOff>19050</xdr:colOff>
                    <xdr:row>82</xdr:row>
                    <xdr:rowOff>19050</xdr:rowOff>
                  </from>
                  <to>
                    <xdr:col>14</xdr:col>
                    <xdr:colOff>0</xdr:colOff>
                    <xdr:row>82</xdr:row>
                    <xdr:rowOff>152400</xdr:rowOff>
                  </to>
                </anchor>
              </controlPr>
            </control>
          </mc:Choice>
        </mc:AlternateContent>
        <mc:AlternateContent xmlns:mc="http://schemas.openxmlformats.org/markup-compatibility/2006">
          <mc:Choice Requires="x14">
            <control shapeId="12315" r:id="rId17" name="ButtonSave11">
              <controlPr defaultSize="0" print="0" autoFill="0" autoPict="0" macro="[0]!SaveData">
                <anchor moveWithCells="1" sizeWithCells="1">
                  <from>
                    <xdr:col>7</xdr:col>
                    <xdr:colOff>19050</xdr:colOff>
                    <xdr:row>62</xdr:row>
                    <xdr:rowOff>19050</xdr:rowOff>
                  </from>
                  <to>
                    <xdr:col>8</xdr:col>
                    <xdr:colOff>0</xdr:colOff>
                    <xdr:row>62</xdr:row>
                    <xdr:rowOff>152400</xdr:rowOff>
                  </to>
                </anchor>
              </controlPr>
            </control>
          </mc:Choice>
        </mc:AlternateContent>
        <mc:AlternateContent xmlns:mc="http://schemas.openxmlformats.org/markup-compatibility/2006">
          <mc:Choice Requires="x14">
            <control shapeId="12316" r:id="rId18" name="ButtonSave18">
              <controlPr defaultSize="0" print="0" autoFill="0" autoPict="0" macro="[0]!SaveData">
                <anchor moveWithCells="1" sizeWithCells="1">
                  <from>
                    <xdr:col>13</xdr:col>
                    <xdr:colOff>19050</xdr:colOff>
                    <xdr:row>62</xdr:row>
                    <xdr:rowOff>19050</xdr:rowOff>
                  </from>
                  <to>
                    <xdr:col>14</xdr:col>
                    <xdr:colOff>0</xdr:colOff>
                    <xdr:row>62</xdr:row>
                    <xdr:rowOff>152400</xdr:rowOff>
                  </to>
                </anchor>
              </controlPr>
            </control>
          </mc:Choice>
        </mc:AlternateContent>
        <mc:AlternateContent xmlns:mc="http://schemas.openxmlformats.org/markup-compatibility/2006">
          <mc:Choice Requires="x14">
            <control shapeId="12319" r:id="rId19" name="ButtonSave17">
              <controlPr defaultSize="0" print="0" autoFill="0" autoPict="0" macro="[0]!SaveData">
                <anchor moveWithCells="1" sizeWithCells="1">
                  <from>
                    <xdr:col>13</xdr:col>
                    <xdr:colOff>19050</xdr:colOff>
                    <xdr:row>42</xdr:row>
                    <xdr:rowOff>19050</xdr:rowOff>
                  </from>
                  <to>
                    <xdr:col>14</xdr:col>
                    <xdr:colOff>0</xdr:colOff>
                    <xdr:row>42</xdr:row>
                    <xdr:rowOff>152400</xdr:rowOff>
                  </to>
                </anchor>
              </controlPr>
            </control>
          </mc:Choice>
        </mc:AlternateContent>
        <mc:AlternateContent xmlns:mc="http://schemas.openxmlformats.org/markup-compatibility/2006">
          <mc:Choice Requires="x14">
            <control shapeId="12320" r:id="rId20" name="ButtonSave10">
              <controlPr defaultSize="0" print="0" autoFill="0" autoPict="0" macro="[0]!SaveData">
                <anchor moveWithCells="1" sizeWithCells="1">
                  <from>
                    <xdr:col>7</xdr:col>
                    <xdr:colOff>19050</xdr:colOff>
                    <xdr:row>42</xdr:row>
                    <xdr:rowOff>19050</xdr:rowOff>
                  </from>
                  <to>
                    <xdr:col>8</xdr:col>
                    <xdr:colOff>0</xdr:colOff>
                    <xdr:row>42</xdr:row>
                    <xdr:rowOff>152400</xdr:rowOff>
                  </to>
                </anchor>
              </controlPr>
            </control>
          </mc:Choice>
        </mc:AlternateContent>
        <mc:AlternateContent xmlns:mc="http://schemas.openxmlformats.org/markup-compatibility/2006">
          <mc:Choice Requires="x14">
            <control shapeId="12321" r:id="rId21" name="ButtonSave9">
              <controlPr defaultSize="0" print="0" autoFill="0" autoPict="0" macro="[0]!SaveData">
                <anchor moveWithCells="1" sizeWithCells="1">
                  <from>
                    <xdr:col>7</xdr:col>
                    <xdr:colOff>19050</xdr:colOff>
                    <xdr:row>22</xdr:row>
                    <xdr:rowOff>19050</xdr:rowOff>
                  </from>
                  <to>
                    <xdr:col>8</xdr:col>
                    <xdr:colOff>0</xdr:colOff>
                    <xdr:row>22</xdr:row>
                    <xdr:rowOff>152400</xdr:rowOff>
                  </to>
                </anchor>
              </controlPr>
            </control>
          </mc:Choice>
        </mc:AlternateContent>
        <mc:AlternateContent xmlns:mc="http://schemas.openxmlformats.org/markup-compatibility/2006">
          <mc:Choice Requires="x14">
            <control shapeId="12322" r:id="rId22" name="ButtonSave16">
              <controlPr defaultSize="0" print="0" autoFill="0" autoPict="0" macro="[0]!SaveData">
                <anchor moveWithCells="1" sizeWithCells="1">
                  <from>
                    <xdr:col>13</xdr:col>
                    <xdr:colOff>19050</xdr:colOff>
                    <xdr:row>22</xdr:row>
                    <xdr:rowOff>19050</xdr:rowOff>
                  </from>
                  <to>
                    <xdr:col>14</xdr:col>
                    <xdr:colOff>0</xdr:colOff>
                    <xdr:row>22</xdr:row>
                    <xdr:rowOff>152400</xdr:rowOff>
                  </to>
                </anchor>
              </controlPr>
            </control>
          </mc:Choice>
        </mc:AlternateContent>
        <mc:AlternateContent xmlns:mc="http://schemas.openxmlformats.org/markup-compatibility/2006">
          <mc:Choice Requires="x14">
            <control shapeId="12325" r:id="rId23" name="ButtonSave15">
              <controlPr defaultSize="0" print="0" autoFill="0" autoPict="0" macro="[0]!SaveData">
                <anchor moveWithCells="1" sizeWithCells="1">
                  <from>
                    <xdr:col>13</xdr:col>
                    <xdr:colOff>19050</xdr:colOff>
                    <xdr:row>2</xdr:row>
                    <xdr:rowOff>19050</xdr:rowOff>
                  </from>
                  <to>
                    <xdr:col>14</xdr:col>
                    <xdr:colOff>0</xdr:colOff>
                    <xdr:row>2</xdr:row>
                    <xdr:rowOff>152400</xdr:rowOff>
                  </to>
                </anchor>
              </controlPr>
            </control>
          </mc:Choice>
        </mc:AlternateContent>
        <mc:AlternateContent xmlns:mc="http://schemas.openxmlformats.org/markup-compatibility/2006">
          <mc:Choice Requires="x14">
            <control shapeId="12326" r:id="rId24" name="ButtonSave8">
              <controlPr defaultSize="0" print="0" autoFill="0" autoPict="0" macro="[0]!SaveData">
                <anchor moveWithCells="1" sizeWithCells="1">
                  <from>
                    <xdr:col>7</xdr:col>
                    <xdr:colOff>19050</xdr:colOff>
                    <xdr:row>2</xdr:row>
                    <xdr:rowOff>19050</xdr:rowOff>
                  </from>
                  <to>
                    <xdr:col>8</xdr:col>
                    <xdr:colOff>0</xdr:colOff>
                    <xdr:row>2</xdr:row>
                    <xdr:rowOff>152400</xdr:rowOff>
                  </to>
                </anchor>
              </controlPr>
            </control>
          </mc:Choice>
        </mc:AlternateContent>
        <mc:AlternateContent xmlns:mc="http://schemas.openxmlformats.org/markup-compatibility/2006">
          <mc:Choice Requires="x14">
            <control shapeId="12328" r:id="rId25" name="ButtonSelectClone">
              <controlPr defaultSize="0" print="0" autoFill="0" autoPict="0" macro="[0]!SelectClone">
                <anchor moveWithCells="1" sizeWithCells="1">
                  <from>
                    <xdr:col>3</xdr:col>
                    <xdr:colOff>381000</xdr:colOff>
                    <xdr:row>2</xdr:row>
                    <xdr:rowOff>19050</xdr:rowOff>
                  </from>
                  <to>
                    <xdr:col>5</xdr:col>
                    <xdr:colOff>1504950</xdr:colOff>
                    <xdr:row>2</xdr:row>
                    <xdr:rowOff>152400</xdr:rowOff>
                  </to>
                </anchor>
              </controlPr>
            </control>
          </mc:Choice>
        </mc:AlternateContent>
        <mc:AlternateContent xmlns:mc="http://schemas.openxmlformats.org/markup-compatibility/2006">
          <mc:Choice Requires="x14">
            <control shapeId="12330" r:id="rId26" name="Button 42">
              <controlPr defaultSize="0" print="0" autoFill="0" autoPict="0" macro="[0]!SelectClone">
                <anchor moveWithCells="1" sizeWithCells="1">
                  <from>
                    <xdr:col>3</xdr:col>
                    <xdr:colOff>414338</xdr:colOff>
                    <xdr:row>22</xdr:row>
                    <xdr:rowOff>14288</xdr:rowOff>
                  </from>
                  <to>
                    <xdr:col>5</xdr:col>
                    <xdr:colOff>1557338</xdr:colOff>
                    <xdr:row>22</xdr:row>
                    <xdr:rowOff>147638</xdr:rowOff>
                  </to>
                </anchor>
              </controlPr>
            </control>
          </mc:Choice>
        </mc:AlternateContent>
        <mc:AlternateContent xmlns:mc="http://schemas.openxmlformats.org/markup-compatibility/2006">
          <mc:Choice Requires="x14">
            <control shapeId="12332" r:id="rId27" name="Button 44">
              <controlPr defaultSize="0" print="0" autoFill="0" autoPict="0" macro="[0]!SelectClone">
                <anchor moveWithCells="1" sizeWithCells="1">
                  <from>
                    <xdr:col>10</xdr:col>
                    <xdr:colOff>52388</xdr:colOff>
                    <xdr:row>2</xdr:row>
                    <xdr:rowOff>14288</xdr:rowOff>
                  </from>
                  <to>
                    <xdr:col>11</xdr:col>
                    <xdr:colOff>1600200</xdr:colOff>
                    <xdr:row>2</xdr:row>
                    <xdr:rowOff>147638</xdr:rowOff>
                  </to>
                </anchor>
              </controlPr>
            </control>
          </mc:Choice>
        </mc:AlternateContent>
        <mc:AlternateContent xmlns:mc="http://schemas.openxmlformats.org/markup-compatibility/2006">
          <mc:Choice Requires="x14">
            <control shapeId="12333" r:id="rId28" name="Button 45">
              <controlPr defaultSize="0" print="0" autoFill="0" autoPict="0" macro="[0]!SelectClone">
                <anchor moveWithCells="1" sizeWithCells="1">
                  <from>
                    <xdr:col>10</xdr:col>
                    <xdr:colOff>52388</xdr:colOff>
                    <xdr:row>22</xdr:row>
                    <xdr:rowOff>14288</xdr:rowOff>
                  </from>
                  <to>
                    <xdr:col>11</xdr:col>
                    <xdr:colOff>1600200</xdr:colOff>
                    <xdr:row>22</xdr:row>
                    <xdr:rowOff>147638</xdr:rowOff>
                  </to>
                </anchor>
              </controlPr>
            </control>
          </mc:Choice>
        </mc:AlternateContent>
        <mc:AlternateContent xmlns:mc="http://schemas.openxmlformats.org/markup-compatibility/2006">
          <mc:Choice Requires="x14">
            <control shapeId="12334" r:id="rId29" name="Button 46">
              <controlPr defaultSize="0" print="0" autoFill="0" autoPict="0" macro="[0]!SelectClone">
                <anchor moveWithCells="1" sizeWithCells="1">
                  <from>
                    <xdr:col>4</xdr:col>
                    <xdr:colOff>33338</xdr:colOff>
                    <xdr:row>42</xdr:row>
                    <xdr:rowOff>14288</xdr:rowOff>
                  </from>
                  <to>
                    <xdr:col>5</xdr:col>
                    <xdr:colOff>1581150</xdr:colOff>
                    <xdr:row>42</xdr:row>
                    <xdr:rowOff>147638</xdr:rowOff>
                  </to>
                </anchor>
              </controlPr>
            </control>
          </mc:Choice>
        </mc:AlternateContent>
        <mc:AlternateContent xmlns:mc="http://schemas.openxmlformats.org/markup-compatibility/2006">
          <mc:Choice Requires="x14">
            <control shapeId="12335" r:id="rId30" name="Button 47">
              <controlPr defaultSize="0" print="0" autoFill="0" autoPict="0" macro="[0]!SelectClone">
                <anchor moveWithCells="1" sizeWithCells="1">
                  <from>
                    <xdr:col>10</xdr:col>
                    <xdr:colOff>33338</xdr:colOff>
                    <xdr:row>42</xdr:row>
                    <xdr:rowOff>19050</xdr:rowOff>
                  </from>
                  <to>
                    <xdr:col>11</xdr:col>
                    <xdr:colOff>1576388</xdr:colOff>
                    <xdr:row>43</xdr:row>
                    <xdr:rowOff>0</xdr:rowOff>
                  </to>
                </anchor>
              </controlPr>
            </control>
          </mc:Choice>
        </mc:AlternateContent>
        <mc:AlternateContent xmlns:mc="http://schemas.openxmlformats.org/markup-compatibility/2006">
          <mc:Choice Requires="x14">
            <control shapeId="12336" r:id="rId31" name="Button 48">
              <controlPr defaultSize="0" print="0" autoFill="0" autoPict="0" macro="[0]!SelectClone">
                <anchor moveWithCells="1" sizeWithCells="1">
                  <from>
                    <xdr:col>4</xdr:col>
                    <xdr:colOff>52388</xdr:colOff>
                    <xdr:row>62</xdr:row>
                    <xdr:rowOff>14288</xdr:rowOff>
                  </from>
                  <to>
                    <xdr:col>5</xdr:col>
                    <xdr:colOff>1595438</xdr:colOff>
                    <xdr:row>62</xdr:row>
                    <xdr:rowOff>147638</xdr:rowOff>
                  </to>
                </anchor>
              </controlPr>
            </control>
          </mc:Choice>
        </mc:AlternateContent>
        <mc:AlternateContent xmlns:mc="http://schemas.openxmlformats.org/markup-compatibility/2006">
          <mc:Choice Requires="x14">
            <control shapeId="12337" r:id="rId32" name="Button 49">
              <controlPr defaultSize="0" print="0" autoFill="0" autoPict="0" macro="[0]!SelectClone">
                <anchor moveWithCells="1" sizeWithCells="1">
                  <from>
                    <xdr:col>10</xdr:col>
                    <xdr:colOff>33338</xdr:colOff>
                    <xdr:row>62</xdr:row>
                    <xdr:rowOff>14288</xdr:rowOff>
                  </from>
                  <to>
                    <xdr:col>11</xdr:col>
                    <xdr:colOff>1576388</xdr:colOff>
                    <xdr:row>62</xdr:row>
                    <xdr:rowOff>147638</xdr:rowOff>
                  </to>
                </anchor>
              </controlPr>
            </control>
          </mc:Choice>
        </mc:AlternateContent>
        <mc:AlternateContent xmlns:mc="http://schemas.openxmlformats.org/markup-compatibility/2006">
          <mc:Choice Requires="x14">
            <control shapeId="12338" r:id="rId33" name="Button 50">
              <controlPr defaultSize="0" print="0" autoFill="0" autoPict="0" macro="[0]!SelectClone">
                <anchor moveWithCells="1" sizeWithCells="1">
                  <from>
                    <xdr:col>4</xdr:col>
                    <xdr:colOff>52388</xdr:colOff>
                    <xdr:row>122</xdr:row>
                    <xdr:rowOff>14288</xdr:rowOff>
                  </from>
                  <to>
                    <xdr:col>5</xdr:col>
                    <xdr:colOff>1595438</xdr:colOff>
                    <xdr:row>122</xdr:row>
                    <xdr:rowOff>147638</xdr:rowOff>
                  </to>
                </anchor>
              </controlPr>
            </control>
          </mc:Choice>
        </mc:AlternateContent>
        <mc:AlternateContent xmlns:mc="http://schemas.openxmlformats.org/markup-compatibility/2006">
          <mc:Choice Requires="x14">
            <control shapeId="12339" r:id="rId34" name="Button 51">
              <controlPr defaultSize="0" print="0" autoFill="0" autoPict="0" macro="[0]!SelectClone">
                <anchor moveWithCells="1" sizeWithCells="1">
                  <from>
                    <xdr:col>10</xdr:col>
                    <xdr:colOff>33338</xdr:colOff>
                    <xdr:row>122</xdr:row>
                    <xdr:rowOff>14288</xdr:rowOff>
                  </from>
                  <to>
                    <xdr:col>11</xdr:col>
                    <xdr:colOff>1576388</xdr:colOff>
                    <xdr:row>122</xdr:row>
                    <xdr:rowOff>147638</xdr:rowOff>
                  </to>
                </anchor>
              </controlPr>
            </control>
          </mc:Choice>
        </mc:AlternateContent>
        <mc:AlternateContent xmlns:mc="http://schemas.openxmlformats.org/markup-compatibility/2006">
          <mc:Choice Requires="x14">
            <control shapeId="12340" r:id="rId35" name="Button 52">
              <controlPr defaultSize="0" print="0" autoFill="0" autoPict="0" macro="[0]!SelectClone">
                <anchor moveWithCells="1" sizeWithCells="1">
                  <from>
                    <xdr:col>16</xdr:col>
                    <xdr:colOff>52388</xdr:colOff>
                    <xdr:row>122</xdr:row>
                    <xdr:rowOff>14288</xdr:rowOff>
                  </from>
                  <to>
                    <xdr:col>17</xdr:col>
                    <xdr:colOff>1595438</xdr:colOff>
                    <xdr:row>122</xdr:row>
                    <xdr:rowOff>147638</xdr:rowOff>
                  </to>
                </anchor>
              </controlPr>
            </control>
          </mc:Choice>
        </mc:AlternateContent>
        <mc:AlternateContent xmlns:mc="http://schemas.openxmlformats.org/markup-compatibility/2006">
          <mc:Choice Requires="x14">
            <control shapeId="12341" r:id="rId36" name="Button 53">
              <controlPr defaultSize="0" print="0" autoFill="0" autoPict="0" macro="[0]!SelectClone">
                <anchor moveWithCells="1" sizeWithCells="1">
                  <from>
                    <xdr:col>16</xdr:col>
                    <xdr:colOff>33338</xdr:colOff>
                    <xdr:row>102</xdr:row>
                    <xdr:rowOff>14288</xdr:rowOff>
                  </from>
                  <to>
                    <xdr:col>17</xdr:col>
                    <xdr:colOff>1581150</xdr:colOff>
                    <xdr:row>102</xdr:row>
                    <xdr:rowOff>147638</xdr:rowOff>
                  </to>
                </anchor>
              </controlPr>
            </control>
          </mc:Choice>
        </mc:AlternateContent>
        <mc:AlternateContent xmlns:mc="http://schemas.openxmlformats.org/markup-compatibility/2006">
          <mc:Choice Requires="x14">
            <control shapeId="12342" r:id="rId37" name="Button 54">
              <controlPr defaultSize="0" print="0" autoFill="0" autoPict="0" macro="[0]!SelectClone">
                <anchor moveWithCells="1" sizeWithCells="1">
                  <from>
                    <xdr:col>16</xdr:col>
                    <xdr:colOff>52388</xdr:colOff>
                    <xdr:row>81</xdr:row>
                    <xdr:rowOff>152400</xdr:rowOff>
                  </from>
                  <to>
                    <xdr:col>17</xdr:col>
                    <xdr:colOff>1600200</xdr:colOff>
                    <xdr:row>82</xdr:row>
                    <xdr:rowOff>133350</xdr:rowOff>
                  </to>
                </anchor>
              </controlPr>
            </control>
          </mc:Choice>
        </mc:AlternateContent>
        <mc:AlternateContent xmlns:mc="http://schemas.openxmlformats.org/markup-compatibility/2006">
          <mc:Choice Requires="x14">
            <control shapeId="12343" r:id="rId38" name="Button 55">
              <controlPr defaultSize="0" print="0" autoFill="0" autoPict="0" macro="[0]!SelectClone">
                <anchor moveWithCells="1" sizeWithCells="1">
                  <from>
                    <xdr:col>16</xdr:col>
                    <xdr:colOff>52388</xdr:colOff>
                    <xdr:row>62</xdr:row>
                    <xdr:rowOff>14288</xdr:rowOff>
                  </from>
                  <to>
                    <xdr:col>17</xdr:col>
                    <xdr:colOff>1595438</xdr:colOff>
                    <xdr:row>62</xdr:row>
                    <xdr:rowOff>147638</xdr:rowOff>
                  </to>
                </anchor>
              </controlPr>
            </control>
          </mc:Choice>
        </mc:AlternateContent>
        <mc:AlternateContent xmlns:mc="http://schemas.openxmlformats.org/markup-compatibility/2006">
          <mc:Choice Requires="x14">
            <control shapeId="12344" r:id="rId39" name="Button 56">
              <controlPr defaultSize="0" print="0" autoFill="0" autoPict="0" macro="[0]!SelectClone">
                <anchor moveWithCells="1" sizeWithCells="1">
                  <from>
                    <xdr:col>16</xdr:col>
                    <xdr:colOff>14288</xdr:colOff>
                    <xdr:row>42</xdr:row>
                    <xdr:rowOff>14288</xdr:rowOff>
                  </from>
                  <to>
                    <xdr:col>17</xdr:col>
                    <xdr:colOff>1557338</xdr:colOff>
                    <xdr:row>42</xdr:row>
                    <xdr:rowOff>147638</xdr:rowOff>
                  </to>
                </anchor>
              </controlPr>
            </control>
          </mc:Choice>
        </mc:AlternateContent>
        <mc:AlternateContent xmlns:mc="http://schemas.openxmlformats.org/markup-compatibility/2006">
          <mc:Choice Requires="x14">
            <control shapeId="12345" r:id="rId40" name="Button 57">
              <controlPr defaultSize="0" print="0" autoFill="0" autoPict="0" macro="[0]!SelectClone">
                <anchor moveWithCells="1" sizeWithCells="1">
                  <from>
                    <xdr:col>16</xdr:col>
                    <xdr:colOff>14288</xdr:colOff>
                    <xdr:row>21</xdr:row>
                    <xdr:rowOff>152400</xdr:rowOff>
                  </from>
                  <to>
                    <xdr:col>17</xdr:col>
                    <xdr:colOff>1557338</xdr:colOff>
                    <xdr:row>22</xdr:row>
                    <xdr:rowOff>133350</xdr:rowOff>
                  </to>
                </anchor>
              </controlPr>
            </control>
          </mc:Choice>
        </mc:AlternateContent>
        <mc:AlternateContent xmlns:mc="http://schemas.openxmlformats.org/markup-compatibility/2006">
          <mc:Choice Requires="x14">
            <control shapeId="12346" r:id="rId41" name="Button 58">
              <controlPr defaultSize="0" print="0" autoFill="0" autoPict="0" macro="[0]!SelectClone">
                <anchor moveWithCells="1" sizeWithCells="1">
                  <from>
                    <xdr:col>16</xdr:col>
                    <xdr:colOff>57150</xdr:colOff>
                    <xdr:row>2</xdr:row>
                    <xdr:rowOff>14288</xdr:rowOff>
                  </from>
                  <to>
                    <xdr:col>17</xdr:col>
                    <xdr:colOff>1614488</xdr:colOff>
                    <xdr:row>2</xdr:row>
                    <xdr:rowOff>147638</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073A0-8B0B-45AC-96F2-A2B4D7BC6B49}">
  <sheetPr codeName="WSMetadataTemplate"/>
  <dimension ref="A1:AI59"/>
  <sheetViews>
    <sheetView showGridLines="0" zoomScale="80" zoomScaleNormal="80" workbookViewId="0">
      <selection activeCell="B28" sqref="B28"/>
    </sheetView>
  </sheetViews>
  <sheetFormatPr defaultColWidth="8.796875" defaultRowHeight="11.65"/>
  <cols>
    <col min="1" max="1" width="11.19921875" style="12" customWidth="1"/>
    <col min="2" max="3" width="11.796875" style="12" customWidth="1"/>
    <col min="4" max="4" width="18.19921875" style="12" customWidth="1"/>
    <col min="5" max="6" width="11.19921875" style="12" customWidth="1"/>
    <col min="7" max="7" width="11.46484375" style="12" customWidth="1"/>
    <col min="8" max="8" width="11.796875" style="12" customWidth="1"/>
    <col min="9" max="9" width="13.46484375" style="12" customWidth="1"/>
    <col min="10" max="10" width="11.46484375" style="12" customWidth="1"/>
    <col min="11" max="11" width="12" style="12" customWidth="1"/>
    <col min="12" max="12" width="9.53125" style="12" customWidth="1"/>
    <col min="13" max="13" width="13.19921875" style="12" customWidth="1"/>
    <col min="14" max="14" width="11.796875" style="12" customWidth="1"/>
    <col min="15" max="16" width="8.796875" style="12"/>
    <col min="17" max="17" width="10.19921875" style="12" customWidth="1"/>
    <col min="18" max="18" width="11.53125" style="12" customWidth="1"/>
    <col min="19" max="19" width="15.796875" style="12" customWidth="1"/>
    <col min="20" max="20" width="8.796875" style="12"/>
    <col min="21" max="21" width="10.19921875" style="12" customWidth="1"/>
    <col min="22" max="22" width="8.796875" style="12"/>
    <col min="23" max="23" width="10.53125" style="12" customWidth="1"/>
    <col min="24" max="16384" width="8.796875" style="12"/>
  </cols>
  <sheetData>
    <row r="1" spans="1:35" ht="14.65" thickBot="1">
      <c r="A1" s="11" t="s">
        <v>158</v>
      </c>
      <c r="B1" s="16"/>
      <c r="C1" s="16"/>
      <c r="D1" s="16"/>
      <c r="E1" s="16"/>
      <c r="F1" s="16"/>
      <c r="G1" s="16"/>
      <c r="H1" s="16"/>
      <c r="I1" s="16"/>
      <c r="J1" s="16"/>
      <c r="K1" s="16"/>
      <c r="L1" s="16"/>
      <c r="M1" s="38"/>
      <c r="N1" s="38"/>
      <c r="O1" s="38"/>
      <c r="P1" s="38"/>
      <c r="Q1" s="38"/>
      <c r="R1" s="38"/>
      <c r="S1" s="38"/>
      <c r="T1" s="38"/>
      <c r="U1" s="38"/>
      <c r="V1" s="38"/>
      <c r="W1" s="38"/>
      <c r="X1" s="38"/>
      <c r="Y1" s="38"/>
      <c r="Z1" s="38"/>
      <c r="AA1" s="38"/>
      <c r="AB1" s="38"/>
      <c r="AC1" s="38"/>
      <c r="AD1" s="38"/>
      <c r="AE1" s="38"/>
      <c r="AF1" s="38"/>
      <c r="AG1" s="38"/>
      <c r="AH1" s="38"/>
      <c r="AI1" s="38"/>
    </row>
    <row r="2" spans="1:35" ht="14.65" thickBot="1">
      <c r="A2" s="11" t="s">
        <v>0</v>
      </c>
      <c r="B2" s="9"/>
      <c r="C2" s="9"/>
      <c r="D2" s="9"/>
      <c r="E2" s="9"/>
      <c r="F2" s="9"/>
      <c r="G2" s="9"/>
      <c r="H2" s="9"/>
      <c r="I2" s="9"/>
      <c r="J2" s="9"/>
      <c r="K2" s="9"/>
      <c r="L2" s="9"/>
      <c r="P2" s="40" t="s">
        <v>2</v>
      </c>
      <c r="Q2" s="175"/>
      <c r="R2" s="41"/>
      <c r="S2" s="117" t="s">
        <v>4</v>
      </c>
      <c r="T2" s="175"/>
      <c r="U2" s="8"/>
      <c r="V2" s="8"/>
      <c r="W2" s="8"/>
      <c r="X2" s="8"/>
      <c r="Y2" s="8"/>
    </row>
    <row r="3" spans="1:35" ht="14.65" thickBot="1">
      <c r="A3" s="9"/>
      <c r="B3" s="9"/>
      <c r="C3" s="9"/>
      <c r="D3" s="9"/>
      <c r="E3" s="9"/>
      <c r="F3" s="9"/>
      <c r="G3" s="9"/>
      <c r="H3" s="9"/>
      <c r="I3" s="9"/>
      <c r="J3" s="9"/>
      <c r="K3" s="9"/>
      <c r="L3" s="9"/>
      <c r="P3" s="8"/>
      <c r="Q3" s="8"/>
      <c r="R3" s="8"/>
      <c r="S3" s="8"/>
      <c r="T3" s="8"/>
      <c r="U3" s="8"/>
      <c r="V3" s="8"/>
      <c r="W3" s="8"/>
      <c r="X3" s="8"/>
      <c r="Y3" s="8"/>
    </row>
    <row r="4" spans="1:35" ht="14.25">
      <c r="A4" s="64" t="s">
        <v>164</v>
      </c>
      <c r="B4" s="201" t="s">
        <v>157</v>
      </c>
      <c r="C4" s="201"/>
      <c r="D4" s="177" t="s">
        <v>93</v>
      </c>
      <c r="E4" s="201"/>
      <c r="F4" s="201"/>
      <c r="G4" s="201"/>
      <c r="H4" s="201"/>
      <c r="I4" s="201"/>
      <c r="J4" s="258"/>
      <c r="K4" s="258"/>
      <c r="L4" s="258"/>
      <c r="M4" s="291"/>
      <c r="P4" s="42" t="s">
        <v>159</v>
      </c>
      <c r="Q4" s="43"/>
      <c r="R4" s="176"/>
      <c r="S4" s="124" t="s">
        <v>202</v>
      </c>
      <c r="T4" s="355"/>
      <c r="U4" s="355"/>
      <c r="V4" s="44"/>
      <c r="W4" s="8"/>
      <c r="X4" s="8"/>
      <c r="Y4" s="8"/>
    </row>
    <row r="5" spans="1:35" ht="14.25">
      <c r="A5" s="202"/>
      <c r="B5" s="203" t="s">
        <v>1</v>
      </c>
      <c r="C5" s="203"/>
      <c r="D5" s="159"/>
      <c r="E5" s="203"/>
      <c r="F5" s="203"/>
      <c r="G5" s="203"/>
      <c r="H5" s="203"/>
      <c r="I5" s="203"/>
      <c r="J5" s="259"/>
      <c r="K5" s="288"/>
      <c r="L5" s="288"/>
      <c r="M5" s="292"/>
      <c r="P5" s="45" t="s">
        <v>6</v>
      </c>
      <c r="Q5" s="11"/>
      <c r="R5" s="176"/>
      <c r="S5" s="46" t="s">
        <v>10</v>
      </c>
      <c r="T5" s="175"/>
      <c r="U5" s="8"/>
      <c r="V5" s="47"/>
      <c r="W5" s="8"/>
      <c r="X5" s="8"/>
      <c r="Y5" s="8"/>
    </row>
    <row r="6" spans="1:35" ht="14.65" thickBot="1">
      <c r="A6" s="202"/>
      <c r="B6" s="203"/>
      <c r="C6" s="118"/>
      <c r="D6" s="119"/>
      <c r="E6" s="203"/>
      <c r="F6" s="203"/>
      <c r="G6" s="203"/>
      <c r="H6" s="203"/>
      <c r="I6" s="203"/>
      <c r="J6" s="259"/>
      <c r="K6" s="288"/>
      <c r="L6" s="288"/>
      <c r="M6" s="292"/>
      <c r="N6" s="39"/>
      <c r="O6" s="39"/>
      <c r="P6" s="48" t="s">
        <v>160</v>
      </c>
      <c r="Q6" s="176"/>
      <c r="R6" s="49" t="s">
        <v>161</v>
      </c>
      <c r="S6" s="176"/>
      <c r="T6" s="50" t="s">
        <v>11</v>
      </c>
      <c r="U6" s="120"/>
      <c r="V6" s="146"/>
      <c r="W6" s="8"/>
      <c r="X6" s="8"/>
      <c r="Y6" s="8"/>
    </row>
    <row r="7" spans="1:35" ht="14.65" thickBot="1">
      <c r="A7" s="202"/>
      <c r="B7" s="204" t="s">
        <v>7</v>
      </c>
      <c r="C7" s="205"/>
      <c r="D7" s="203" t="s">
        <v>8</v>
      </c>
      <c r="E7" s="206"/>
      <c r="F7" s="203"/>
      <c r="G7" s="204" t="s">
        <v>9</v>
      </c>
      <c r="H7" s="61">
        <f>T5+1+E7</f>
        <v>1</v>
      </c>
      <c r="I7" s="203"/>
      <c r="J7" s="259"/>
      <c r="K7" s="288"/>
      <c r="L7" s="288"/>
      <c r="M7" s="292"/>
      <c r="N7" s="39"/>
      <c r="O7" s="39"/>
      <c r="P7" s="8"/>
      <c r="Q7" s="8"/>
      <c r="R7" s="8"/>
      <c r="S7" s="8"/>
      <c r="T7" s="8"/>
      <c r="U7" s="8"/>
      <c r="V7" s="8"/>
      <c r="W7" s="8"/>
      <c r="X7" s="8"/>
      <c r="Y7" s="8"/>
    </row>
    <row r="8" spans="1:35" ht="14.65" thickBot="1">
      <c r="A8" s="202"/>
      <c r="B8" s="203" t="s">
        <v>163</v>
      </c>
      <c r="C8" s="203"/>
      <c r="D8" s="206"/>
      <c r="E8" s="203"/>
      <c r="F8" s="203"/>
      <c r="G8" s="203"/>
      <c r="H8" s="203"/>
      <c r="I8" s="203"/>
      <c r="J8" s="259"/>
      <c r="K8" s="288"/>
      <c r="L8" s="288"/>
      <c r="M8" s="292"/>
      <c r="N8" s="39"/>
      <c r="O8" s="39"/>
      <c r="P8" s="121" t="s">
        <v>162</v>
      </c>
      <c r="Q8" s="41"/>
      <c r="R8" s="175"/>
      <c r="S8" s="122" t="s">
        <v>31</v>
      </c>
      <c r="T8" s="41"/>
      <c r="U8" s="175"/>
      <c r="V8" s="123" t="s">
        <v>33</v>
      </c>
      <c r="W8" s="41"/>
      <c r="X8" s="145"/>
      <c r="Y8" s="8"/>
    </row>
    <row r="9" spans="1:35" ht="14.65" thickBot="1">
      <c r="A9" s="207"/>
      <c r="B9" s="62"/>
      <c r="C9" s="62"/>
      <c r="D9" s="62"/>
      <c r="E9" s="62"/>
      <c r="F9" s="62"/>
      <c r="G9" s="62"/>
      <c r="H9" s="62"/>
      <c r="I9" s="62"/>
      <c r="J9" s="8"/>
      <c r="K9" s="10"/>
      <c r="L9" s="289"/>
      <c r="M9" s="293"/>
      <c r="N9" s="39"/>
      <c r="O9" s="39"/>
      <c r="P9" s="8"/>
      <c r="Q9" s="8"/>
      <c r="R9" s="8"/>
      <c r="S9" s="8"/>
      <c r="T9" s="8"/>
      <c r="U9" s="8"/>
      <c r="V9" s="8"/>
      <c r="W9" s="8"/>
      <c r="X9" s="8"/>
      <c r="Y9" s="8"/>
    </row>
    <row r="10" spans="1:35" ht="14.25">
      <c r="A10" s="208"/>
      <c r="B10" s="62"/>
      <c r="C10" s="63"/>
      <c r="D10" s="15"/>
      <c r="E10" s="63"/>
      <c r="F10" s="62"/>
      <c r="G10" s="62"/>
      <c r="H10" s="62"/>
      <c r="I10" s="62"/>
      <c r="J10" s="260"/>
      <c r="K10" s="10"/>
      <c r="L10" s="10"/>
      <c r="M10" s="167"/>
      <c r="P10" s="52" t="s">
        <v>12</v>
      </c>
      <c r="Q10" s="53"/>
      <c r="R10" s="53"/>
      <c r="S10" s="366"/>
      <c r="T10" s="366"/>
      <c r="U10" s="366"/>
      <c r="V10" s="54" t="s">
        <v>14</v>
      </c>
      <c r="W10" s="163"/>
      <c r="X10" s="43"/>
      <c r="Y10" s="43"/>
      <c r="Z10" s="164"/>
      <c r="AA10" s="164"/>
      <c r="AB10" s="164"/>
      <c r="AC10" s="165"/>
    </row>
    <row r="11" spans="1:35" ht="14.25">
      <c r="A11" s="209"/>
      <c r="B11" s="210" t="s">
        <v>20</v>
      </c>
      <c r="C11" s="211"/>
      <c r="D11" s="206"/>
      <c r="E11" s="211"/>
      <c r="F11" s="212" t="s">
        <v>22</v>
      </c>
      <c r="G11" s="206"/>
      <c r="H11" s="213" t="str">
        <f>IF(G11="m-Cherry","mCh",IF(G11="eGFP","GFP",""))</f>
        <v/>
      </c>
      <c r="I11" s="213"/>
      <c r="J11" s="261"/>
      <c r="K11" s="290"/>
      <c r="L11" s="297" t="str">
        <f>IF(ISNUMBER(SEARCH(D11,S10)),"","CHECK PLASMID INFO")</f>
        <v>CHECK PLASMID INFO</v>
      </c>
      <c r="M11" s="294"/>
      <c r="P11" s="55"/>
      <c r="Q11" s="7"/>
      <c r="R11" s="7"/>
      <c r="S11" s="166"/>
      <c r="T11" s="10"/>
      <c r="U11" s="10"/>
      <c r="V11" s="10"/>
      <c r="W11" s="10"/>
      <c r="X11" s="10"/>
      <c r="Y11" s="10"/>
      <c r="Z11" s="162"/>
      <c r="AA11" s="162"/>
      <c r="AB11" s="162"/>
      <c r="AC11" s="167"/>
    </row>
    <row r="12" spans="1:35" ht="14.25">
      <c r="A12" s="209"/>
      <c r="B12" s="211" t="s">
        <v>24</v>
      </c>
      <c r="C12" s="211"/>
      <c r="D12" s="206"/>
      <c r="E12" s="213"/>
      <c r="F12" s="213"/>
      <c r="G12" s="213"/>
      <c r="H12" s="213"/>
      <c r="I12" s="213"/>
      <c r="J12" s="261"/>
      <c r="K12" s="290"/>
      <c r="L12" s="298" t="str">
        <f>IF(ISNUMBER(SEARCH(G11,S12)),"","CHECK PLASMID INFO")</f>
        <v>CHECK PLASMID INFO</v>
      </c>
      <c r="M12" s="294"/>
      <c r="P12" s="171"/>
      <c r="Q12" s="169" t="s">
        <v>16</v>
      </c>
      <c r="R12" s="168"/>
      <c r="S12" s="356"/>
      <c r="T12" s="356"/>
      <c r="U12" s="160"/>
      <c r="V12" s="56"/>
      <c r="W12" s="364"/>
      <c r="X12" s="364"/>
      <c r="Y12" s="160"/>
      <c r="Z12" s="56"/>
      <c r="AA12" s="364"/>
      <c r="AB12" s="364"/>
      <c r="AC12" s="173"/>
      <c r="AD12" s="174"/>
    </row>
    <row r="13" spans="1:35" ht="14.25">
      <c r="A13" s="209"/>
      <c r="B13" s="211" t="s">
        <v>27</v>
      </c>
      <c r="C13" s="211"/>
      <c r="D13" s="206"/>
      <c r="E13" s="213"/>
      <c r="F13" s="213"/>
      <c r="G13" s="212" t="s">
        <v>14</v>
      </c>
      <c r="H13" s="206"/>
      <c r="I13" s="213"/>
      <c r="J13" s="287"/>
      <c r="K13" s="217" t="s">
        <v>276</v>
      </c>
      <c r="L13" s="307"/>
      <c r="M13" s="295"/>
      <c r="P13" s="172"/>
      <c r="Q13" s="170"/>
      <c r="R13" s="168" t="s">
        <v>215</v>
      </c>
      <c r="S13" s="356"/>
      <c r="T13" s="356"/>
      <c r="U13" s="356"/>
      <c r="V13" s="56"/>
      <c r="W13" s="364"/>
      <c r="X13" s="364"/>
      <c r="Y13" s="364"/>
      <c r="Z13" s="56"/>
      <c r="AA13" s="364"/>
      <c r="AB13" s="364"/>
      <c r="AC13" s="365"/>
      <c r="AD13" s="174"/>
    </row>
    <row r="14" spans="1:35" ht="14.65" thickBot="1">
      <c r="A14" s="214"/>
      <c r="B14" s="215"/>
      <c r="C14" s="215"/>
      <c r="D14" s="216"/>
      <c r="E14" s="216"/>
      <c r="F14" s="216"/>
      <c r="G14" s="216"/>
      <c r="H14" s="216"/>
      <c r="I14" s="216"/>
      <c r="J14" s="262"/>
      <c r="K14" s="262"/>
      <c r="L14" s="262"/>
      <c r="M14" s="296"/>
      <c r="N14" s="144"/>
      <c r="P14" s="172"/>
      <c r="Q14" s="170"/>
      <c r="R14" s="168" t="s">
        <v>14</v>
      </c>
      <c r="S14" s="178"/>
      <c r="T14" s="160"/>
      <c r="U14" s="160"/>
      <c r="V14" s="56"/>
      <c r="W14" s="364"/>
      <c r="X14" s="364"/>
      <c r="Y14" s="160"/>
      <c r="Z14" s="56"/>
      <c r="AA14" s="364"/>
      <c r="AB14" s="364"/>
      <c r="AC14" s="173"/>
      <c r="AD14" s="174"/>
    </row>
    <row r="15" spans="1:35" ht="14.65" thickBot="1">
      <c r="A15" s="9"/>
      <c r="B15" s="9"/>
      <c r="C15" s="9"/>
      <c r="D15" s="9"/>
      <c r="E15" s="9"/>
      <c r="F15" s="9"/>
      <c r="G15" s="9"/>
      <c r="H15" s="9"/>
      <c r="I15" s="9"/>
      <c r="J15" s="9"/>
      <c r="K15" s="9"/>
      <c r="L15" s="9"/>
      <c r="P15" s="57"/>
      <c r="Q15" s="58"/>
      <c r="R15" s="58"/>
      <c r="S15" s="51"/>
      <c r="T15" s="51"/>
      <c r="U15" s="51"/>
      <c r="V15" s="59"/>
      <c r="W15" s="51"/>
      <c r="X15" s="51"/>
      <c r="Y15" s="161"/>
      <c r="Z15" s="59"/>
      <c r="AA15" s="51"/>
      <c r="AB15" s="51"/>
      <c r="AC15" s="60"/>
    </row>
    <row r="16" spans="1:35" ht="14.65" thickBot="1">
      <c r="A16" s="64" t="s">
        <v>164</v>
      </c>
      <c r="B16" s="65" t="s">
        <v>261</v>
      </c>
      <c r="C16" s="66"/>
      <c r="D16" s="67"/>
      <c r="E16" s="68" t="s">
        <v>262</v>
      </c>
      <c r="F16" s="69"/>
      <c r="G16" s="66"/>
      <c r="H16" s="70"/>
      <c r="AA16" s="12" t="s">
        <v>218</v>
      </c>
    </row>
    <row r="17" spans="1:26" ht="14.25">
      <c r="A17" s="71"/>
      <c r="B17" s="72"/>
      <c r="C17" s="72"/>
      <c r="D17" s="72"/>
      <c r="E17" s="72"/>
      <c r="F17" s="72"/>
      <c r="G17" s="72"/>
      <c r="H17" s="73"/>
      <c r="N17" s="39"/>
    </row>
    <row r="18" spans="1:26" ht="14.25">
      <c r="A18" s="263" t="s">
        <v>263</v>
      </c>
      <c r="B18" s="110"/>
      <c r="C18" s="218"/>
      <c r="D18" s="125" t="s">
        <v>192</v>
      </c>
      <c r="E18" s="126" t="s">
        <v>207</v>
      </c>
      <c r="F18" s="72"/>
      <c r="G18" s="72"/>
      <c r="H18" s="73"/>
    </row>
    <row r="19" spans="1:26" ht="14.25">
      <c r="A19" s="71"/>
      <c r="B19" s="72" t="s">
        <v>165</v>
      </c>
      <c r="C19" s="72"/>
      <c r="D19" s="72">
        <v>4</v>
      </c>
      <c r="E19" s="72">
        <f>D19*C18</f>
        <v>0</v>
      </c>
      <c r="F19" s="72"/>
      <c r="G19" s="72"/>
      <c r="H19" s="73"/>
    </row>
    <row r="20" spans="1:26" ht="14.65" thickBot="1">
      <c r="A20" s="71"/>
      <c r="B20" s="72" t="s">
        <v>166</v>
      </c>
      <c r="C20" s="72"/>
      <c r="D20" s="72">
        <v>2.5</v>
      </c>
      <c r="E20" s="72">
        <f>D20*C18</f>
        <v>0</v>
      </c>
      <c r="F20" s="72"/>
      <c r="G20" s="72"/>
      <c r="H20" s="73"/>
      <c r="K20" s="162"/>
      <c r="P20" s="11" t="s">
        <v>212</v>
      </c>
    </row>
    <row r="21" spans="1:26" ht="14.25">
      <c r="A21" s="71"/>
      <c r="B21" s="72" t="s">
        <v>209</v>
      </c>
      <c r="C21" s="72"/>
      <c r="D21" s="72"/>
      <c r="E21" s="72" t="e">
        <f>E49+E50</f>
        <v>#VALUE!</v>
      </c>
      <c r="F21" s="72"/>
      <c r="G21" s="72" t="s">
        <v>167</v>
      </c>
      <c r="H21" s="73"/>
      <c r="P21" s="373"/>
      <c r="Q21" s="374"/>
      <c r="R21" s="374"/>
      <c r="S21" s="374"/>
      <c r="T21" s="374"/>
      <c r="U21" s="374"/>
      <c r="V21" s="374"/>
      <c r="W21" s="375"/>
    </row>
    <row r="22" spans="1:26" ht="14.65" thickBot="1">
      <c r="A22" s="71"/>
      <c r="B22" s="72"/>
      <c r="C22" s="72"/>
      <c r="D22" s="72"/>
      <c r="E22" s="75"/>
      <c r="F22" s="72"/>
      <c r="G22" s="72"/>
      <c r="H22" s="73"/>
      <c r="P22" s="367"/>
      <c r="Q22" s="368"/>
      <c r="R22" s="368"/>
      <c r="S22" s="368"/>
      <c r="T22" s="368"/>
      <c r="U22" s="368"/>
      <c r="V22" s="368"/>
      <c r="W22" s="369"/>
    </row>
    <row r="23" spans="1:26" ht="14.65" thickBot="1">
      <c r="A23" s="71"/>
      <c r="B23" s="127" t="s">
        <v>264</v>
      </c>
      <c r="C23" s="69"/>
      <c r="D23" s="300" t="s">
        <v>270</v>
      </c>
      <c r="E23" s="76" t="e">
        <f>SUM(E19:E21)</f>
        <v>#VALUE!</v>
      </c>
      <c r="F23" s="77" t="s">
        <v>208</v>
      </c>
      <c r="G23" s="66"/>
      <c r="H23" s="73"/>
      <c r="P23" s="367"/>
      <c r="Q23" s="368"/>
      <c r="R23" s="368"/>
      <c r="S23" s="368"/>
      <c r="T23" s="368"/>
      <c r="U23" s="368"/>
      <c r="V23" s="368"/>
      <c r="W23" s="369"/>
    </row>
    <row r="24" spans="1:26" ht="14.65" thickBot="1">
      <c r="A24" s="78"/>
      <c r="B24" s="79"/>
      <c r="C24" s="79"/>
      <c r="D24" s="79"/>
      <c r="E24" s="80"/>
      <c r="F24" s="81"/>
      <c r="G24" s="79"/>
      <c r="H24" s="82"/>
      <c r="P24" s="370"/>
      <c r="Q24" s="371"/>
      <c r="R24" s="371"/>
      <c r="S24" s="371"/>
      <c r="T24" s="371"/>
      <c r="U24" s="371"/>
      <c r="V24" s="371"/>
      <c r="W24" s="372"/>
    </row>
    <row r="25" spans="1:26" ht="12" thickBot="1"/>
    <row r="26" spans="1:26" ht="14.65" thickBot="1">
      <c r="A26" s="197" t="s">
        <v>164</v>
      </c>
      <c r="B26" s="198" t="s">
        <v>168</v>
      </c>
      <c r="C26" s="88"/>
      <c r="D26" s="88"/>
      <c r="E26" s="88"/>
      <c r="F26" s="88"/>
      <c r="G26" s="88"/>
      <c r="H26" s="88"/>
      <c r="I26" s="88" t="s">
        <v>169</v>
      </c>
      <c r="J26" s="88"/>
      <c r="K26" s="88"/>
      <c r="L26" s="88"/>
      <c r="M26" s="89"/>
    </row>
    <row r="27" spans="1:26" ht="15" thickBot="1">
      <c r="A27" s="84"/>
      <c r="B27" s="85"/>
      <c r="C27" s="86" t="e">
        <f>IF(VALUE(RIGHT(B28))= 0, "CHOOSE VALUES &lt; 10 and &gt; 0", " ")</f>
        <v>#VALUE!</v>
      </c>
      <c r="D27" s="87"/>
      <c r="E27" s="88"/>
      <c r="F27" s="357" t="s">
        <v>170</v>
      </c>
      <c r="G27" s="358"/>
      <c r="H27" s="359"/>
      <c r="I27" s="131" t="s">
        <v>171</v>
      </c>
      <c r="J27" s="140" t="s">
        <v>172</v>
      </c>
      <c r="K27" s="141"/>
      <c r="L27" s="136" t="s">
        <v>173</v>
      </c>
      <c r="M27" s="89"/>
      <c r="P27" s="11" t="s">
        <v>213</v>
      </c>
    </row>
    <row r="28" spans="1:26" ht="14.65">
      <c r="A28" s="90" t="s">
        <v>174</v>
      </c>
      <c r="B28" s="179"/>
      <c r="C28" s="83"/>
      <c r="D28" s="91" t="s">
        <v>175</v>
      </c>
      <c r="E28" s="180"/>
      <c r="F28" s="92" t="s">
        <v>176</v>
      </c>
      <c r="G28" s="132">
        <v>20</v>
      </c>
      <c r="H28" s="264" t="s">
        <v>177</v>
      </c>
      <c r="I28" s="134" t="e">
        <f>G28/J28</f>
        <v>#DIV/0!</v>
      </c>
      <c r="J28" s="181"/>
      <c r="K28" s="264" t="s">
        <v>177</v>
      </c>
      <c r="L28" s="137" t="e">
        <f>((E28*0.000000001)/(J28*0.000001))*1000</f>
        <v>#DIV/0!</v>
      </c>
      <c r="M28" s="93"/>
      <c r="P28" s="150"/>
      <c r="Q28" s="151"/>
      <c r="R28" s="151"/>
      <c r="S28" s="151"/>
      <c r="T28" s="151"/>
      <c r="U28" s="151"/>
      <c r="V28" s="151"/>
      <c r="W28" s="151"/>
      <c r="X28" s="151"/>
      <c r="Y28" s="151"/>
      <c r="Z28" s="152"/>
    </row>
    <row r="29" spans="1:26" ht="14.65">
      <c r="A29" s="94"/>
      <c r="B29" s="83"/>
      <c r="C29" s="83"/>
      <c r="D29" s="91" t="s">
        <v>178</v>
      </c>
      <c r="E29" s="128" t="e">
        <f>E28*RIGHT(B28)</f>
        <v>#VALUE!</v>
      </c>
      <c r="F29" s="265" t="s">
        <v>179</v>
      </c>
      <c r="G29" s="129">
        <v>20</v>
      </c>
      <c r="H29" s="264" t="s">
        <v>177</v>
      </c>
      <c r="I29" s="133" t="e">
        <f>G29/J29</f>
        <v>#DIV/0!</v>
      </c>
      <c r="J29" s="182"/>
      <c r="K29" s="264" t="s">
        <v>177</v>
      </c>
      <c r="L29" s="138" t="e">
        <f>((E29*0.000000001)/(J29*0.000001))*1000</f>
        <v>#VALUE!</v>
      </c>
      <c r="M29" s="93"/>
      <c r="P29" s="153"/>
      <c r="Q29" s="154"/>
      <c r="R29" s="154"/>
      <c r="S29" s="154"/>
      <c r="T29" s="154"/>
      <c r="U29" s="154"/>
      <c r="V29" s="154"/>
      <c r="W29" s="154"/>
      <c r="X29" s="154"/>
      <c r="Y29" s="154"/>
      <c r="Z29" s="155"/>
    </row>
    <row r="30" spans="1:26" ht="15" thickBot="1">
      <c r="A30" s="94"/>
      <c r="B30" s="83"/>
      <c r="C30" s="83"/>
      <c r="D30" s="95" t="s">
        <v>180</v>
      </c>
      <c r="E30" s="147"/>
      <c r="F30" s="96" t="s">
        <v>181</v>
      </c>
      <c r="G30" s="148"/>
      <c r="H30" s="130" t="s">
        <v>182</v>
      </c>
      <c r="I30" s="135" t="e">
        <f>G30/J30</f>
        <v>#DIV/0!</v>
      </c>
      <c r="J30" s="183"/>
      <c r="K30" s="130" t="s">
        <v>182</v>
      </c>
      <c r="L30" s="139" t="e">
        <f>E30/J30</f>
        <v>#DIV/0!</v>
      </c>
      <c r="M30" s="93"/>
      <c r="P30" s="153"/>
      <c r="Q30" s="154"/>
      <c r="R30" s="154"/>
      <c r="S30" s="154"/>
      <c r="T30" s="154"/>
      <c r="U30" s="154"/>
      <c r="V30" s="154"/>
      <c r="W30" s="154"/>
      <c r="X30" s="154"/>
      <c r="Y30" s="154"/>
      <c r="Z30" s="155"/>
    </row>
    <row r="31" spans="1:26" ht="14.65" thickBot="1">
      <c r="A31" s="94"/>
      <c r="B31" s="83"/>
      <c r="C31" s="83"/>
      <c r="D31" s="83"/>
      <c r="E31" s="83"/>
      <c r="F31" s="83"/>
      <c r="G31" s="83"/>
      <c r="H31" s="83"/>
      <c r="I31" s="88"/>
      <c r="J31" s="83"/>
      <c r="K31" s="83"/>
      <c r="L31" s="83"/>
      <c r="M31" s="93"/>
      <c r="P31" s="153"/>
      <c r="Q31" s="154"/>
      <c r="R31" s="154"/>
      <c r="S31" s="154"/>
      <c r="T31" s="154"/>
      <c r="U31" s="154"/>
      <c r="V31" s="154"/>
      <c r="W31" s="154"/>
      <c r="X31" s="154"/>
      <c r="Y31" s="154"/>
      <c r="Z31" s="155"/>
    </row>
    <row r="32" spans="1:26" ht="14.25">
      <c r="A32" s="94"/>
      <c r="B32" s="83"/>
      <c r="C32" s="83"/>
      <c r="D32" s="83"/>
      <c r="E32" s="83"/>
      <c r="F32" s="83"/>
      <c r="G32" s="83"/>
      <c r="H32" s="83"/>
      <c r="I32" s="83"/>
      <c r="J32" s="83"/>
      <c r="K32" s="97" t="s">
        <v>183</v>
      </c>
      <c r="L32" s="98" t="e">
        <f>SUM(L28:L31)</f>
        <v>#DIV/0!</v>
      </c>
      <c r="M32" s="266" t="e">
        <f>IF(OR((E36&gt;" "),(I36&gt;" ")),"RECALCULATE VOLUMES", " ")</f>
        <v>#DIV/0!</v>
      </c>
      <c r="P32" s="153"/>
      <c r="Q32" s="154"/>
      <c r="R32" s="154"/>
      <c r="S32" s="154"/>
      <c r="T32" s="154"/>
      <c r="U32" s="154"/>
      <c r="V32" s="154"/>
      <c r="W32" s="154"/>
      <c r="X32" s="154"/>
      <c r="Y32" s="154"/>
      <c r="Z32" s="155"/>
    </row>
    <row r="33" spans="1:26" ht="14.25">
      <c r="A33" s="267" t="s">
        <v>265</v>
      </c>
      <c r="B33" s="267"/>
      <c r="C33" s="300"/>
      <c r="D33" s="268" t="s">
        <v>267</v>
      </c>
      <c r="E33" s="269">
        <f>IF(C33="strip well",20,100)</f>
        <v>100</v>
      </c>
      <c r="F33" s="270"/>
      <c r="G33" s="268" t="s">
        <v>268</v>
      </c>
      <c r="H33" s="300"/>
      <c r="I33" s="271"/>
      <c r="J33" s="267"/>
      <c r="K33" s="267"/>
      <c r="L33" s="267"/>
      <c r="M33" s="267"/>
      <c r="P33" s="153"/>
      <c r="Q33" s="154"/>
      <c r="R33" s="154"/>
      <c r="S33" s="154"/>
      <c r="T33" s="154"/>
      <c r="U33" s="154"/>
      <c r="V33" s="154"/>
      <c r="W33" s="154"/>
      <c r="X33" s="154"/>
      <c r="Y33" s="154"/>
      <c r="Z33" s="155"/>
    </row>
    <row r="34" spans="1:26" ht="14.65">
      <c r="A34" s="94" t="s">
        <v>184</v>
      </c>
      <c r="B34" s="83"/>
      <c r="C34" s="102">
        <f>E33*H33</f>
        <v>0</v>
      </c>
      <c r="D34" s="272" t="s">
        <v>269</v>
      </c>
      <c r="E34" s="83"/>
      <c r="F34" s="83"/>
      <c r="G34" s="83"/>
      <c r="H34" s="273"/>
      <c r="I34" s="273"/>
      <c r="J34" s="83"/>
      <c r="K34" s="274"/>
      <c r="L34" s="83"/>
      <c r="M34" s="93"/>
      <c r="P34" s="153"/>
      <c r="Q34" s="154"/>
      <c r="R34" s="154"/>
      <c r="S34" s="154"/>
      <c r="T34" s="154"/>
      <c r="U34" s="154"/>
      <c r="V34" s="154"/>
      <c r="W34" s="154"/>
      <c r="X34" s="154"/>
      <c r="Y34" s="154"/>
      <c r="Z34" s="155"/>
    </row>
    <row r="35" spans="1:26" ht="14.65">
      <c r="A35" s="94" t="s">
        <v>185</v>
      </c>
      <c r="B35" s="83"/>
      <c r="C35" s="101" t="e">
        <f>L32</f>
        <v>#DIV/0!</v>
      </c>
      <c r="D35" s="272" t="s">
        <v>269</v>
      </c>
      <c r="E35" s="83"/>
      <c r="F35" s="83"/>
      <c r="G35" s="83"/>
      <c r="H35" s="83"/>
      <c r="I35" s="83"/>
      <c r="J35" s="83"/>
      <c r="K35" s="83"/>
      <c r="L35" s="83"/>
      <c r="M35" s="93"/>
      <c r="P35" s="153"/>
      <c r="Q35" s="154"/>
      <c r="R35" s="154"/>
      <c r="S35" s="154"/>
      <c r="T35" s="154"/>
      <c r="U35" s="154"/>
      <c r="V35" s="154"/>
      <c r="W35" s="154"/>
      <c r="X35" s="154"/>
      <c r="Y35" s="154"/>
      <c r="Z35" s="155"/>
    </row>
    <row r="36" spans="1:26" ht="14.65">
      <c r="A36" s="94" t="s">
        <v>186</v>
      </c>
      <c r="B36" s="83"/>
      <c r="C36" s="102" t="e">
        <f>SUM(C34:C35)</f>
        <v>#DIV/0!</v>
      </c>
      <c r="D36" s="272" t="s">
        <v>269</v>
      </c>
      <c r="E36" s="275" t="e">
        <f>IF(AND(E33 = 20,C36/H33&gt;25),"TOTAL VOL per vessel CANT Be &gt; 25uL"," ")</f>
        <v>#DIV/0!</v>
      </c>
      <c r="F36" s="276"/>
      <c r="G36" s="277"/>
      <c r="H36" s="276"/>
      <c r="I36" s="277" t="e">
        <f>IF(AND(E33&gt;20,C36/H33&gt; 120),"TOTAL VOL per vessel CANT Be &gt; 120uL"," ")</f>
        <v>#DIV/0!</v>
      </c>
      <c r="J36" s="278"/>
      <c r="K36" s="278"/>
      <c r="L36" s="278"/>
      <c r="M36" s="93"/>
      <c r="P36" s="153"/>
      <c r="Q36" s="154"/>
      <c r="R36" s="154"/>
      <c r="S36" s="154"/>
      <c r="T36" s="154"/>
      <c r="U36" s="154"/>
      <c r="V36" s="154"/>
      <c r="W36" s="154"/>
      <c r="X36" s="154"/>
      <c r="Y36" s="154"/>
      <c r="Z36" s="155"/>
    </row>
    <row r="37" spans="1:26" ht="14.65" thickBot="1">
      <c r="A37" s="99"/>
      <c r="B37" s="100"/>
      <c r="C37" s="100"/>
      <c r="D37" s="100"/>
      <c r="E37" s="100"/>
      <c r="F37" s="100"/>
      <c r="G37" s="100"/>
      <c r="H37" s="100"/>
      <c r="I37" s="100"/>
      <c r="J37" s="100"/>
      <c r="K37" s="100"/>
      <c r="L37" s="100"/>
      <c r="M37" s="200"/>
      <c r="P37" s="153"/>
      <c r="Q37" s="154"/>
      <c r="R37" s="154"/>
      <c r="S37" s="154"/>
      <c r="T37" s="154"/>
      <c r="U37" s="154"/>
      <c r="V37" s="154"/>
      <c r="W37" s="154"/>
      <c r="X37" s="154"/>
      <c r="Y37" s="154"/>
      <c r="Z37" s="155"/>
    </row>
    <row r="38" spans="1:26" ht="14.25">
      <c r="A38" s="94"/>
      <c r="B38" s="83"/>
      <c r="C38" s="83"/>
      <c r="D38" s="83"/>
      <c r="E38" s="83"/>
      <c r="F38" s="83"/>
      <c r="G38" s="83"/>
      <c r="H38" s="83"/>
      <c r="I38" s="83"/>
      <c r="J38" s="83"/>
      <c r="K38" s="83"/>
      <c r="L38" s="83"/>
      <c r="M38" s="93"/>
      <c r="P38" s="153"/>
      <c r="Q38" s="154"/>
      <c r="R38" s="154"/>
      <c r="S38" s="154"/>
      <c r="T38" s="154"/>
      <c r="U38" s="154"/>
      <c r="V38" s="154"/>
      <c r="W38" s="154"/>
      <c r="X38" s="154"/>
      <c r="Y38" s="154"/>
      <c r="Z38" s="155"/>
    </row>
    <row r="39" spans="1:26" ht="14.25">
      <c r="A39" s="94" t="s">
        <v>187</v>
      </c>
      <c r="B39" s="83"/>
      <c r="C39" s="279">
        <f>E28</f>
        <v>0</v>
      </c>
      <c r="D39" s="83"/>
      <c r="E39" s="103" t="s">
        <v>175</v>
      </c>
      <c r="F39" s="280">
        <f>E28</f>
        <v>0</v>
      </c>
      <c r="G39" s="83"/>
      <c r="H39" s="83"/>
      <c r="I39" s="83"/>
      <c r="J39" s="83"/>
      <c r="K39" s="83"/>
      <c r="L39" s="83"/>
      <c r="M39" s="93"/>
      <c r="P39" s="153"/>
      <c r="Q39" s="154"/>
      <c r="R39" s="154"/>
      <c r="S39" s="154"/>
      <c r="T39" s="154"/>
      <c r="U39" s="154"/>
      <c r="V39" s="154"/>
      <c r="W39" s="154"/>
      <c r="X39" s="154"/>
      <c r="Y39" s="154"/>
      <c r="Z39" s="155"/>
    </row>
    <row r="40" spans="1:26" ht="14.65">
      <c r="A40" s="94" t="s">
        <v>214</v>
      </c>
      <c r="B40" s="83"/>
      <c r="C40" s="149"/>
      <c r="D40" s="83"/>
      <c r="E40" s="142" t="s">
        <v>210</v>
      </c>
      <c r="F40" s="280">
        <f>E30</f>
        <v>0</v>
      </c>
      <c r="G40" s="83"/>
      <c r="H40" s="83"/>
      <c r="I40" s="83"/>
      <c r="J40" s="83"/>
      <c r="K40" s="83"/>
      <c r="L40" s="83"/>
      <c r="M40" s="93"/>
      <c r="P40" s="153"/>
      <c r="Q40" s="154"/>
      <c r="R40" s="154"/>
      <c r="S40" s="154"/>
      <c r="T40" s="154"/>
      <c r="U40" s="154"/>
      <c r="V40" s="154"/>
      <c r="W40" s="154"/>
      <c r="X40" s="154"/>
      <c r="Y40" s="154"/>
      <c r="Z40" s="155"/>
    </row>
    <row r="41" spans="1:26" ht="14.25">
      <c r="A41" s="94"/>
      <c r="B41" s="199"/>
      <c r="C41" s="199"/>
      <c r="D41" s="199"/>
      <c r="E41" s="199"/>
      <c r="F41" s="199"/>
      <c r="G41" s="199"/>
      <c r="H41" s="199"/>
      <c r="I41" s="199"/>
      <c r="J41" s="199"/>
      <c r="K41" s="199"/>
      <c r="L41" s="199"/>
      <c r="M41" s="93"/>
      <c r="P41" s="153"/>
      <c r="Q41" s="154"/>
      <c r="R41" s="154"/>
      <c r="S41" s="154"/>
      <c r="T41" s="154"/>
      <c r="U41" s="154"/>
      <c r="V41" s="154"/>
      <c r="W41" s="154"/>
      <c r="X41" s="154"/>
      <c r="Y41" s="154"/>
      <c r="Z41" s="155"/>
    </row>
    <row r="42" spans="1:26" ht="14.25">
      <c r="A42" s="303"/>
      <c r="B42" s="303"/>
      <c r="C42" s="304"/>
      <c r="D42" s="303"/>
      <c r="E42" s="305"/>
      <c r="F42" s="306"/>
      <c r="G42" s="303"/>
      <c r="H42" s="303"/>
      <c r="I42" s="303"/>
      <c r="J42" s="303"/>
      <c r="K42" s="303"/>
      <c r="L42" s="303"/>
      <c r="M42" s="303"/>
      <c r="P42" s="153"/>
      <c r="Q42" s="154"/>
      <c r="R42" s="154"/>
      <c r="S42" s="154"/>
      <c r="T42" s="154"/>
      <c r="U42" s="154"/>
      <c r="V42" s="154"/>
      <c r="W42" s="154"/>
      <c r="X42" s="154"/>
      <c r="Y42" s="154"/>
      <c r="Z42" s="155"/>
    </row>
    <row r="43" spans="1:26" ht="14.25">
      <c r="A43" s="302"/>
      <c r="B43" s="302"/>
      <c r="C43" s="302"/>
      <c r="D43" s="302"/>
      <c r="E43" s="302"/>
      <c r="F43" s="302"/>
      <c r="G43" s="302"/>
      <c r="H43" s="302"/>
      <c r="I43" s="302"/>
      <c r="J43" s="302"/>
      <c r="K43" s="302"/>
      <c r="L43" s="302"/>
      <c r="M43" s="302"/>
      <c r="P43" s="153"/>
      <c r="Q43" s="154"/>
      <c r="R43" s="154"/>
      <c r="S43" s="154"/>
      <c r="T43" s="154"/>
      <c r="U43" s="154"/>
      <c r="V43" s="154"/>
      <c r="W43" s="154"/>
      <c r="X43" s="154"/>
      <c r="Y43" s="154"/>
      <c r="Z43" s="155"/>
    </row>
    <row r="44" spans="1:26" ht="14.25">
      <c r="A44" s="11" t="s">
        <v>200</v>
      </c>
      <c r="D44" s="11" t="str">
        <f>CONCATENATE(D5,H11,D12)</f>
        <v/>
      </c>
      <c r="P44" s="153"/>
      <c r="Q44" s="154"/>
      <c r="R44" s="154"/>
      <c r="S44" s="154"/>
      <c r="T44" s="154"/>
      <c r="U44" s="154"/>
      <c r="V44" s="154"/>
      <c r="W44" s="154"/>
      <c r="X44" s="154"/>
      <c r="Y44" s="154"/>
      <c r="Z44" s="155"/>
    </row>
    <row r="45" spans="1:26" ht="14.65" customHeight="1">
      <c r="J45" s="360" t="s">
        <v>222</v>
      </c>
      <c r="K45" s="360"/>
      <c r="L45" s="360"/>
      <c r="M45" s="360"/>
      <c r="N45" s="360"/>
      <c r="O45" s="361"/>
      <c r="P45" s="153"/>
      <c r="Q45" s="154"/>
      <c r="R45" s="154"/>
      <c r="S45" s="154"/>
      <c r="T45" s="154"/>
      <c r="U45" s="154"/>
      <c r="V45" s="154"/>
      <c r="W45" s="154"/>
      <c r="X45" s="154"/>
      <c r="Y45" s="154"/>
      <c r="Z45" s="155"/>
    </row>
    <row r="46" spans="1:26" ht="15" customHeight="1" thickBot="1">
      <c r="J46" s="362"/>
      <c r="K46" s="362"/>
      <c r="L46" s="362"/>
      <c r="M46" s="362"/>
      <c r="N46" s="362"/>
      <c r="O46" s="363"/>
      <c r="P46" s="153"/>
      <c r="Q46" s="154"/>
      <c r="R46" s="154"/>
      <c r="S46" s="154"/>
      <c r="T46" s="154"/>
      <c r="U46" s="154"/>
      <c r="V46" s="154"/>
      <c r="W46" s="154"/>
      <c r="X46" s="154"/>
      <c r="Y46" s="154"/>
      <c r="Z46" s="155"/>
    </row>
    <row r="47" spans="1:26" ht="14.65" thickBot="1">
      <c r="A47" s="197" t="s">
        <v>164</v>
      </c>
      <c r="B47" s="65" t="s">
        <v>188</v>
      </c>
      <c r="C47" s="69"/>
      <c r="D47" s="69"/>
      <c r="E47" s="68" t="s">
        <v>189</v>
      </c>
      <c r="F47" s="69"/>
      <c r="G47" s="66"/>
      <c r="H47" s="104" t="s">
        <v>190</v>
      </c>
      <c r="I47" s="66" t="s">
        <v>191</v>
      </c>
      <c r="J47" s="67"/>
      <c r="K47" s="69"/>
      <c r="L47" s="69"/>
      <c r="M47" s="69"/>
      <c r="N47" s="69"/>
      <c r="O47" s="67"/>
      <c r="P47" s="153"/>
      <c r="Q47" s="154"/>
      <c r="R47" s="154"/>
      <c r="S47" s="154"/>
      <c r="T47" s="154"/>
      <c r="U47" s="154"/>
      <c r="V47" s="154"/>
      <c r="W47" s="154"/>
      <c r="X47" s="154"/>
      <c r="Y47" s="154"/>
      <c r="Z47" s="155"/>
    </row>
    <row r="48" spans="1:26" ht="14.65" thickBot="1">
      <c r="A48" s="105"/>
      <c r="B48" s="106"/>
      <c r="C48" s="72"/>
      <c r="D48" s="72"/>
      <c r="E48" s="72"/>
      <c r="F48" s="74"/>
      <c r="G48" s="107"/>
      <c r="H48" s="72"/>
      <c r="I48" s="72"/>
      <c r="J48" s="107"/>
      <c r="K48" s="108"/>
      <c r="L48" s="67"/>
      <c r="M48" s="67"/>
      <c r="N48" s="70"/>
      <c r="O48" s="143"/>
      <c r="P48" s="153"/>
      <c r="Q48" s="154"/>
      <c r="R48" s="154"/>
      <c r="S48" s="154"/>
      <c r="T48" s="154"/>
      <c r="U48" s="154"/>
      <c r="V48" s="154"/>
      <c r="W48" s="154"/>
      <c r="X48" s="154"/>
      <c r="Y48" s="154"/>
      <c r="Z48" s="155"/>
    </row>
    <row r="49" spans="1:26" ht="14.65" thickBot="1">
      <c r="A49" s="71"/>
      <c r="B49" s="72"/>
      <c r="C49" s="109" t="s">
        <v>220</v>
      </c>
      <c r="D49" s="72"/>
      <c r="E49" s="109" t="s">
        <v>221</v>
      </c>
      <c r="F49" s="110"/>
      <c r="G49" s="196" t="s">
        <v>223</v>
      </c>
      <c r="H49" s="72"/>
      <c r="I49" s="109" t="s">
        <v>193</v>
      </c>
      <c r="J49" s="72"/>
      <c r="K49" s="111" t="s">
        <v>136</v>
      </c>
      <c r="L49" s="72"/>
      <c r="M49" s="79"/>
      <c r="N49" s="73"/>
      <c r="O49" s="143"/>
      <c r="P49" s="153"/>
      <c r="Q49" s="154"/>
      <c r="R49" s="154"/>
      <c r="S49" s="154"/>
      <c r="T49" s="154"/>
      <c r="U49" s="154"/>
      <c r="V49" s="154"/>
      <c r="W49" s="154"/>
      <c r="X49" s="154"/>
      <c r="Y49" s="154"/>
      <c r="Z49" s="155"/>
    </row>
    <row r="50" spans="1:26" ht="28.9" thickBot="1">
      <c r="A50" s="111" t="s">
        <v>194</v>
      </c>
      <c r="B50" s="72"/>
      <c r="C50" s="175"/>
      <c r="D50" s="72"/>
      <c r="E50" s="195">
        <f>_xlfn.IFS(C50 = 0, 0, AND(C50&lt;&gt;" ", C51 = 0), "11.2", AND(C50&lt;&gt;" ", C51&lt;&gt;" "), "5.6")</f>
        <v>0</v>
      </c>
      <c r="F50" s="72"/>
      <c r="G50" s="195" t="str">
        <f>_xlfn.IFS(E50 = 0,"0", AND(E50&lt;&gt;" ",E51&lt;&gt;0),"0.05", AND(E50&lt;&gt;" ",E51 = 0), "0.1")</f>
        <v>0</v>
      </c>
      <c r="H50" s="72"/>
      <c r="I50" s="112" t="e">
        <f>C50/G50*E50</f>
        <v>#DIV/0!</v>
      </c>
      <c r="J50" s="72"/>
      <c r="K50" s="71"/>
      <c r="L50" s="72" t="s">
        <v>195</v>
      </c>
      <c r="M50" s="192" t="s">
        <v>225</v>
      </c>
      <c r="N50" s="194" t="s">
        <v>224</v>
      </c>
      <c r="O50" s="190"/>
      <c r="P50" s="153"/>
      <c r="Q50" s="154"/>
      <c r="R50" s="154"/>
      <c r="S50" s="154"/>
      <c r="T50" s="154"/>
      <c r="U50" s="154"/>
      <c r="V50" s="154"/>
      <c r="W50" s="154"/>
      <c r="X50" s="154"/>
      <c r="Y50" s="154"/>
      <c r="Z50" s="155"/>
    </row>
    <row r="51" spans="1:26" ht="14.65" thickBot="1">
      <c r="A51" s="111" t="s">
        <v>196</v>
      </c>
      <c r="B51" s="72"/>
      <c r="C51" s="175"/>
      <c r="D51" s="72"/>
      <c r="E51" s="113">
        <f>_xlfn.IFS(C51 = 0, 0, AND(C50=0, C51&lt;&gt;" "), "11.2", AND(C50&lt;&gt;" ", C51&lt;&gt;" "), "5.6")</f>
        <v>0</v>
      </c>
      <c r="F51" s="72"/>
      <c r="G51" s="113" t="str">
        <f>_xlfn.IFS(E51= 0,"0", AND(E50&lt;&gt;0,E51&lt;&gt;" "),"0.05", AND(E51&lt;&gt;" ",E50=0), "0.1")</f>
        <v>0</v>
      </c>
      <c r="H51" s="72"/>
      <c r="I51" s="114" t="e">
        <f>C51/G51*E51</f>
        <v>#DIV/0!</v>
      </c>
      <c r="J51" s="72"/>
      <c r="K51" s="71" t="s">
        <v>197</v>
      </c>
      <c r="L51" s="188"/>
      <c r="M51" s="193" t="e">
        <f>I50/L51</f>
        <v>#DIV/0!</v>
      </c>
      <c r="N51" s="185" t="e">
        <f>E50-M51</f>
        <v>#DIV/0!</v>
      </c>
      <c r="O51" s="71"/>
      <c r="P51" s="153"/>
      <c r="Q51" s="154"/>
      <c r="R51" s="154"/>
      <c r="S51" s="154"/>
      <c r="T51" s="154"/>
      <c r="U51" s="154"/>
      <c r="V51" s="154"/>
      <c r="W51" s="154"/>
      <c r="X51" s="154"/>
      <c r="Y51" s="154"/>
      <c r="Z51" s="155"/>
    </row>
    <row r="52" spans="1:26" ht="14.65" thickBot="1">
      <c r="A52" s="78"/>
      <c r="B52" s="79"/>
      <c r="C52" s="79"/>
      <c r="D52" s="79"/>
      <c r="E52" s="115"/>
      <c r="F52" s="72"/>
      <c r="G52" s="115"/>
      <c r="H52" s="115"/>
      <c r="I52" s="72"/>
      <c r="J52" s="72"/>
      <c r="K52" s="78" t="s">
        <v>198</v>
      </c>
      <c r="L52" s="188"/>
      <c r="M52" s="189" t="e">
        <f>I51/L52</f>
        <v>#DIV/0!</v>
      </c>
      <c r="N52" s="191">
        <f>E51-0.1</f>
        <v>-0.1</v>
      </c>
      <c r="O52" s="190"/>
      <c r="P52" s="153"/>
      <c r="Q52" s="154"/>
      <c r="R52" s="154"/>
      <c r="S52" s="154"/>
      <c r="T52" s="154"/>
      <c r="U52" s="154"/>
      <c r="V52" s="154"/>
      <c r="W52" s="154"/>
      <c r="X52" s="154"/>
      <c r="Y52" s="154"/>
      <c r="Z52" s="155"/>
    </row>
    <row r="53" spans="1:26" ht="14.65" thickBot="1">
      <c r="A53" s="116" t="s">
        <v>199</v>
      </c>
      <c r="B53" s="69"/>
      <c r="C53" s="69"/>
      <c r="D53" s="184"/>
      <c r="E53" s="79"/>
      <c r="F53" s="79"/>
      <c r="G53" s="79"/>
      <c r="H53" s="79"/>
      <c r="I53" s="79"/>
      <c r="J53" s="79"/>
      <c r="K53" s="79"/>
      <c r="L53" s="79"/>
      <c r="M53" s="110"/>
      <c r="N53" s="186"/>
      <c r="O53" s="79"/>
      <c r="P53" s="153"/>
      <c r="Q53" s="154"/>
      <c r="R53" s="154"/>
      <c r="S53" s="154"/>
      <c r="T53" s="154"/>
      <c r="U53" s="154"/>
      <c r="V53" s="154"/>
      <c r="W53" s="154"/>
      <c r="X53" s="154"/>
      <c r="Y53" s="154"/>
      <c r="Z53" s="155"/>
    </row>
    <row r="54" spans="1:26" ht="14.65" customHeight="1" thickTop="1">
      <c r="M54" s="187"/>
      <c r="P54" s="153"/>
      <c r="Q54" s="154"/>
      <c r="R54" s="154"/>
      <c r="S54" s="154"/>
      <c r="T54" s="154"/>
      <c r="U54" s="154"/>
      <c r="V54" s="154"/>
      <c r="W54" s="154"/>
      <c r="X54" s="154"/>
      <c r="Y54" s="154"/>
      <c r="Z54" s="155"/>
    </row>
    <row r="55" spans="1:26" ht="14.65" customHeight="1">
      <c r="A55" s="11" t="s">
        <v>201</v>
      </c>
      <c r="B55" s="11"/>
      <c r="C55" s="11" t="str">
        <f>CONCATENATE((R8),U8)</f>
        <v/>
      </c>
      <c r="P55" s="153"/>
      <c r="Q55" s="154"/>
      <c r="R55" s="154"/>
      <c r="S55" s="154"/>
      <c r="T55" s="154"/>
      <c r="U55" s="154"/>
      <c r="V55" s="154"/>
      <c r="W55" s="154"/>
      <c r="X55" s="154"/>
      <c r="Y55" s="154"/>
      <c r="Z55" s="155"/>
    </row>
    <row r="56" spans="1:26" ht="14.65" customHeight="1" thickBot="1">
      <c r="P56" s="156"/>
      <c r="Q56" s="157"/>
      <c r="R56" s="157"/>
      <c r="S56" s="157"/>
      <c r="T56" s="157"/>
      <c r="U56" s="157"/>
      <c r="V56" s="157"/>
      <c r="W56" s="157"/>
      <c r="X56" s="157"/>
      <c r="Y56" s="157"/>
      <c r="Z56" s="158"/>
    </row>
    <row r="58" spans="1:26" ht="14.25">
      <c r="B58" s="11"/>
      <c r="D58" s="11"/>
    </row>
    <row r="59" spans="1:26" ht="14.25">
      <c r="D59" s="11"/>
    </row>
  </sheetData>
  <sheetProtection sheet="1" scenarios="1" selectLockedCells="1"/>
  <mergeCells count="16">
    <mergeCell ref="T4:U4"/>
    <mergeCell ref="S12:T12"/>
    <mergeCell ref="F27:H27"/>
    <mergeCell ref="J45:O46"/>
    <mergeCell ref="AA12:AB12"/>
    <mergeCell ref="AA13:AC13"/>
    <mergeCell ref="AA14:AB14"/>
    <mergeCell ref="S10:U10"/>
    <mergeCell ref="S13:U13"/>
    <mergeCell ref="P23:W23"/>
    <mergeCell ref="P24:W24"/>
    <mergeCell ref="W12:X12"/>
    <mergeCell ref="W13:Y13"/>
    <mergeCell ref="W14:X14"/>
    <mergeCell ref="P21:W21"/>
    <mergeCell ref="P22:W22"/>
  </mergeCells>
  <conditionalFormatting sqref="H6:I6 A9:I9 N6:O9">
    <cfRule type="expression" priority="61">
      <formula>"row if val(a..) EVEN"</formula>
    </cfRule>
    <cfRule type="expression" dxfId="33" priority="62">
      <formula>"row is even"</formula>
    </cfRule>
  </conditionalFormatting>
  <conditionalFormatting sqref="B10 A6:F6">
    <cfRule type="expression" priority="69">
      <formula>"row if val(a..) EVEN"</formula>
    </cfRule>
    <cfRule type="expression" dxfId="32" priority="70">
      <formula>"row is even"</formula>
    </cfRule>
  </conditionalFormatting>
  <conditionalFormatting sqref="D5">
    <cfRule type="expression" priority="67">
      <formula>"row if val(a..) EVEN"</formula>
    </cfRule>
    <cfRule type="expression" dxfId="31" priority="68">
      <formula>"row is even"</formula>
    </cfRule>
  </conditionalFormatting>
  <conditionalFormatting sqref="E10">
    <cfRule type="expression" priority="65">
      <formula>"row if val(a..) EVEN"</formula>
    </cfRule>
    <cfRule type="expression" dxfId="30" priority="66">
      <formula>"row is even"</formula>
    </cfRule>
  </conditionalFormatting>
  <conditionalFormatting sqref="C10">
    <cfRule type="expression" priority="63">
      <formula>"row if val(a..) EVEN"</formula>
    </cfRule>
    <cfRule type="expression" dxfId="29" priority="64">
      <formula>"row is even"</formula>
    </cfRule>
  </conditionalFormatting>
  <conditionalFormatting sqref="Q6 P4 S6 P2:Q2 S2:U2 P5:T5">
    <cfRule type="expression" priority="19">
      <formula>"row if val(a..) EVEN"</formula>
    </cfRule>
    <cfRule type="expression" dxfId="28" priority="20">
      <formula>"row is even"</formula>
    </cfRule>
  </conditionalFormatting>
  <conditionalFormatting sqref="Q4 T6">
    <cfRule type="expression" priority="21">
      <formula>"row if val(a..) EVEN"</formula>
    </cfRule>
    <cfRule type="expression" dxfId="27" priority="22">
      <formula>"row is even"</formula>
    </cfRule>
  </conditionalFormatting>
  <conditionalFormatting sqref="H8:I8 A7 C7">
    <cfRule type="expression" priority="15">
      <formula>"row if val(a..) EVEN"</formula>
    </cfRule>
    <cfRule type="expression" dxfId="26" priority="16">
      <formula>"row is even"</formula>
    </cfRule>
  </conditionalFormatting>
  <conditionalFormatting sqref="E8:F8 A8 G7">
    <cfRule type="expression" priority="17">
      <formula>"row if val(a..) EVEN"</formula>
    </cfRule>
    <cfRule type="expression" dxfId="25" priority="18">
      <formula>"row is even"</formula>
    </cfRule>
  </conditionalFormatting>
  <conditionalFormatting sqref="A11:I11">
    <cfRule type="expression" priority="13">
      <formula>"row if val(a..) EVEN"</formula>
    </cfRule>
    <cfRule type="expression" dxfId="24" priority="14">
      <formula>"row is even"</formula>
    </cfRule>
  </conditionalFormatting>
  <conditionalFormatting sqref="R4">
    <cfRule type="expression" priority="11">
      <formula>"row if val(a..) EVEN"</formula>
    </cfRule>
    <cfRule type="expression" dxfId="23" priority="12">
      <formula>"row is even"</formula>
    </cfRule>
  </conditionalFormatting>
  <conditionalFormatting sqref="V6">
    <cfRule type="expression" priority="9">
      <formula>"row if val(a..) EVEN"</formula>
    </cfRule>
    <cfRule type="expression" dxfId="22" priority="10">
      <formula>"row is even"</formula>
    </cfRule>
  </conditionalFormatting>
  <conditionalFormatting sqref="J6:M6 L7:M8 J9:M9">
    <cfRule type="expression" priority="5">
      <formula>"row if val(a..) EVEN"</formula>
    </cfRule>
    <cfRule type="expression" dxfId="21" priority="6">
      <formula>"row is even"</formula>
    </cfRule>
  </conditionalFormatting>
  <conditionalFormatting sqref="J10">
    <cfRule type="expression" priority="7">
      <formula>"row if val(a..) EVEN"</formula>
    </cfRule>
    <cfRule type="expression" dxfId="20" priority="8">
      <formula>"row is even"</formula>
    </cfRule>
  </conditionalFormatting>
  <conditionalFormatting sqref="J8:K8">
    <cfRule type="expression" priority="3">
      <formula>"row if val(a..) EVEN"</formula>
    </cfRule>
    <cfRule type="expression" dxfId="19" priority="4">
      <formula>"row is even"</formula>
    </cfRule>
  </conditionalFormatting>
  <conditionalFormatting sqref="J11:K11">
    <cfRule type="expression" priority="1">
      <formula>"row if val(a..) EVEN"</formula>
    </cfRule>
    <cfRule type="expression" dxfId="18" priority="2">
      <formula>"row is even"</formula>
    </cfRule>
  </conditionalFormatting>
  <dataValidations xWindow="683" yWindow="433" count="11">
    <dataValidation operator="equal" allowBlank="1" showInputMessage="1" showErrorMessage="1" prompt="ex: 20190417" sqref="C10 R5" xr:uid="{4A370FE1-CA1E-441D-915F-313620262761}"/>
    <dataValidation type="whole" allowBlank="1" showInputMessage="1" prompt="number" sqref="T5" xr:uid="{00866C31-D3CB-4282-8FDD-1D37BECF52E5}">
      <formula1>10</formula1>
      <formula2>50</formula2>
    </dataValidation>
    <dataValidation type="whole" allowBlank="1" showInputMessage="1" showErrorMessage="1" prompt="Enter a number" sqref="H7 K10" xr:uid="{14E9D265-7FAC-428D-8599-819A5923942E}">
      <formula1>1</formula1>
      <formula2>50</formula2>
    </dataValidation>
    <dataValidation type="whole" allowBlank="1" showInputMessage="1" showErrorMessage="1" prompt="enter a number" sqref="H10 E7" xr:uid="{E6D9C338-A173-4E5C-A4C8-1BBADE61A1D1}">
      <formula1>0</formula1>
      <formula2>10</formula2>
    </dataValidation>
    <dataValidation type="textLength" operator="equal" allowBlank="1" showInputMessage="1" showErrorMessage="1" prompt="ex: 20190417" sqref="G9 E10 S6 C7 Q6 V6 R4" xr:uid="{7C895BE5-82BE-49F9-B99D-288099937B6E}">
      <formula1>8</formula1>
    </dataValidation>
    <dataValidation allowBlank="1" showInputMessage="1" showErrorMessage="1" prompt="Enter a number (e.g. 1e6)" sqref="C42 C40" xr:uid="{A8EA7B18-061E-425D-909A-3716290704F3}"/>
    <dataValidation allowBlank="1" showInputMessage="1" showErrorMessage="1" prompt="ex: 534e3" sqref="L51:L52" xr:uid="{8CDE15AD-494D-4395-AEC3-E4448905FFEA}"/>
    <dataValidation type="textLength" operator="equal" allowBlank="1" showInputMessage="1" showErrorMessage="1" prompt="ex. 20200110" sqref="D8" xr:uid="{0394B702-9D78-4EF7-9014-4A6765313B0C}">
      <formula1>8</formula1>
    </dataValidation>
    <dataValidation type="time" allowBlank="1" showInputMessage="1" showErrorMessage="1" sqref="D53" xr:uid="{C776B8C4-62E7-4E1E-B22B-23935EEB0EE9}">
      <formula1>0</formula1>
      <formula2>0.999305555555556</formula2>
    </dataValidation>
    <dataValidation type="textLength" operator="equal" allowBlank="1" showErrorMessage="1" sqref="D5" xr:uid="{EB645A37-FBC0-4B86-871A-711EF657C607}">
      <formula1>8</formula1>
    </dataValidation>
    <dataValidation type="whole" allowBlank="1" showInputMessage="1" showErrorMessage="1" sqref="H33" xr:uid="{C0E7CD32-D150-4349-8028-C59AE31A0E07}">
      <formula1>1</formula1>
      <formula2>100</formula2>
    </dataValidation>
  </dataValidations>
  <pageMargins left="0.7" right="0.7" top="0.75" bottom="0.75" header="0.3" footer="0.3"/>
  <pageSetup orientation="portrait" verticalDpi="300" r:id="rId1"/>
  <extLst>
    <ext xmlns:x14="http://schemas.microsoft.com/office/spreadsheetml/2009/9/main" uri="{CCE6A557-97BC-4b89-ADB6-D9C93CAAB3DF}">
      <x14:dataValidations xmlns:xm="http://schemas.microsoft.com/office/excel/2006/main" xWindow="683" yWindow="433" count="21">
        <x14:dataValidation type="list" showInputMessage="1" showErrorMessage="1" xr:uid="{CBF67E92-710D-4020-9CD9-69D026A081A8}">
          <x14:formula1>
            <xm:f>'Data validation criteria'!$K$21:$K$26</xm:f>
          </x14:formula1>
          <xm:sqref>H13</xm:sqref>
        </x14:dataValidation>
        <x14:dataValidation type="list" allowBlank="1" showInputMessage="1" showErrorMessage="1" xr:uid="{9D4DA235-3DDD-4F4B-9034-32AE71E8E76F}">
          <x14:formula1>
            <xm:f>'Data validation criteria'!$A$3:$A$9</xm:f>
          </x14:formula1>
          <xm:sqref>D4 C4:C5</xm:sqref>
        </x14:dataValidation>
        <x14:dataValidation type="list" allowBlank="1" showInputMessage="1" showErrorMessage="1" xr:uid="{0FEE3018-A11C-4619-9D65-0BF9BE0D0113}">
          <x14:formula1>
            <xm:f>'Data validation criteria'!$C$21:$C$25</xm:f>
          </x14:formula1>
          <xm:sqref>D11</xm:sqref>
        </x14:dataValidation>
        <x14:dataValidation type="list" allowBlank="1" showInputMessage="1" showErrorMessage="1" xr:uid="{506DD48A-3D4F-49BC-B171-931BC22AD04F}">
          <x14:formula1>
            <xm:f>'Data validation criteria'!$M$21:$M$30</xm:f>
          </x14:formula1>
          <xm:sqref>D12</xm:sqref>
        </x14:dataValidation>
        <x14:dataValidation type="list" allowBlank="1" showInputMessage="1" showErrorMessage="1" xr:uid="{0EA8B4C4-D73D-47BB-B6C4-FE0498530F20}">
          <x14:formula1>
            <xm:f>'Data validation criteria'!$N$21:$N$30</xm:f>
          </x14:formula1>
          <xm:sqref>D13</xm:sqref>
        </x14:dataValidation>
        <x14:dataValidation type="list" allowBlank="1" showInputMessage="1" showErrorMessage="1" xr:uid="{DFE773A8-BF2F-408F-8107-615C3FCF80D4}">
          <x14:formula1>
            <xm:f>'Data validation criteria'!$D$21:$D$25</xm:f>
          </x14:formula1>
          <xm:sqref>G11</xm:sqref>
        </x14:dataValidation>
        <x14:dataValidation type="list" allowBlank="1" showInputMessage="1" showErrorMessage="1" xr:uid="{2A820631-5BD4-41A3-9CF9-1A234F557525}">
          <x14:formula1>
            <xm:f>'Data validation criteria'!$F$21:$F$23</xm:f>
          </x14:formula1>
          <xm:sqref>R8</xm:sqref>
        </x14:dataValidation>
        <x14:dataValidation type="list" allowBlank="1" showInputMessage="1" showErrorMessage="1" xr:uid="{3108875D-B098-4422-AB56-D1D9A02A0CF8}">
          <x14:formula1>
            <xm:f>'Data validation criteria'!$A$34:$A$39</xm:f>
          </x14:formula1>
          <xm:sqref>U8</xm:sqref>
        </x14:dataValidation>
        <x14:dataValidation type="list" allowBlank="1" showInputMessage="1" showErrorMessage="1" xr:uid="{72B94B01-99F6-4CE0-8572-B5268B2A5FA4}">
          <x14:formula1>
            <xm:f>'Data validation criteria'!$L$21:$L$23</xm:f>
          </x14:formula1>
          <xm:sqref>X8</xm:sqref>
        </x14:dataValidation>
        <x14:dataValidation type="list" allowBlank="1" showInputMessage="1" showErrorMessage="1" xr:uid="{DA31E206-20BC-4534-9C47-1BA1B8B989C5}">
          <x14:formula1>
            <xm:f>'Data validation criteria'!$A$21:$A$28</xm:f>
          </x14:formula1>
          <xm:sqref>S10:U10</xm:sqref>
        </x14:dataValidation>
        <x14:dataValidation type="list" allowBlank="1" showInputMessage="1" showErrorMessage="1" xr:uid="{B22BEC46-8BFE-47C0-995C-A303740F9575}">
          <x14:formula1>
            <xm:f>'Data validation criteria'!$J$21:$J$24</xm:f>
          </x14:formula1>
          <xm:sqref>W10 W14:X14 AA14:AB14</xm:sqref>
        </x14:dataValidation>
        <x14:dataValidation type="list" allowBlank="1" showInputMessage="1" showErrorMessage="1" xr:uid="{6BBAD105-A29E-4F7B-998C-23BBC8218177}">
          <x14:formula1>
            <xm:f>'Data validation criteria'!$I$21:$I$25</xm:f>
          </x14:formula1>
          <xm:sqref>S12 W12 AA12</xm:sqref>
        </x14:dataValidation>
        <x14:dataValidation type="list" allowBlank="1" showInputMessage="1" showErrorMessage="1" xr:uid="{F0156687-AE57-4CF9-BB29-8E2D4444FC60}">
          <x14:formula1>
            <xm:f>'Data validation criteria'!$A$21:$A$27</xm:f>
          </x14:formula1>
          <xm:sqref>S13:U13 W13:Y13 AA13:AC13</xm:sqref>
        </x14:dataValidation>
        <x14:dataValidation type="list" allowBlank="1" showInputMessage="1" showErrorMessage="1" xr:uid="{0BF34360-1C69-432B-A3D5-39204839176D}">
          <x14:formula1>
            <xm:f>'Data validation criteria'!$J$21:$J$25</xm:f>
          </x14:formula1>
          <xm:sqref>S14</xm:sqref>
        </x14:dataValidation>
        <x14:dataValidation type="list" allowBlank="1" showInputMessage="1" showErrorMessage="1" xr:uid="{C730A1AF-FC4F-4B20-81DD-7E10C35D9DD7}">
          <x14:formula1>
            <xm:f>'Data validation criteria'!$E$21:$E$25</xm:f>
          </x14:formula1>
          <xm:sqref>Q2</xm:sqref>
        </x14:dataValidation>
        <x14:dataValidation type="list" allowBlank="1" showInputMessage="1" showErrorMessage="1" xr:uid="{C1BAD610-2F1D-43BC-A4EE-EB6644382D00}">
          <x14:formula1>
            <xm:f>'Data validation criteria'!$F$2:$F$7</xm:f>
          </x14:formula1>
          <xm:sqref>T2</xm:sqref>
        </x14:dataValidation>
        <x14:dataValidation type="list" allowBlank="1" showInputMessage="1" showErrorMessage="1" xr:uid="{776EA1E5-95B8-4370-84CB-24D91F0F9331}">
          <x14:formula1>
            <xm:f>'Data validation criteria'!$D$34:$D$38</xm:f>
          </x14:formula1>
          <xm:sqref>T4:U4</xm:sqref>
        </x14:dataValidation>
        <x14:dataValidation type="list" allowBlank="1" showInputMessage="1" showErrorMessage="1" xr:uid="{1DB77DD0-88EE-417F-AFAC-1D5A92F0FC96}">
          <x14:formula1>
            <xm:f>'C:\Users\aplant\AppData\Local\Microsoft\Windows\INetCache\Content.Outlook\ZYZ9ILGB\[0701Copy of 0615question.alp.TransfectionMetadata w Calendar.xlsm]Data validation criteria'!#REF!</xm:f>
          </x14:formula1>
          <xm:sqref>Y12 AC12</xm:sqref>
        </x14:dataValidation>
        <x14:dataValidation type="list" allowBlank="1" showInputMessage="1" showErrorMessage="1" xr:uid="{B6E6B354-7C7D-484A-A198-D7FB730C07E1}">
          <x14:formula1>
            <xm:f>'Data validation criteria'!$G$34:$G$39</xm:f>
          </x14:formula1>
          <xm:sqref>L13</xm:sqref>
        </x14:dataValidation>
        <x14:dataValidation type="list" allowBlank="1" showInputMessage="1" showErrorMessage="1" xr:uid="{85658D76-0A34-4C96-A5E5-53AD6BD65406}">
          <x14:formula1>
            <xm:f>'Data validation criteria'!$H$2:$H$9</xm:f>
          </x14:formula1>
          <xm:sqref>D23</xm:sqref>
        </x14:dataValidation>
        <x14:dataValidation type="list" allowBlank="1" showInputMessage="1" showErrorMessage="1" xr:uid="{166BBFFB-9283-4A7F-97EC-4EB4DC3C4DAD}">
          <x14:formula1>
            <xm:f>'Data validation criteria'!$E$34:$E$37</xm:f>
          </x14:formula1>
          <xm:sqref>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A3A1F-E3EC-4DC1-B2EC-7C7621420D90}">
  <sheetPr codeName="WSData"/>
  <dimension ref="A1:J1"/>
  <sheetViews>
    <sheetView showGridLines="0" workbookViewId="0">
      <pane ySplit="1" topLeftCell="A2" activePane="bottomLeft" state="frozen"/>
      <selection activeCell="P50" sqref="P50"/>
      <selection pane="bottomLeft" activeCell="A3" sqref="A3:XFD3"/>
    </sheetView>
  </sheetViews>
  <sheetFormatPr defaultColWidth="9.19921875" defaultRowHeight="11.65"/>
  <cols>
    <col min="1" max="1" width="12.796875" style="224" customWidth="1"/>
    <col min="2" max="2" width="12.796875" style="225" customWidth="1"/>
    <col min="3" max="3" width="33.796875" style="225" customWidth="1"/>
    <col min="4" max="4" width="24.265625" style="225" customWidth="1"/>
    <col min="5" max="6" width="10.796875" style="225" customWidth="1"/>
    <col min="7" max="7" width="61" style="226" customWidth="1"/>
    <col min="8" max="9" width="10.796875" style="225" customWidth="1"/>
    <col min="10" max="10" width="12.53125" style="225" bestFit="1" customWidth="1"/>
    <col min="11" max="16384" width="9.19921875" style="225"/>
  </cols>
  <sheetData>
    <row r="1" spans="1:10" s="222" customFormat="1">
      <c r="A1" s="221" t="s">
        <v>153</v>
      </c>
      <c r="B1" s="222" t="s">
        <v>154</v>
      </c>
      <c r="C1" s="222" t="s">
        <v>152</v>
      </c>
      <c r="D1" s="222" t="s">
        <v>143</v>
      </c>
      <c r="E1" s="222" t="s">
        <v>142</v>
      </c>
      <c r="F1" s="222" t="s">
        <v>150</v>
      </c>
      <c r="G1" s="223" t="s">
        <v>148</v>
      </c>
      <c r="H1" s="222" t="s">
        <v>155</v>
      </c>
      <c r="I1" s="222" t="s">
        <v>253</v>
      </c>
      <c r="J1" s="222" t="s">
        <v>254</v>
      </c>
    </row>
  </sheetData>
  <conditionalFormatting sqref="A1:J1048576">
    <cfRule type="expression" dxfId="17" priority="1">
      <formula>$A1&lt;&gt;""</formula>
    </cfRule>
  </conditionalFormatting>
  <pageMargins left="0.7" right="0.7" top="0.75" bottom="0.75" header="0.3" footer="0.3"/>
  <pageSetup orientation="portrait"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D95D6D-B6B5-4CCE-A648-96B20BD10274}">
  <sheetPr codeName="WSCellSamples"/>
  <dimension ref="A1:B18"/>
  <sheetViews>
    <sheetView showGridLines="0" workbookViewId="0">
      <pane ySplit="1" topLeftCell="A2" activePane="bottomLeft" state="frozen"/>
      <selection activeCell="P50" sqref="P50"/>
      <selection pane="bottomLeft" activeCell="A3" sqref="A3"/>
    </sheetView>
  </sheetViews>
  <sheetFormatPr defaultRowHeight="14.25"/>
  <cols>
    <col min="1" max="1" width="50.796875" style="8" customWidth="1"/>
    <col min="2" max="2" width="14.59765625" style="36" customWidth="1"/>
  </cols>
  <sheetData>
    <row r="1" spans="1:2" s="18" customFormat="1">
      <c r="A1" s="310" t="s">
        <v>151</v>
      </c>
      <c r="B1" s="37" t="s">
        <v>156</v>
      </c>
    </row>
    <row r="2" spans="1:2">
      <c r="A2" s="311"/>
      <c r="B2" s="220"/>
    </row>
    <row r="3" spans="1:2">
      <c r="A3"/>
      <c r="B3"/>
    </row>
    <row r="4" spans="1:2">
      <c r="A4"/>
      <c r="B4"/>
    </row>
    <row r="5" spans="1:2">
      <c r="A5"/>
      <c r="B5"/>
    </row>
    <row r="6" spans="1:2">
      <c r="A6"/>
      <c r="B6"/>
    </row>
    <row r="7" spans="1:2">
      <c r="A7"/>
      <c r="B7"/>
    </row>
    <row r="8" spans="1:2">
      <c r="A8"/>
      <c r="B8"/>
    </row>
    <row r="9" spans="1:2">
      <c r="A9"/>
      <c r="B9"/>
    </row>
    <row r="10" spans="1:2">
      <c r="A10"/>
      <c r="B10"/>
    </row>
    <row r="11" spans="1:2">
      <c r="A11"/>
      <c r="B11"/>
    </row>
    <row r="12" spans="1:2">
      <c r="A12"/>
      <c r="B12"/>
    </row>
    <row r="13" spans="1:2">
      <c r="A13"/>
      <c r="B13"/>
    </row>
    <row r="14" spans="1:2">
      <c r="A14"/>
      <c r="B14"/>
    </row>
    <row r="15" spans="1:2">
      <c r="A15"/>
      <c r="B15"/>
    </row>
    <row r="16" spans="1:2">
      <c r="A16"/>
      <c r="B16"/>
    </row>
    <row r="17" spans="1:2">
      <c r="A17"/>
      <c r="B17"/>
    </row>
    <row r="18" spans="1:2">
      <c r="A18"/>
      <c r="B18"/>
    </row>
  </sheetData>
  <sortState xmlns:xlrd2="http://schemas.microsoft.com/office/spreadsheetml/2017/richdata2" ref="A2:B18">
    <sortCondition descending="1" ref="B1"/>
  </sortState>
  <conditionalFormatting sqref="A1:B2 A19:A1048576">
    <cfRule type="expression" dxfId="4" priority="1">
      <formula>$A1&lt;&gt;""</formula>
    </cfRule>
  </conditionalFormatting>
  <conditionalFormatting sqref="B19:B1048504">
    <cfRule type="expression" dxfId="3" priority="65">
      <formula>$A20&lt;&gt;""</formula>
    </cfRule>
  </conditionalFormatting>
  <conditionalFormatting sqref="B1048519:B1048576">
    <cfRule type="expression" dxfId="2" priority="83">
      <formula>#REF!&lt;&gt;""</formula>
    </cfRule>
  </conditionalFormatting>
  <conditionalFormatting sqref="B1048505:B1048518">
    <cfRule type="expression" dxfId="1" priority="84">
      <formula>$A1&lt;&gt;""</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4443E-3593-4AE5-9824-5E3BE3CA303A}">
  <sheetPr codeName="WSLists"/>
  <dimension ref="A1:J13"/>
  <sheetViews>
    <sheetView showGridLines="0" workbookViewId="0">
      <selection activeCell="B32" sqref="B32"/>
    </sheetView>
  </sheetViews>
  <sheetFormatPr defaultColWidth="30.796875" defaultRowHeight="14.25"/>
  <cols>
    <col min="1" max="1" width="30.796875" style="8"/>
    <col min="3" max="16384" width="30.796875" style="8"/>
  </cols>
  <sheetData>
    <row r="1" spans="1:10" s="14" customFormat="1">
      <c r="A1" s="18" t="s">
        <v>147</v>
      </c>
      <c r="I1" s="18"/>
      <c r="J1" s="18"/>
    </row>
    <row r="2" spans="1:10">
      <c r="A2" s="8" t="s">
        <v>141</v>
      </c>
      <c r="D2" s="13"/>
    </row>
    <row r="3" spans="1:10">
      <c r="A3" s="8" t="s">
        <v>145</v>
      </c>
      <c r="D3" s="17"/>
    </row>
    <row r="4" spans="1:10">
      <c r="A4" s="8" t="s">
        <v>139</v>
      </c>
      <c r="D4" s="13"/>
    </row>
    <row r="5" spans="1:10">
      <c r="A5" s="8" t="s">
        <v>140</v>
      </c>
      <c r="D5" s="4"/>
    </row>
    <row r="6" spans="1:10">
      <c r="A6" s="8" t="s">
        <v>146</v>
      </c>
      <c r="D6" s="13" t="s">
        <v>39</v>
      </c>
    </row>
    <row r="7" spans="1:10">
      <c r="A7" s="8" t="s">
        <v>144</v>
      </c>
      <c r="D7" s="4" t="s">
        <v>39</v>
      </c>
    </row>
    <row r="8" spans="1:10">
      <c r="A8" s="8" t="s">
        <v>138</v>
      </c>
      <c r="D8" s="4" t="s">
        <v>39</v>
      </c>
    </row>
    <row r="9" spans="1:10">
      <c r="A9" s="8" t="s">
        <v>229</v>
      </c>
      <c r="D9" s="4" t="s">
        <v>39</v>
      </c>
    </row>
    <row r="10" spans="1:10">
      <c r="A10" s="8" t="s">
        <v>240</v>
      </c>
      <c r="D10" s="4" t="s">
        <v>39</v>
      </c>
    </row>
    <row r="11" spans="1:10">
      <c r="A11" s="8" t="s">
        <v>241</v>
      </c>
      <c r="D11" s="4" t="s">
        <v>39</v>
      </c>
    </row>
    <row r="12" spans="1:10">
      <c r="A12" s="8" t="s">
        <v>249</v>
      </c>
    </row>
    <row r="13" spans="1:10">
      <c r="A13" s="8" t="s">
        <v>250</v>
      </c>
    </row>
  </sheetData>
  <dataValidations count="1">
    <dataValidation allowBlank="1" showInputMessage="1" showErrorMessage="1" prompt="number of wells or vials/size of well plate" sqref="D2" xr:uid="{39D0FCBA-3CFB-4AE7-A016-66CD630C1F6B}"/>
  </dataValidations>
  <pageMargins left="0.7" right="0.7" top="0.75" bottom="0.75" header="0.3" footer="0.3"/>
  <pageSetup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1301E-7A9D-4460-B6EA-856036D736A0}">
  <sheetPr codeName="Sheet6"/>
  <dimension ref="A1:N40"/>
  <sheetViews>
    <sheetView workbookViewId="0">
      <selection activeCell="B12" sqref="B12"/>
    </sheetView>
  </sheetViews>
  <sheetFormatPr defaultRowHeight="14.25"/>
  <cols>
    <col min="1" max="1" width="23.53125" customWidth="1"/>
    <col min="2" max="2" width="16.46484375" customWidth="1"/>
    <col min="3" max="3" width="11.796875" customWidth="1"/>
    <col min="4" max="4" width="15.796875" customWidth="1"/>
    <col min="5" max="5" width="13.19921875" customWidth="1"/>
    <col min="6" max="6" width="15.19921875" customWidth="1"/>
    <col min="7" max="7" width="17" customWidth="1"/>
    <col min="8" max="8" width="15.796875" customWidth="1"/>
    <col min="9" max="9" width="15.46484375" customWidth="1"/>
    <col min="10" max="10" width="18.19921875" customWidth="1"/>
    <col min="11" max="11" width="17.53125" customWidth="1"/>
    <col min="12" max="12" width="11.53125" customWidth="1"/>
    <col min="13" max="13" width="12.19921875" customWidth="1"/>
    <col min="14" max="14" width="25.796875" customWidth="1"/>
  </cols>
  <sheetData>
    <row r="1" spans="1:12">
      <c r="A1" s="8" t="s">
        <v>43</v>
      </c>
      <c r="B1" s="8" t="s">
        <v>44</v>
      </c>
      <c r="C1" s="8" t="s">
        <v>45</v>
      </c>
      <c r="D1" s="8" t="s">
        <v>2</v>
      </c>
      <c r="E1" s="8" t="s">
        <v>46</v>
      </c>
      <c r="F1" s="8" t="s">
        <v>47</v>
      </c>
      <c r="G1" s="8" t="s">
        <v>48</v>
      </c>
      <c r="H1" s="8" t="s">
        <v>49</v>
      </c>
      <c r="I1" s="8" t="s">
        <v>50</v>
      </c>
      <c r="J1" s="8" t="s">
        <v>51</v>
      </c>
      <c r="K1" s="8" t="s">
        <v>52</v>
      </c>
      <c r="L1" s="8" t="s">
        <v>53</v>
      </c>
    </row>
    <row r="2" spans="1:12">
      <c r="B2" s="8" t="s">
        <v>54</v>
      </c>
      <c r="C2" s="8"/>
      <c r="E2" s="8" t="s">
        <v>56</v>
      </c>
      <c r="H2" s="8" t="s">
        <v>59</v>
      </c>
      <c r="I2" s="8" t="s">
        <v>60</v>
      </c>
      <c r="J2" s="8" t="s">
        <v>36</v>
      </c>
      <c r="K2" s="8" t="s">
        <v>61</v>
      </c>
      <c r="L2" s="8" t="s">
        <v>62</v>
      </c>
    </row>
    <row r="3" spans="1:12">
      <c r="A3" s="8" t="s">
        <v>336</v>
      </c>
      <c r="B3" s="8" t="s">
        <v>63</v>
      </c>
      <c r="C3" s="8" t="s">
        <v>64</v>
      </c>
      <c r="D3" s="8" t="s">
        <v>55</v>
      </c>
      <c r="E3" s="8" t="s">
        <v>65</v>
      </c>
      <c r="F3" s="8" t="s">
        <v>57</v>
      </c>
      <c r="G3" s="8" t="s">
        <v>58</v>
      </c>
      <c r="H3" s="8" t="s">
        <v>67</v>
      </c>
      <c r="I3" s="8" t="s">
        <v>37</v>
      </c>
      <c r="J3" s="8" t="s">
        <v>68</v>
      </c>
      <c r="K3" s="8" t="s">
        <v>69</v>
      </c>
      <c r="L3" s="8" t="s">
        <v>70</v>
      </c>
    </row>
    <row r="4" spans="1:12">
      <c r="A4" s="8" t="s">
        <v>337</v>
      </c>
      <c r="B4" s="8" t="s">
        <v>71</v>
      </c>
      <c r="C4" s="8"/>
      <c r="D4" s="8" t="s">
        <v>3</v>
      </c>
      <c r="E4" s="8" t="s">
        <v>72</v>
      </c>
      <c r="F4" s="8" t="s">
        <v>5</v>
      </c>
      <c r="G4" s="8" t="s">
        <v>66</v>
      </c>
      <c r="H4" s="8" t="s">
        <v>35</v>
      </c>
      <c r="I4" s="8" t="s">
        <v>75</v>
      </c>
      <c r="J4" s="8" t="s">
        <v>76</v>
      </c>
      <c r="K4" s="8" t="s">
        <v>77</v>
      </c>
      <c r="L4" s="8" t="s">
        <v>78</v>
      </c>
    </row>
    <row r="5" spans="1:12">
      <c r="A5" s="8" t="s">
        <v>338</v>
      </c>
      <c r="B5" s="8" t="s">
        <v>80</v>
      </c>
      <c r="C5" s="8"/>
      <c r="D5" s="8" t="s">
        <v>40</v>
      </c>
      <c r="E5" s="8"/>
      <c r="F5" s="8" t="s">
        <v>73</v>
      </c>
      <c r="G5" s="8" t="s">
        <v>74</v>
      </c>
      <c r="H5" s="8" t="s">
        <v>84</v>
      </c>
      <c r="I5" s="8" t="s">
        <v>85</v>
      </c>
      <c r="J5" s="8" t="s">
        <v>42</v>
      </c>
      <c r="K5" s="8"/>
      <c r="L5" s="8" t="s">
        <v>86</v>
      </c>
    </row>
    <row r="6" spans="1:12">
      <c r="A6" s="8" t="s">
        <v>79</v>
      </c>
      <c r="B6" s="8"/>
      <c r="C6" s="8"/>
      <c r="D6" s="8" t="s">
        <v>81</v>
      </c>
      <c r="E6" s="8"/>
      <c r="F6" s="8" t="s">
        <v>82</v>
      </c>
      <c r="G6" s="8" t="s">
        <v>83</v>
      </c>
      <c r="H6" s="281" t="s">
        <v>270</v>
      </c>
      <c r="I6" s="8" t="s">
        <v>89</v>
      </c>
      <c r="J6" s="8" t="s">
        <v>90</v>
      </c>
      <c r="K6" s="8"/>
      <c r="L6" s="8"/>
    </row>
    <row r="7" spans="1:12">
      <c r="A7" s="8" t="s">
        <v>93</v>
      </c>
      <c r="B7" s="8"/>
      <c r="C7" s="8"/>
      <c r="D7" s="8" t="s">
        <v>87</v>
      </c>
      <c r="E7" s="8"/>
      <c r="F7" s="8"/>
      <c r="G7" s="8" t="s">
        <v>88</v>
      </c>
      <c r="H7" s="282" t="s">
        <v>271</v>
      </c>
      <c r="I7" s="8"/>
      <c r="J7" s="8" t="s">
        <v>92</v>
      </c>
      <c r="K7" s="8"/>
      <c r="L7" s="8"/>
    </row>
    <row r="8" spans="1:12">
      <c r="A8" s="8"/>
      <c r="B8" s="8"/>
      <c r="C8" s="8"/>
      <c r="D8" s="8"/>
      <c r="E8" s="8"/>
      <c r="F8" s="8"/>
      <c r="G8" s="8" t="s">
        <v>91</v>
      </c>
      <c r="H8" s="281" t="s">
        <v>272</v>
      </c>
      <c r="I8" s="8"/>
      <c r="J8" s="8" t="s">
        <v>95</v>
      </c>
      <c r="K8" s="8"/>
      <c r="L8" s="8"/>
    </row>
    <row r="9" spans="1:12">
      <c r="A9" s="8"/>
      <c r="G9" s="8" t="s">
        <v>94</v>
      </c>
    </row>
    <row r="11" spans="1:12">
      <c r="H11" s="281"/>
    </row>
    <row r="12" spans="1:12">
      <c r="H12" s="282"/>
    </row>
    <row r="13" spans="1:12">
      <c r="H13" s="281"/>
    </row>
    <row r="14" spans="1:12">
      <c r="H14" s="282"/>
    </row>
    <row r="18" spans="1:14">
      <c r="H18" s="282"/>
    </row>
    <row r="20" spans="1:14">
      <c r="A20" s="8" t="s">
        <v>96</v>
      </c>
      <c r="B20" s="8" t="s">
        <v>97</v>
      </c>
      <c r="C20" s="8" t="s">
        <v>98</v>
      </c>
      <c r="D20" s="8" t="s">
        <v>99</v>
      </c>
      <c r="E20" s="8" t="s">
        <v>100</v>
      </c>
      <c r="F20" s="8" t="s">
        <v>101</v>
      </c>
      <c r="G20" s="8" t="s">
        <v>102</v>
      </c>
      <c r="H20" s="8" t="s">
        <v>38</v>
      </c>
      <c r="I20" s="8" t="s">
        <v>103</v>
      </c>
      <c r="J20" s="8" t="s">
        <v>275</v>
      </c>
      <c r="K20" s="8" t="s">
        <v>104</v>
      </c>
      <c r="L20" s="8" t="s">
        <v>105</v>
      </c>
      <c r="M20" s="8" t="s">
        <v>106</v>
      </c>
      <c r="N20" s="8" t="s">
        <v>107</v>
      </c>
    </row>
    <row r="21" spans="1:14">
      <c r="A21" s="3"/>
      <c r="B21" s="8"/>
      <c r="G21" s="8" t="s">
        <v>109</v>
      </c>
      <c r="H21" s="8" t="s">
        <v>110</v>
      </c>
      <c r="N21" s="8"/>
    </row>
    <row r="22" spans="1:14">
      <c r="A22" s="3" t="s">
        <v>13</v>
      </c>
      <c r="B22" s="8"/>
      <c r="C22" s="4" t="s">
        <v>21</v>
      </c>
      <c r="D22" s="8" t="s">
        <v>17</v>
      </c>
      <c r="E22" s="8" t="s">
        <v>108</v>
      </c>
      <c r="F22" s="8" t="s">
        <v>30</v>
      </c>
      <c r="G22" s="1"/>
      <c r="H22" s="8" t="s">
        <v>115</v>
      </c>
      <c r="I22" s="8" t="s">
        <v>23</v>
      </c>
      <c r="J22" s="8" t="s">
        <v>15</v>
      </c>
      <c r="K22" s="6" t="s">
        <v>26</v>
      </c>
      <c r="L22" s="8" t="s">
        <v>34</v>
      </c>
      <c r="M22" s="8" t="s">
        <v>111</v>
      </c>
      <c r="N22" s="8" t="s">
        <v>28</v>
      </c>
    </row>
    <row r="23" spans="1:14">
      <c r="A23" s="3" t="s">
        <v>112</v>
      </c>
      <c r="B23" s="8"/>
      <c r="C23" s="8" t="s">
        <v>113</v>
      </c>
      <c r="D23" s="8" t="s">
        <v>23</v>
      </c>
      <c r="E23" s="8" t="s">
        <v>55</v>
      </c>
      <c r="F23" s="8" t="s">
        <v>114</v>
      </c>
      <c r="G23" s="2"/>
      <c r="H23" s="8" t="s">
        <v>119</v>
      </c>
      <c r="I23" s="8" t="s">
        <v>17</v>
      </c>
      <c r="J23" s="8" t="s">
        <v>19</v>
      </c>
      <c r="K23" s="8" t="s">
        <v>116</v>
      </c>
      <c r="L23" s="8" t="s">
        <v>117</v>
      </c>
      <c r="M23" s="8" t="s">
        <v>25</v>
      </c>
      <c r="N23" s="8" t="s">
        <v>122</v>
      </c>
    </row>
    <row r="24" spans="1:14">
      <c r="A24" s="3" t="s">
        <v>41</v>
      </c>
      <c r="B24" s="8"/>
      <c r="C24" s="8" t="s">
        <v>118</v>
      </c>
      <c r="D24" s="8"/>
      <c r="E24" s="8" t="s">
        <v>81</v>
      </c>
      <c r="F24" s="8"/>
      <c r="G24" s="1"/>
      <c r="H24" s="8" t="s">
        <v>123</v>
      </c>
      <c r="I24" s="8" t="s">
        <v>216</v>
      </c>
      <c r="J24" s="8" t="s">
        <v>278</v>
      </c>
      <c r="K24" s="8" t="s">
        <v>120</v>
      </c>
      <c r="L24" s="8"/>
      <c r="M24" s="8" t="s">
        <v>121</v>
      </c>
      <c r="N24" s="8" t="s">
        <v>125</v>
      </c>
    </row>
    <row r="25" spans="1:14">
      <c r="A25" s="3" t="s">
        <v>18</v>
      </c>
      <c r="B25" s="10"/>
      <c r="C25" s="10"/>
      <c r="D25" s="10"/>
      <c r="E25" s="10" t="s">
        <v>3</v>
      </c>
      <c r="F25" s="10"/>
      <c r="G25" s="5"/>
      <c r="H25" s="10"/>
      <c r="I25" s="10" t="s">
        <v>217</v>
      </c>
      <c r="J25" s="10"/>
      <c r="K25" s="10"/>
      <c r="L25" s="10"/>
      <c r="M25" s="8" t="s">
        <v>124</v>
      </c>
      <c r="N25" s="10" t="s">
        <v>127</v>
      </c>
    </row>
    <row r="26" spans="1:14">
      <c r="A26" s="8" t="s">
        <v>279</v>
      </c>
      <c r="B26" s="8"/>
      <c r="C26" s="8"/>
      <c r="D26" s="8"/>
      <c r="E26" s="8"/>
      <c r="F26" s="8"/>
      <c r="G26" s="8"/>
      <c r="H26" s="8"/>
      <c r="I26" s="8"/>
      <c r="J26" s="8"/>
      <c r="K26" s="8"/>
      <c r="L26" s="8"/>
      <c r="M26" s="10" t="s">
        <v>126</v>
      </c>
      <c r="N26" s="8" t="s">
        <v>129</v>
      </c>
    </row>
    <row r="27" spans="1:14">
      <c r="A27" s="299" t="s">
        <v>278</v>
      </c>
      <c r="M27" s="8" t="s">
        <v>128</v>
      </c>
    </row>
    <row r="33" spans="1:7">
      <c r="A33" s="8" t="s">
        <v>130</v>
      </c>
      <c r="B33" s="8" t="s">
        <v>97</v>
      </c>
      <c r="C33" s="8" t="s">
        <v>137</v>
      </c>
      <c r="D33" t="s">
        <v>203</v>
      </c>
      <c r="E33" t="s">
        <v>273</v>
      </c>
      <c r="G33" s="301" t="s">
        <v>276</v>
      </c>
    </row>
    <row r="34" spans="1:7">
      <c r="B34" s="8" t="s">
        <v>29</v>
      </c>
      <c r="C34" s="8"/>
      <c r="G34" s="309" t="s">
        <v>277</v>
      </c>
    </row>
    <row r="35" spans="1:7">
      <c r="A35" s="8" t="s">
        <v>131</v>
      </c>
      <c r="B35" s="8" t="s">
        <v>132</v>
      </c>
      <c r="C35" s="8"/>
      <c r="D35" t="s">
        <v>204</v>
      </c>
      <c r="E35" t="s">
        <v>266</v>
      </c>
      <c r="G35" s="308" t="s">
        <v>280</v>
      </c>
    </row>
    <row r="36" spans="1:7">
      <c r="A36" s="8" t="s">
        <v>32</v>
      </c>
      <c r="B36" s="8"/>
      <c r="C36" s="8"/>
      <c r="D36" t="s">
        <v>205</v>
      </c>
      <c r="E36" t="s">
        <v>274</v>
      </c>
      <c r="G36" s="3" t="s">
        <v>281</v>
      </c>
    </row>
    <row r="37" spans="1:7">
      <c r="A37" s="8" t="s">
        <v>133</v>
      </c>
      <c r="B37" s="8"/>
      <c r="C37" s="8"/>
      <c r="D37" t="s">
        <v>206</v>
      </c>
      <c r="G37" s="8"/>
    </row>
    <row r="38" spans="1:7">
      <c r="A38" s="8" t="s">
        <v>134</v>
      </c>
      <c r="B38" s="8"/>
      <c r="C38" s="8"/>
      <c r="G38" s="8"/>
    </row>
    <row r="39" spans="1:7">
      <c r="A39" s="8" t="s">
        <v>135</v>
      </c>
      <c r="G39" s="8"/>
    </row>
    <row r="40" spans="1:7">
      <c r="G40" s="8"/>
    </row>
  </sheetData>
  <hyperlinks>
    <hyperlink ref="A22" r:id="rId1" display="https://www.addgene.org/89992/" xr:uid="{0FDFAA23-A0AD-4970-A0E6-FC52DF36FEDE}"/>
    <hyperlink ref="A23" r:id="rId2" display="https://www.addgene.org/89991/" xr:uid="{F19BC6E3-49C9-467B-80A5-9544A7D4B2E3}"/>
    <hyperlink ref="A24" r:id="rId3" display="https://www.addgene.org/26821/" xr:uid="{7D6063DE-8F4D-4CC1-9B91-32A4E8FB8C3D}"/>
    <hyperlink ref="A25" r:id="rId4" display="https://www.addgene.org/99608/" xr:uid="{D8ECF171-9568-4490-8A55-A8699F74E37B}"/>
    <hyperlink ref="G34" r:id="rId5" xr:uid="{E4A32BCB-67C0-463D-AE73-7DC2D4742435}"/>
    <hyperlink ref="G35" r:id="rId6" xr:uid="{EC2B5D9A-CBB1-488F-98CE-D008C04480F1}"/>
    <hyperlink ref="G36" r:id="rId7" xr:uid="{2256FCE0-5A9A-4478-8835-2949C9DA0221}"/>
  </hyperlinks>
  <pageMargins left="0.7" right="0.7" top="0.75" bottom="0.75" header="0.3" footer="0.3"/>
  <tableParts count="6">
    <tablePart r:id="rId8"/>
    <tablePart r:id="rId9"/>
    <tablePart r:id="rId10"/>
    <tablePart r:id="rId11"/>
    <tablePart r:id="rId12"/>
    <tablePart r:id="rId1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FDE71-D4C1-4861-B801-3BCD2A8C35CD}">
  <sheetPr codeName="Sheet8" filterMode="1"/>
  <dimension ref="A1:P232"/>
  <sheetViews>
    <sheetView topLeftCell="A77" workbookViewId="0">
      <selection activeCell="E86" sqref="D86:E86"/>
    </sheetView>
  </sheetViews>
  <sheetFormatPr defaultRowHeight="14.25"/>
  <cols>
    <col min="1" max="1" width="14.265625" customWidth="1"/>
    <col min="2" max="2" width="30.53125" customWidth="1"/>
    <col min="4" max="4" width="12.19921875" style="8" customWidth="1"/>
    <col min="5" max="5" width="6.46484375" customWidth="1"/>
    <col min="6" max="6" width="5.46484375" customWidth="1"/>
    <col min="7" max="7" width="11.19921875" style="11" customWidth="1"/>
    <col min="8" max="8" width="22.73046875" customWidth="1"/>
    <col min="10" max="10" width="15.53125" customWidth="1"/>
    <col min="11" max="11" width="30.53125" customWidth="1"/>
    <col min="12" max="12" width="10.19921875" customWidth="1"/>
    <col min="13" max="13" width="10.19921875" style="8" customWidth="1"/>
    <col min="14" max="14" width="6.46484375" customWidth="1"/>
  </cols>
  <sheetData>
    <row r="1" spans="1:16" s="11" customFormat="1">
      <c r="A1" s="11" t="s">
        <v>153</v>
      </c>
      <c r="B1" s="11" t="s">
        <v>152</v>
      </c>
      <c r="C1" s="11" t="s">
        <v>143</v>
      </c>
      <c r="D1" s="11" t="s">
        <v>255</v>
      </c>
      <c r="E1" s="11" t="s">
        <v>142</v>
      </c>
      <c r="F1" s="11" t="s">
        <v>150</v>
      </c>
      <c r="G1" s="11" t="s">
        <v>252</v>
      </c>
      <c r="J1" s="11" t="s">
        <v>153</v>
      </c>
      <c r="K1" s="11" t="s">
        <v>152</v>
      </c>
      <c r="L1" s="11" t="s">
        <v>143</v>
      </c>
      <c r="M1" s="11" t="s">
        <v>255</v>
      </c>
      <c r="N1" s="11" t="s">
        <v>142</v>
      </c>
      <c r="O1" s="11" t="s">
        <v>150</v>
      </c>
      <c r="P1" s="11" t="s">
        <v>252</v>
      </c>
    </row>
    <row r="2" spans="1:16">
      <c r="A2" s="250">
        <v>43852</v>
      </c>
      <c r="B2" s="2" t="s">
        <v>226</v>
      </c>
      <c r="C2" s="2" t="s">
        <v>140</v>
      </c>
      <c r="D2" s="252">
        <f>COUNTA(C2)</f>
        <v>1</v>
      </c>
      <c r="E2" s="2">
        <v>1</v>
      </c>
      <c r="F2" s="2">
        <v>24</v>
      </c>
    </row>
    <row r="3" spans="1:16" hidden="1">
      <c r="A3" s="251">
        <v>43853</v>
      </c>
      <c r="B3" s="1" t="s">
        <v>226</v>
      </c>
      <c r="C3" s="1" t="s">
        <v>145</v>
      </c>
      <c r="D3" s="1"/>
      <c r="E3" s="1">
        <v>1</v>
      </c>
      <c r="F3" s="1">
        <v>24</v>
      </c>
      <c r="G3"/>
    </row>
    <row r="4" spans="1:16">
      <c r="A4" s="250">
        <v>43859</v>
      </c>
      <c r="B4" s="2" t="s">
        <v>226</v>
      </c>
      <c r="C4" s="2" t="s">
        <v>140</v>
      </c>
      <c r="D4" s="252">
        <f>COUNTA(C4)</f>
        <v>1</v>
      </c>
      <c r="E4" s="2">
        <v>1</v>
      </c>
      <c r="F4" s="2">
        <v>6</v>
      </c>
    </row>
    <row r="5" spans="1:16" hidden="1">
      <c r="A5" s="251">
        <v>43860</v>
      </c>
      <c r="B5" s="1" t="s">
        <v>226</v>
      </c>
      <c r="C5" s="1" t="s">
        <v>145</v>
      </c>
      <c r="D5" s="1"/>
      <c r="E5" s="1">
        <v>1</v>
      </c>
      <c r="F5" s="1">
        <v>6</v>
      </c>
      <c r="G5"/>
    </row>
    <row r="6" spans="1:16">
      <c r="A6" s="250">
        <v>43864</v>
      </c>
      <c r="B6" s="2" t="s">
        <v>226</v>
      </c>
      <c r="C6" s="2" t="s">
        <v>140</v>
      </c>
      <c r="D6" s="252">
        <f>COUNTA(C6)</f>
        <v>1</v>
      </c>
      <c r="E6" s="2">
        <v>5</v>
      </c>
      <c r="F6" s="2">
        <v>6</v>
      </c>
    </row>
    <row r="7" spans="1:16" hidden="1">
      <c r="A7" s="251">
        <v>43865</v>
      </c>
      <c r="B7" s="1" t="s">
        <v>226</v>
      </c>
      <c r="C7" s="1" t="s">
        <v>145</v>
      </c>
      <c r="D7" s="1"/>
      <c r="E7" s="1">
        <v>5</v>
      </c>
      <c r="F7" s="1">
        <v>6</v>
      </c>
      <c r="G7"/>
    </row>
    <row r="8" spans="1:16" hidden="1">
      <c r="A8" s="250">
        <v>43867</v>
      </c>
      <c r="B8" s="2" t="s">
        <v>226</v>
      </c>
      <c r="C8" s="2" t="s">
        <v>146</v>
      </c>
      <c r="D8" s="2"/>
      <c r="E8" s="2">
        <v>1</v>
      </c>
      <c r="F8" s="2">
        <v>96</v>
      </c>
      <c r="G8"/>
    </row>
    <row r="9" spans="1:16" hidden="1">
      <c r="A9" s="251">
        <v>43868</v>
      </c>
      <c r="B9" s="1" t="s">
        <v>227</v>
      </c>
      <c r="C9" s="1" t="s">
        <v>145</v>
      </c>
      <c r="D9" s="1"/>
      <c r="E9" s="1">
        <v>1</v>
      </c>
      <c r="F9" s="1">
        <v>96</v>
      </c>
      <c r="G9"/>
    </row>
    <row r="10" spans="1:16">
      <c r="A10" s="250">
        <v>43871</v>
      </c>
      <c r="B10" s="2" t="s">
        <v>227</v>
      </c>
      <c r="C10" s="2" t="s">
        <v>140</v>
      </c>
      <c r="D10" s="252">
        <f>COUNTA(C10)</f>
        <v>1</v>
      </c>
      <c r="E10" s="2">
        <v>1</v>
      </c>
      <c r="F10" s="2">
        <v>24</v>
      </c>
    </row>
    <row r="11" spans="1:16" hidden="1">
      <c r="A11" s="251">
        <v>43871</v>
      </c>
      <c r="B11" s="1" t="s">
        <v>227</v>
      </c>
      <c r="C11" s="1" t="s">
        <v>139</v>
      </c>
      <c r="D11" s="1"/>
      <c r="E11" s="1">
        <v>1</v>
      </c>
      <c r="F11" s="1">
        <v>96</v>
      </c>
      <c r="G11"/>
    </row>
    <row r="12" spans="1:16" hidden="1">
      <c r="A12" s="250">
        <v>43872</v>
      </c>
      <c r="B12" s="2" t="s">
        <v>227</v>
      </c>
      <c r="C12" s="2" t="s">
        <v>145</v>
      </c>
      <c r="D12" s="2"/>
      <c r="E12" s="2">
        <v>1</v>
      </c>
      <c r="F12" s="2">
        <v>24</v>
      </c>
      <c r="G12"/>
    </row>
    <row r="13" spans="1:16">
      <c r="A13" s="251">
        <v>43874</v>
      </c>
      <c r="B13" s="1" t="s">
        <v>227</v>
      </c>
      <c r="C13" s="1" t="s">
        <v>140</v>
      </c>
      <c r="D13" s="253">
        <f>COUNTA(C13)</f>
        <v>1</v>
      </c>
      <c r="E13" s="1">
        <v>1</v>
      </c>
      <c r="F13" s="1">
        <v>6</v>
      </c>
    </row>
    <row r="14" spans="1:16" hidden="1">
      <c r="A14" s="250">
        <v>43875</v>
      </c>
      <c r="B14" s="2" t="s">
        <v>227</v>
      </c>
      <c r="C14" s="2" t="s">
        <v>145</v>
      </c>
      <c r="D14" s="2"/>
      <c r="E14" s="2">
        <v>1</v>
      </c>
      <c r="F14" s="2">
        <v>6</v>
      </c>
      <c r="G14"/>
    </row>
    <row r="15" spans="1:16">
      <c r="A15" s="251">
        <v>43877</v>
      </c>
      <c r="B15" s="1" t="s">
        <v>227</v>
      </c>
      <c r="C15" s="1" t="s">
        <v>140</v>
      </c>
      <c r="D15" s="253">
        <f>COUNTA(C15)</f>
        <v>1</v>
      </c>
      <c r="E15" s="1">
        <v>5</v>
      </c>
      <c r="F15" s="1">
        <v>6</v>
      </c>
    </row>
    <row r="16" spans="1:16" hidden="1">
      <c r="A16" s="250">
        <v>43878</v>
      </c>
      <c r="B16" s="2" t="s">
        <v>227</v>
      </c>
      <c r="C16" s="2" t="s">
        <v>145</v>
      </c>
      <c r="D16" s="2"/>
      <c r="E16" s="2">
        <v>5</v>
      </c>
      <c r="F16" s="2">
        <v>6</v>
      </c>
      <c r="G16"/>
    </row>
    <row r="17" spans="1:7" hidden="1">
      <c r="A17" s="251">
        <v>43880</v>
      </c>
      <c r="B17" s="1" t="s">
        <v>227</v>
      </c>
      <c r="C17" s="1" t="s">
        <v>144</v>
      </c>
      <c r="D17" s="1"/>
      <c r="E17" s="1"/>
      <c r="F17" s="1"/>
      <c r="G17"/>
    </row>
    <row r="18" spans="1:7" hidden="1">
      <c r="A18" s="250">
        <v>43880</v>
      </c>
      <c r="B18" s="2" t="s">
        <v>227</v>
      </c>
      <c r="C18" s="2" t="s">
        <v>146</v>
      </c>
      <c r="D18" s="2"/>
      <c r="E18" s="2">
        <v>1</v>
      </c>
      <c r="F18" s="2">
        <v>96</v>
      </c>
      <c r="G18"/>
    </row>
    <row r="19" spans="1:7" hidden="1">
      <c r="A19" s="251">
        <v>43881</v>
      </c>
      <c r="B19" s="1" t="s">
        <v>228</v>
      </c>
      <c r="C19" s="1" t="s">
        <v>145</v>
      </c>
      <c r="D19" s="1"/>
      <c r="E19" s="1">
        <v>1</v>
      </c>
      <c r="F19" s="1">
        <v>96</v>
      </c>
      <c r="G19"/>
    </row>
    <row r="20" spans="1:7" hidden="1">
      <c r="A20" s="250">
        <v>43884</v>
      </c>
      <c r="B20" s="2" t="s">
        <v>228</v>
      </c>
      <c r="C20" s="2" t="s">
        <v>139</v>
      </c>
      <c r="D20" s="2"/>
      <c r="E20" s="2">
        <v>1</v>
      </c>
      <c r="F20" s="2">
        <v>96</v>
      </c>
      <c r="G20"/>
    </row>
    <row r="21" spans="1:7">
      <c r="A21" s="251">
        <v>43885</v>
      </c>
      <c r="B21" s="1" t="s">
        <v>228</v>
      </c>
      <c r="C21" s="1" t="s">
        <v>140</v>
      </c>
      <c r="D21" s="253">
        <f>COUNTA(C21)</f>
        <v>1</v>
      </c>
      <c r="E21" s="1">
        <v>1</v>
      </c>
      <c r="F21" s="1">
        <v>12</v>
      </c>
    </row>
    <row r="22" spans="1:7" hidden="1">
      <c r="A22" s="250">
        <v>43886</v>
      </c>
      <c r="B22" s="2" t="s">
        <v>228</v>
      </c>
      <c r="C22" s="2" t="s">
        <v>145</v>
      </c>
      <c r="D22" s="2"/>
      <c r="E22" s="2">
        <v>1</v>
      </c>
      <c r="F22" s="2">
        <v>12</v>
      </c>
      <c r="G22"/>
    </row>
    <row r="23" spans="1:7">
      <c r="A23" s="251">
        <v>43889</v>
      </c>
      <c r="B23" s="1" t="s">
        <v>228</v>
      </c>
      <c r="C23" s="1" t="s">
        <v>140</v>
      </c>
      <c r="D23" s="253">
        <f>COUNTA(C23)</f>
        <v>1</v>
      </c>
      <c r="E23" s="1">
        <v>1</v>
      </c>
      <c r="F23" s="1">
        <v>6</v>
      </c>
    </row>
    <row r="24" spans="1:7" hidden="1">
      <c r="A24" s="250">
        <v>43890</v>
      </c>
      <c r="B24" s="2" t="s">
        <v>228</v>
      </c>
      <c r="C24" s="2" t="s">
        <v>145</v>
      </c>
      <c r="D24" s="2"/>
      <c r="E24" s="2">
        <v>1</v>
      </c>
      <c r="F24" s="2">
        <v>6</v>
      </c>
      <c r="G24"/>
    </row>
    <row r="25" spans="1:7" hidden="1">
      <c r="A25" s="251">
        <v>43892</v>
      </c>
      <c r="B25" s="1" t="s">
        <v>228</v>
      </c>
      <c r="C25" s="1" t="s">
        <v>145</v>
      </c>
      <c r="D25" s="1"/>
      <c r="E25" s="1">
        <v>5</v>
      </c>
      <c r="F25" s="1">
        <v>6</v>
      </c>
      <c r="G25"/>
    </row>
    <row r="26" spans="1:7" hidden="1">
      <c r="A26" s="250">
        <v>43899</v>
      </c>
      <c r="B26" s="2" t="s">
        <v>228</v>
      </c>
      <c r="C26" s="2" t="s">
        <v>144</v>
      </c>
      <c r="D26" s="2"/>
      <c r="E26" s="2"/>
      <c r="F26" s="2"/>
      <c r="G26"/>
    </row>
    <row r="27" spans="1:7">
      <c r="A27" s="251">
        <v>44061</v>
      </c>
      <c r="B27" s="1" t="s">
        <v>228</v>
      </c>
      <c r="C27" s="1" t="s">
        <v>138</v>
      </c>
      <c r="D27" s="253">
        <f>COUNTA(C27)</f>
        <v>1</v>
      </c>
      <c r="E27" s="1">
        <v>1</v>
      </c>
      <c r="F27" s="1">
        <v>6</v>
      </c>
    </row>
    <row r="28" spans="1:7" hidden="1">
      <c r="A28" s="250">
        <v>44062</v>
      </c>
      <c r="B28" s="2" t="s">
        <v>228</v>
      </c>
      <c r="C28" s="2" t="s">
        <v>240</v>
      </c>
      <c r="D28" s="2"/>
      <c r="E28" s="2">
        <v>1</v>
      </c>
      <c r="F28" s="2">
        <v>6</v>
      </c>
      <c r="G28"/>
    </row>
    <row r="29" spans="1:7" hidden="1">
      <c r="A29" s="251">
        <v>44064</v>
      </c>
      <c r="B29" s="1" t="s">
        <v>228</v>
      </c>
      <c r="C29" s="1" t="s">
        <v>139</v>
      </c>
      <c r="D29" s="1"/>
      <c r="E29" s="1">
        <v>1</v>
      </c>
      <c r="F29" s="1">
        <v>6</v>
      </c>
      <c r="G29"/>
    </row>
    <row r="30" spans="1:7" hidden="1">
      <c r="A30" s="250">
        <v>44064</v>
      </c>
      <c r="B30" s="2" t="s">
        <v>228</v>
      </c>
      <c r="C30" s="2" t="s">
        <v>241</v>
      </c>
      <c r="D30" s="2"/>
      <c r="E30" s="2"/>
      <c r="F30" s="2"/>
      <c r="G30"/>
    </row>
    <row r="31" spans="1:7">
      <c r="A31" s="251">
        <v>44065</v>
      </c>
      <c r="B31" s="1" t="s">
        <v>228</v>
      </c>
      <c r="C31" s="1" t="s">
        <v>140</v>
      </c>
      <c r="D31" s="253">
        <f>COUNTA(C31)</f>
        <v>1</v>
      </c>
      <c r="E31" s="1">
        <v>1</v>
      </c>
      <c r="F31" s="1">
        <v>6</v>
      </c>
    </row>
    <row r="32" spans="1:7" hidden="1">
      <c r="A32" s="250">
        <v>44066</v>
      </c>
      <c r="B32" s="2" t="s">
        <v>228</v>
      </c>
      <c r="C32" s="2" t="s">
        <v>240</v>
      </c>
      <c r="D32" s="2"/>
      <c r="E32" s="2">
        <v>1</v>
      </c>
      <c r="F32" s="2">
        <v>6</v>
      </c>
      <c r="G32"/>
    </row>
    <row r="33" spans="1:7" hidden="1">
      <c r="A33" s="251">
        <v>44067</v>
      </c>
      <c r="B33" s="1" t="s">
        <v>228</v>
      </c>
      <c r="C33" s="1" t="s">
        <v>241</v>
      </c>
      <c r="D33" s="1"/>
      <c r="E33" s="1"/>
      <c r="F33" s="1"/>
      <c r="G33"/>
    </row>
    <row r="34" spans="1:7" hidden="1">
      <c r="A34" s="250">
        <v>44068</v>
      </c>
      <c r="B34" s="2" t="s">
        <v>228</v>
      </c>
      <c r="C34" s="2" t="s">
        <v>146</v>
      </c>
      <c r="D34" s="2"/>
      <c r="E34" s="2">
        <v>1</v>
      </c>
      <c r="F34" s="2">
        <v>96</v>
      </c>
      <c r="G34"/>
    </row>
    <row r="35" spans="1:7">
      <c r="A35" s="251">
        <v>44068</v>
      </c>
      <c r="B35" s="1" t="s">
        <v>228</v>
      </c>
      <c r="C35" s="1" t="s">
        <v>140</v>
      </c>
      <c r="D35" s="253">
        <f>COUNTA(C35)</f>
        <v>1</v>
      </c>
      <c r="E35" s="1">
        <v>1</v>
      </c>
      <c r="F35" s="1">
        <v>6</v>
      </c>
    </row>
    <row r="36" spans="1:7" hidden="1">
      <c r="A36" s="250">
        <v>44069</v>
      </c>
      <c r="B36" s="2" t="s">
        <v>228</v>
      </c>
      <c r="C36" s="2" t="s">
        <v>240</v>
      </c>
      <c r="D36" s="2"/>
      <c r="E36" s="2">
        <v>1</v>
      </c>
      <c r="F36" s="2">
        <v>6</v>
      </c>
      <c r="G36"/>
    </row>
    <row r="37" spans="1:7" hidden="1">
      <c r="A37" s="251">
        <v>44070</v>
      </c>
      <c r="B37" s="1" t="s">
        <v>228</v>
      </c>
      <c r="C37" s="1" t="s">
        <v>241</v>
      </c>
      <c r="D37" s="1"/>
      <c r="E37" s="1">
        <v>1</v>
      </c>
      <c r="F37" s="1">
        <v>6</v>
      </c>
      <c r="G37"/>
    </row>
    <row r="38" spans="1:7" hidden="1">
      <c r="A38" s="250">
        <v>44071</v>
      </c>
      <c r="B38" s="2" t="s">
        <v>228</v>
      </c>
      <c r="C38" s="2" t="s">
        <v>241</v>
      </c>
      <c r="D38" s="2"/>
      <c r="E38" s="2">
        <v>1</v>
      </c>
      <c r="F38" s="2">
        <v>6</v>
      </c>
      <c r="G38"/>
    </row>
    <row r="39" spans="1:7" hidden="1">
      <c r="A39" s="251">
        <v>44072</v>
      </c>
      <c r="B39" s="1" t="s">
        <v>228</v>
      </c>
      <c r="C39" s="1" t="s">
        <v>241</v>
      </c>
      <c r="D39" s="1"/>
      <c r="E39" s="1">
        <v>1</v>
      </c>
      <c r="F39" s="1">
        <v>6</v>
      </c>
      <c r="G39"/>
    </row>
    <row r="40" spans="1:7">
      <c r="A40" s="250">
        <v>44074</v>
      </c>
      <c r="B40" s="2" t="s">
        <v>228</v>
      </c>
      <c r="C40" s="2" t="s">
        <v>140</v>
      </c>
      <c r="D40" s="252">
        <f>COUNTA(C40)</f>
        <v>1</v>
      </c>
      <c r="E40" s="2">
        <v>1</v>
      </c>
      <c r="F40" s="2">
        <v>6</v>
      </c>
    </row>
    <row r="41" spans="1:7" hidden="1">
      <c r="A41" s="251">
        <v>44075</v>
      </c>
      <c r="B41" s="1" t="s">
        <v>228</v>
      </c>
      <c r="C41" s="1"/>
      <c r="D41" s="1"/>
      <c r="E41" s="1">
        <v>1</v>
      </c>
      <c r="F41" s="1">
        <v>6</v>
      </c>
      <c r="G41"/>
    </row>
    <row r="42" spans="1:7" hidden="1">
      <c r="A42" s="250">
        <v>44076</v>
      </c>
      <c r="B42" s="2" t="s">
        <v>228</v>
      </c>
      <c r="C42" s="2" t="s">
        <v>241</v>
      </c>
      <c r="D42" s="2"/>
      <c r="E42" s="2">
        <v>1</v>
      </c>
      <c r="F42" s="2">
        <v>6</v>
      </c>
      <c r="G42"/>
    </row>
    <row r="43" spans="1:7" hidden="1">
      <c r="A43" s="251">
        <v>44077</v>
      </c>
      <c r="B43" s="1" t="s">
        <v>228</v>
      </c>
      <c r="C43" s="1" t="s">
        <v>241</v>
      </c>
      <c r="D43" s="1"/>
      <c r="E43" s="1">
        <v>1</v>
      </c>
      <c r="F43" s="1">
        <v>6</v>
      </c>
      <c r="G43"/>
    </row>
    <row r="44" spans="1:7" hidden="1">
      <c r="A44" s="250">
        <v>44078</v>
      </c>
      <c r="B44" s="2" t="s">
        <v>228</v>
      </c>
      <c r="C44" s="2" t="s">
        <v>241</v>
      </c>
      <c r="D44" s="2"/>
      <c r="E44" s="2">
        <v>1</v>
      </c>
      <c r="F44" s="2">
        <v>6</v>
      </c>
      <c r="G44"/>
    </row>
    <row r="45" spans="1:7" hidden="1">
      <c r="A45" s="251">
        <v>44079</v>
      </c>
      <c r="B45" s="1" t="s">
        <v>228</v>
      </c>
      <c r="C45" s="1"/>
      <c r="D45" s="1"/>
      <c r="E45" s="1"/>
      <c r="F45" s="1"/>
      <c r="G45"/>
    </row>
    <row r="46" spans="1:7" hidden="1">
      <c r="A46" s="250">
        <v>44069</v>
      </c>
      <c r="B46" s="2" t="s">
        <v>237</v>
      </c>
      <c r="C46" s="2" t="s">
        <v>240</v>
      </c>
      <c r="D46" s="2"/>
      <c r="E46" s="2">
        <v>1</v>
      </c>
      <c r="F46" s="2">
        <v>96</v>
      </c>
      <c r="G46"/>
    </row>
    <row r="47" spans="1:7" hidden="1">
      <c r="A47" s="251">
        <v>44070</v>
      </c>
      <c r="B47" s="1" t="s">
        <v>237</v>
      </c>
      <c r="C47" s="1" t="s">
        <v>240</v>
      </c>
      <c r="D47" s="1"/>
      <c r="E47" s="1">
        <v>1</v>
      </c>
      <c r="F47" s="1">
        <v>96</v>
      </c>
      <c r="G47"/>
    </row>
    <row r="48" spans="1:7" hidden="1">
      <c r="A48" s="250">
        <v>44070</v>
      </c>
      <c r="B48" s="2" t="s">
        <v>237</v>
      </c>
      <c r="C48" s="2" t="s">
        <v>139</v>
      </c>
      <c r="D48" s="2"/>
      <c r="E48" s="2">
        <v>1</v>
      </c>
      <c r="F48" s="2">
        <v>96</v>
      </c>
      <c r="G48"/>
    </row>
    <row r="49" spans="1:7" hidden="1">
      <c r="A49" s="251">
        <v>44071</v>
      </c>
      <c r="B49" s="1" t="s">
        <v>237</v>
      </c>
      <c r="C49" s="1" t="s">
        <v>241</v>
      </c>
      <c r="D49" s="1"/>
      <c r="E49" s="1">
        <v>1</v>
      </c>
      <c r="F49" s="1">
        <v>96</v>
      </c>
      <c r="G49"/>
    </row>
    <row r="50" spans="1:7" hidden="1">
      <c r="A50" s="250">
        <v>44072</v>
      </c>
      <c r="B50" s="2" t="s">
        <v>237</v>
      </c>
      <c r="C50" s="2" t="s">
        <v>241</v>
      </c>
      <c r="D50" s="2"/>
      <c r="E50" s="2">
        <v>1</v>
      </c>
      <c r="F50" s="2">
        <v>96</v>
      </c>
      <c r="G50"/>
    </row>
    <row r="51" spans="1:7" hidden="1">
      <c r="A51" s="251">
        <v>44074</v>
      </c>
      <c r="B51" s="1" t="s">
        <v>237</v>
      </c>
      <c r="C51" s="1" t="s">
        <v>139</v>
      </c>
      <c r="D51" s="1"/>
      <c r="E51" s="1">
        <v>1</v>
      </c>
      <c r="F51" s="1">
        <v>96</v>
      </c>
      <c r="G51"/>
    </row>
    <row r="52" spans="1:7" hidden="1">
      <c r="A52" s="250">
        <v>44075</v>
      </c>
      <c r="B52" s="2" t="s">
        <v>237</v>
      </c>
      <c r="C52" s="2" t="s">
        <v>139</v>
      </c>
      <c r="D52" s="2"/>
      <c r="E52" s="2">
        <v>1</v>
      </c>
      <c r="F52" s="2">
        <v>96</v>
      </c>
      <c r="G52"/>
    </row>
    <row r="53" spans="1:7">
      <c r="A53" s="251">
        <v>44075</v>
      </c>
      <c r="B53" s="1" t="s">
        <v>237</v>
      </c>
      <c r="C53" s="1" t="s">
        <v>140</v>
      </c>
      <c r="D53" s="253">
        <f>COUNTA(C53)</f>
        <v>1</v>
      </c>
      <c r="E53" s="1">
        <v>1</v>
      </c>
      <c r="F53" s="1">
        <v>12</v>
      </c>
    </row>
    <row r="54" spans="1:7" hidden="1">
      <c r="A54" s="250">
        <v>44076</v>
      </c>
      <c r="B54" s="2" t="s">
        <v>237</v>
      </c>
      <c r="C54" s="2" t="s">
        <v>240</v>
      </c>
      <c r="D54" s="2"/>
      <c r="E54" s="2">
        <v>1</v>
      </c>
      <c r="F54" s="2">
        <v>12</v>
      </c>
      <c r="G54"/>
    </row>
    <row r="55" spans="1:7">
      <c r="A55" s="251">
        <v>44077</v>
      </c>
      <c r="B55" s="1" t="s">
        <v>237</v>
      </c>
      <c r="C55" s="1" t="s">
        <v>140</v>
      </c>
      <c r="D55" s="253">
        <f>COUNTA(C55)</f>
        <v>1</v>
      </c>
      <c r="E55" s="1">
        <v>1</v>
      </c>
      <c r="F55" s="1">
        <v>6</v>
      </c>
    </row>
    <row r="56" spans="1:7" hidden="1">
      <c r="A56" s="250">
        <v>44078</v>
      </c>
      <c r="B56" s="2" t="s">
        <v>237</v>
      </c>
      <c r="C56" s="2" t="s">
        <v>240</v>
      </c>
      <c r="D56" s="2"/>
      <c r="E56" s="2">
        <v>1</v>
      </c>
      <c r="F56" s="2">
        <v>6</v>
      </c>
      <c r="G56"/>
    </row>
    <row r="57" spans="1:7">
      <c r="A57" s="251">
        <v>44079</v>
      </c>
      <c r="B57" s="1" t="s">
        <v>237</v>
      </c>
      <c r="C57" s="1" t="s">
        <v>140</v>
      </c>
      <c r="D57" s="253">
        <f>COUNTA(C57)</f>
        <v>1</v>
      </c>
      <c r="E57" s="1">
        <v>5</v>
      </c>
      <c r="F57" s="1">
        <v>6</v>
      </c>
    </row>
    <row r="58" spans="1:7" hidden="1">
      <c r="A58" s="250">
        <v>44080</v>
      </c>
      <c r="B58" s="2" t="s">
        <v>237</v>
      </c>
      <c r="C58" s="2" t="s">
        <v>240</v>
      </c>
      <c r="D58" s="2"/>
      <c r="E58" s="2">
        <v>5</v>
      </c>
      <c r="F58" s="2">
        <v>6</v>
      </c>
      <c r="G58"/>
    </row>
    <row r="59" spans="1:7" hidden="1">
      <c r="A59" s="251">
        <v>44082</v>
      </c>
      <c r="B59" s="1" t="s">
        <v>237</v>
      </c>
      <c r="C59" s="1" t="s">
        <v>146</v>
      </c>
      <c r="D59" s="1"/>
      <c r="E59" s="1">
        <v>1</v>
      </c>
      <c r="F59" s="1">
        <v>96</v>
      </c>
      <c r="G59"/>
    </row>
    <row r="60" spans="1:7" hidden="1">
      <c r="A60" s="250">
        <v>44082</v>
      </c>
      <c r="B60" s="2" t="s">
        <v>237</v>
      </c>
      <c r="C60" s="2" t="s">
        <v>144</v>
      </c>
      <c r="D60" s="2"/>
      <c r="E60" s="2">
        <v>5</v>
      </c>
      <c r="F60" s="2">
        <v>6</v>
      </c>
      <c r="G60"/>
    </row>
    <row r="61" spans="1:7" hidden="1">
      <c r="A61" s="251">
        <v>44083</v>
      </c>
      <c r="B61" s="1" t="s">
        <v>239</v>
      </c>
      <c r="C61" s="1" t="s">
        <v>240</v>
      </c>
      <c r="D61" s="1"/>
      <c r="E61" s="1">
        <v>1</v>
      </c>
      <c r="F61" s="1">
        <v>96</v>
      </c>
      <c r="G61"/>
    </row>
    <row r="62" spans="1:7" hidden="1">
      <c r="A62" s="250">
        <v>44086</v>
      </c>
      <c r="B62" s="2" t="s">
        <v>239</v>
      </c>
      <c r="C62" s="2" t="s">
        <v>241</v>
      </c>
      <c r="D62" s="2"/>
      <c r="E62" s="2">
        <v>1</v>
      </c>
      <c r="F62" s="2">
        <v>96</v>
      </c>
      <c r="G62"/>
    </row>
    <row r="63" spans="1:7" hidden="1">
      <c r="A63" s="251">
        <v>44088</v>
      </c>
      <c r="B63" s="1" t="s">
        <v>239</v>
      </c>
      <c r="C63" s="1" t="s">
        <v>139</v>
      </c>
      <c r="D63" s="1"/>
      <c r="E63" s="1">
        <v>1</v>
      </c>
      <c r="F63" s="1">
        <v>96</v>
      </c>
      <c r="G63"/>
    </row>
    <row r="64" spans="1:7" hidden="1">
      <c r="A64" s="250">
        <v>44089</v>
      </c>
      <c r="B64" s="2" t="s">
        <v>239</v>
      </c>
      <c r="C64" s="2" t="s">
        <v>241</v>
      </c>
      <c r="D64" s="2"/>
      <c r="E64" s="2">
        <v>1</v>
      </c>
      <c r="F64" s="2">
        <v>96</v>
      </c>
      <c r="G64"/>
    </row>
    <row r="65" spans="1:7" hidden="1">
      <c r="A65" s="251">
        <v>44090</v>
      </c>
      <c r="B65" s="1" t="s">
        <v>239</v>
      </c>
      <c r="C65" s="1" t="s">
        <v>139</v>
      </c>
      <c r="D65" s="1"/>
      <c r="E65" s="1">
        <v>1</v>
      </c>
      <c r="F65" s="1">
        <v>96</v>
      </c>
      <c r="G65"/>
    </row>
    <row r="66" spans="1:7">
      <c r="A66" s="250">
        <v>44092</v>
      </c>
      <c r="B66" s="2" t="s">
        <v>239</v>
      </c>
      <c r="C66" s="2" t="s">
        <v>140</v>
      </c>
      <c r="D66" s="252">
        <f>COUNTA(C66)</f>
        <v>1</v>
      </c>
      <c r="E66" s="2">
        <v>1</v>
      </c>
      <c r="F66" s="2">
        <v>12</v>
      </c>
    </row>
    <row r="67" spans="1:7" hidden="1">
      <c r="A67" s="251">
        <v>44094</v>
      </c>
      <c r="B67" s="1" t="s">
        <v>239</v>
      </c>
      <c r="C67" s="1" t="s">
        <v>241</v>
      </c>
      <c r="D67" s="1"/>
      <c r="E67" s="1">
        <v>1</v>
      </c>
      <c r="F67" s="1">
        <v>12</v>
      </c>
      <c r="G67"/>
    </row>
    <row r="68" spans="1:7" hidden="1">
      <c r="A68" s="250">
        <v>44095</v>
      </c>
      <c r="B68" s="2" t="s">
        <v>239</v>
      </c>
      <c r="C68" s="2" t="s">
        <v>241</v>
      </c>
      <c r="D68" s="2"/>
      <c r="E68" s="2">
        <v>1</v>
      </c>
      <c r="F68" s="2">
        <v>12</v>
      </c>
      <c r="G68"/>
    </row>
    <row r="69" spans="1:7">
      <c r="A69" s="251">
        <v>44097</v>
      </c>
      <c r="B69" s="1" t="s">
        <v>239</v>
      </c>
      <c r="C69" s="1" t="s">
        <v>140</v>
      </c>
      <c r="D69" s="253">
        <f>COUNTA(C69)</f>
        <v>1</v>
      </c>
      <c r="E69" s="1">
        <v>1</v>
      </c>
      <c r="F69" s="1">
        <v>6</v>
      </c>
    </row>
    <row r="70" spans="1:7" hidden="1">
      <c r="A70" s="250">
        <v>44098</v>
      </c>
      <c r="B70" s="2" t="s">
        <v>239</v>
      </c>
      <c r="C70" s="2" t="s">
        <v>240</v>
      </c>
      <c r="D70" s="2"/>
      <c r="E70" s="2">
        <v>5</v>
      </c>
      <c r="F70" s="2">
        <v>6</v>
      </c>
      <c r="G70"/>
    </row>
    <row r="71" spans="1:7" hidden="1">
      <c r="A71" s="251">
        <v>44099</v>
      </c>
      <c r="B71" s="1" t="s">
        <v>239</v>
      </c>
      <c r="C71" s="1" t="s">
        <v>241</v>
      </c>
      <c r="D71" s="1"/>
      <c r="E71" s="1">
        <v>5</v>
      </c>
      <c r="F71" s="1">
        <v>6</v>
      </c>
      <c r="G71"/>
    </row>
    <row r="72" spans="1:7" hidden="1">
      <c r="A72" s="250">
        <v>44101</v>
      </c>
      <c r="B72" s="2" t="s">
        <v>239</v>
      </c>
      <c r="C72" s="2" t="s">
        <v>241</v>
      </c>
      <c r="D72" s="2"/>
      <c r="E72" s="2">
        <v>5</v>
      </c>
      <c r="F72" s="2">
        <v>6</v>
      </c>
      <c r="G72"/>
    </row>
    <row r="73" spans="1:7" hidden="1">
      <c r="A73" s="251">
        <v>44102</v>
      </c>
      <c r="B73" s="1" t="s">
        <v>239</v>
      </c>
      <c r="C73" s="1" t="s">
        <v>146</v>
      </c>
      <c r="D73" s="1"/>
      <c r="E73" s="1">
        <v>1</v>
      </c>
      <c r="F73" s="1">
        <v>96</v>
      </c>
      <c r="G73"/>
    </row>
    <row r="74" spans="1:7" hidden="1">
      <c r="A74" s="250">
        <v>44102</v>
      </c>
      <c r="B74" s="2" t="s">
        <v>239</v>
      </c>
      <c r="C74" s="2" t="s">
        <v>241</v>
      </c>
      <c r="D74" s="2"/>
      <c r="E74" s="2">
        <v>4</v>
      </c>
      <c r="F74" s="2">
        <v>6</v>
      </c>
      <c r="G74"/>
    </row>
    <row r="75" spans="1:7" hidden="1">
      <c r="A75" s="251">
        <v>44103</v>
      </c>
      <c r="B75" s="1" t="s">
        <v>239</v>
      </c>
      <c r="C75" s="1" t="s">
        <v>144</v>
      </c>
      <c r="D75" s="1"/>
      <c r="E75" s="1">
        <v>5</v>
      </c>
      <c r="F75" s="1"/>
      <c r="G75"/>
    </row>
    <row r="76" spans="1:7" hidden="1">
      <c r="A76" s="250">
        <v>44103</v>
      </c>
      <c r="B76" s="2" t="s">
        <v>243</v>
      </c>
      <c r="C76" s="2" t="s">
        <v>240</v>
      </c>
      <c r="D76" s="2"/>
      <c r="E76" s="2">
        <v>1</v>
      </c>
      <c r="F76" s="2">
        <v>96</v>
      </c>
      <c r="G76"/>
    </row>
    <row r="77" spans="1:7">
      <c r="A77" s="251">
        <v>44104</v>
      </c>
      <c r="B77" s="1" t="s">
        <v>243</v>
      </c>
      <c r="C77" s="1" t="s">
        <v>140</v>
      </c>
      <c r="D77" s="253">
        <f>COUNTA(C77)</f>
        <v>1</v>
      </c>
      <c r="E77" s="1">
        <v>1</v>
      </c>
      <c r="F77" s="1">
        <v>12</v>
      </c>
    </row>
    <row r="78" spans="1:7" hidden="1">
      <c r="A78" s="250">
        <v>44105</v>
      </c>
      <c r="B78" s="2" t="s">
        <v>243</v>
      </c>
      <c r="C78" s="2" t="s">
        <v>241</v>
      </c>
      <c r="D78" s="2"/>
      <c r="E78" s="2">
        <v>1</v>
      </c>
      <c r="F78" s="2">
        <v>12</v>
      </c>
      <c r="G78"/>
    </row>
    <row r="79" spans="1:7" hidden="1">
      <c r="A79" s="251">
        <v>44106</v>
      </c>
      <c r="B79" s="1" t="s">
        <v>243</v>
      </c>
      <c r="C79" s="1" t="s">
        <v>241</v>
      </c>
      <c r="D79" s="1"/>
      <c r="E79" s="1">
        <v>1</v>
      </c>
      <c r="F79" s="1">
        <v>12</v>
      </c>
      <c r="G79"/>
    </row>
    <row r="80" spans="1:7">
      <c r="A80" s="250">
        <v>44107</v>
      </c>
      <c r="B80" s="2" t="s">
        <v>243</v>
      </c>
      <c r="C80" s="2" t="s">
        <v>140</v>
      </c>
      <c r="D80" s="252">
        <f t="shared" ref="D80:D81" si="0">COUNTA(C80)</f>
        <v>1</v>
      </c>
      <c r="E80" s="2">
        <v>1</v>
      </c>
      <c r="F80" s="2">
        <v>6</v>
      </c>
    </row>
    <row r="81" spans="1:15">
      <c r="A81" s="251">
        <v>44109</v>
      </c>
      <c r="B81" s="1" t="s">
        <v>243</v>
      </c>
      <c r="C81" s="1" t="s">
        <v>140</v>
      </c>
      <c r="D81" s="253">
        <f t="shared" si="0"/>
        <v>1</v>
      </c>
      <c r="E81" s="1">
        <v>5</v>
      </c>
      <c r="F81" s="1">
        <v>6</v>
      </c>
    </row>
    <row r="82" spans="1:15" hidden="1">
      <c r="A82" s="250">
        <v>44110</v>
      </c>
      <c r="B82" s="2" t="s">
        <v>243</v>
      </c>
      <c r="C82" s="2" t="s">
        <v>240</v>
      </c>
      <c r="D82" s="2"/>
      <c r="E82" s="2">
        <v>5</v>
      </c>
      <c r="F82" s="2">
        <v>6</v>
      </c>
      <c r="G82"/>
    </row>
    <row r="83" spans="1:15" hidden="1">
      <c r="A83" s="251">
        <v>44111</v>
      </c>
      <c r="B83" s="1" t="s">
        <v>243</v>
      </c>
      <c r="C83" s="1" t="s">
        <v>241</v>
      </c>
      <c r="D83" s="1"/>
      <c r="E83" s="1">
        <v>5</v>
      </c>
      <c r="F83" s="1">
        <v>6</v>
      </c>
      <c r="G83"/>
    </row>
    <row r="84" spans="1:15" hidden="1">
      <c r="A84" s="250">
        <v>44112</v>
      </c>
      <c r="B84" s="2" t="s">
        <v>243</v>
      </c>
      <c r="C84" s="2" t="s">
        <v>241</v>
      </c>
      <c r="D84" s="2"/>
      <c r="E84" s="2">
        <v>5</v>
      </c>
      <c r="F84" s="2">
        <v>6</v>
      </c>
      <c r="G84"/>
    </row>
    <row r="85" spans="1:15" hidden="1">
      <c r="A85" s="251">
        <v>44113</v>
      </c>
      <c r="B85" s="1" t="s">
        <v>243</v>
      </c>
      <c r="C85" s="1" t="s">
        <v>146</v>
      </c>
      <c r="D85" s="1"/>
      <c r="E85" s="1">
        <v>1</v>
      </c>
      <c r="F85" s="1">
        <v>12</v>
      </c>
      <c r="G85"/>
    </row>
    <row r="86" spans="1:15" hidden="1">
      <c r="A86" s="250">
        <v>44113</v>
      </c>
      <c r="B86" s="2" t="s">
        <v>243</v>
      </c>
      <c r="C86" s="2" t="s">
        <v>144</v>
      </c>
      <c r="D86" s="2"/>
      <c r="E86" s="2"/>
      <c r="F86" s="2"/>
      <c r="G86"/>
    </row>
    <row r="87" spans="1:15">
      <c r="A87" s="251">
        <v>44131</v>
      </c>
      <c r="B87" s="1" t="s">
        <v>243</v>
      </c>
      <c r="C87" s="1" t="s">
        <v>229</v>
      </c>
      <c r="D87" s="1"/>
      <c r="E87" s="1"/>
      <c r="F87" s="1"/>
      <c r="G87"/>
    </row>
    <row r="88" spans="1:15">
      <c r="A88" s="250">
        <v>44152</v>
      </c>
      <c r="B88" s="2" t="s">
        <v>243</v>
      </c>
      <c r="C88" s="2" t="s">
        <v>138</v>
      </c>
      <c r="D88" s="252">
        <f>COUNTA(C88)</f>
        <v>1</v>
      </c>
      <c r="E88" s="2">
        <v>1</v>
      </c>
      <c r="F88" s="2">
        <v>6</v>
      </c>
    </row>
    <row r="89" spans="1:15" hidden="1">
      <c r="A89" s="251">
        <v>44153</v>
      </c>
      <c r="B89" s="1" t="s">
        <v>243</v>
      </c>
      <c r="C89" s="1" t="s">
        <v>241</v>
      </c>
      <c r="D89" s="1"/>
      <c r="E89" s="1">
        <v>1</v>
      </c>
      <c r="F89" s="1">
        <v>6</v>
      </c>
      <c r="G89"/>
    </row>
    <row r="90" spans="1:15">
      <c r="A90" s="250">
        <v>44155</v>
      </c>
      <c r="B90" s="2" t="s">
        <v>243</v>
      </c>
      <c r="C90" s="2" t="s">
        <v>140</v>
      </c>
      <c r="D90" s="252">
        <f>COUNTA(C90)</f>
        <v>1</v>
      </c>
      <c r="E90" s="2">
        <v>5</v>
      </c>
      <c r="F90" s="2">
        <v>6</v>
      </c>
    </row>
    <row r="91" spans="1:15" hidden="1">
      <c r="A91" s="251">
        <v>44157</v>
      </c>
      <c r="B91" s="1" t="s">
        <v>243</v>
      </c>
      <c r="C91" s="1" t="s">
        <v>146</v>
      </c>
      <c r="D91" s="1"/>
      <c r="E91" s="1">
        <v>1</v>
      </c>
      <c r="F91" s="1">
        <v>6</v>
      </c>
      <c r="G91"/>
    </row>
    <row r="92" spans="1:15">
      <c r="A92" s="250">
        <v>44158</v>
      </c>
      <c r="B92" s="2" t="s">
        <v>243</v>
      </c>
      <c r="C92" s="2" t="s">
        <v>140</v>
      </c>
      <c r="D92" s="252">
        <f>COUNTA(C92)</f>
        <v>1</v>
      </c>
      <c r="E92" s="2"/>
      <c r="F92" s="2"/>
      <c r="G92" s="253">
        <f>SUBTOTAL(9,D2:D97)</f>
        <v>23</v>
      </c>
    </row>
    <row r="93" spans="1:15">
      <c r="A93" s="251">
        <v>44164</v>
      </c>
      <c r="B93" s="1" t="s">
        <v>243</v>
      </c>
      <c r="C93" s="1" t="s">
        <v>229</v>
      </c>
      <c r="D93" s="1"/>
      <c r="E93" s="1">
        <v>1</v>
      </c>
      <c r="F93" s="1"/>
      <c r="G93"/>
      <c r="J93" s="250"/>
      <c r="K93" s="2"/>
      <c r="L93" s="2"/>
      <c r="M93" s="2"/>
      <c r="N93" s="2">
        <v>4</v>
      </c>
      <c r="O93" s="2">
        <v>6</v>
      </c>
    </row>
    <row r="94" spans="1:15" hidden="1">
      <c r="A94" s="250">
        <v>44165</v>
      </c>
      <c r="B94" s="2" t="s">
        <v>243</v>
      </c>
      <c r="C94" s="2" t="s">
        <v>241</v>
      </c>
      <c r="D94" s="2"/>
      <c r="E94" s="2">
        <v>1</v>
      </c>
      <c r="F94" s="2">
        <v>6</v>
      </c>
      <c r="G94"/>
      <c r="J94" s="251">
        <v>44123</v>
      </c>
      <c r="K94" s="1" t="s">
        <v>242</v>
      </c>
      <c r="L94" s="1" t="s">
        <v>241</v>
      </c>
      <c r="M94" s="1"/>
      <c r="N94" s="1">
        <v>4</v>
      </c>
      <c r="O94" s="1">
        <v>6</v>
      </c>
    </row>
    <row r="95" spans="1:15" hidden="1">
      <c r="A95" s="251">
        <v>44166</v>
      </c>
      <c r="B95" s="1" t="s">
        <v>243</v>
      </c>
      <c r="C95" s="1" t="s">
        <v>241</v>
      </c>
      <c r="D95" s="1"/>
      <c r="E95" s="1">
        <v>1</v>
      </c>
      <c r="F95" s="1">
        <v>6</v>
      </c>
      <c r="G95"/>
      <c r="J95" s="250">
        <v>44124</v>
      </c>
      <c r="K95" s="2" t="s">
        <v>242</v>
      </c>
      <c r="L95" s="2" t="s">
        <v>146</v>
      </c>
      <c r="M95" s="2"/>
      <c r="N95" s="2">
        <v>1</v>
      </c>
      <c r="O95" s="2">
        <v>12</v>
      </c>
    </row>
    <row r="96" spans="1:15">
      <c r="A96" s="250">
        <v>44168</v>
      </c>
      <c r="B96" s="2" t="s">
        <v>243</v>
      </c>
      <c r="C96" s="2" t="s">
        <v>250</v>
      </c>
      <c r="D96" s="2"/>
      <c r="E96" s="2"/>
      <c r="F96" s="2"/>
      <c r="G96"/>
    </row>
    <row r="97" spans="1:7" hidden="1">
      <c r="A97" s="251">
        <v>44168</v>
      </c>
      <c r="B97" s="1" t="s">
        <v>243</v>
      </c>
      <c r="C97" s="1" t="s">
        <v>241</v>
      </c>
      <c r="D97" s="1"/>
      <c r="E97" s="1">
        <v>1</v>
      </c>
      <c r="F97" s="1">
        <v>6</v>
      </c>
      <c r="G97"/>
    </row>
    <row r="98" spans="1:7" s="8" customFormat="1" hidden="1">
      <c r="A98" s="251"/>
      <c r="B98" s="1"/>
      <c r="C98" s="253"/>
      <c r="E98" s="1"/>
      <c r="F98" s="1"/>
      <c r="G98" s="11"/>
    </row>
    <row r="99" spans="1:7">
      <c r="A99" s="250">
        <v>44116</v>
      </c>
      <c r="B99" s="2" t="s">
        <v>245</v>
      </c>
      <c r="C99" s="2" t="s">
        <v>140</v>
      </c>
      <c r="D99" s="252">
        <f>COUNTA(C99)</f>
        <v>1</v>
      </c>
      <c r="E99" s="2">
        <v>1</v>
      </c>
      <c r="F99" s="2">
        <v>6</v>
      </c>
    </row>
    <row r="100" spans="1:7" hidden="1">
      <c r="A100" s="251">
        <v>44117</v>
      </c>
      <c r="B100" s="1" t="s">
        <v>245</v>
      </c>
      <c r="C100" s="1" t="s">
        <v>240</v>
      </c>
      <c r="D100" s="1"/>
      <c r="E100" s="1">
        <v>1</v>
      </c>
      <c r="F100" s="1">
        <v>6</v>
      </c>
      <c r="G100">
        <f>SUBTOTAL(9,G2:G97)</f>
        <v>0</v>
      </c>
    </row>
    <row r="101" spans="1:7" hidden="1">
      <c r="A101" s="250">
        <v>44118</v>
      </c>
      <c r="B101" s="2" t="s">
        <v>245</v>
      </c>
      <c r="C101" s="2" t="s">
        <v>241</v>
      </c>
      <c r="D101" s="2"/>
      <c r="E101" s="2"/>
      <c r="F101" s="2"/>
      <c r="G101"/>
    </row>
    <row r="102" spans="1:7" hidden="1">
      <c r="A102" s="251">
        <v>44118</v>
      </c>
      <c r="B102" s="1" t="s">
        <v>245</v>
      </c>
      <c r="C102" s="1" t="s">
        <v>240</v>
      </c>
      <c r="D102" s="1"/>
      <c r="E102" s="1">
        <v>1</v>
      </c>
      <c r="F102" s="1">
        <v>6</v>
      </c>
      <c r="G102"/>
    </row>
    <row r="103" spans="1:7" hidden="1">
      <c r="A103" s="250">
        <v>44119</v>
      </c>
      <c r="B103" s="2" t="s">
        <v>245</v>
      </c>
      <c r="C103" s="2" t="s">
        <v>241</v>
      </c>
      <c r="D103" s="2"/>
      <c r="E103" s="2">
        <v>1</v>
      </c>
      <c r="F103" s="2">
        <v>6</v>
      </c>
      <c r="G103"/>
    </row>
    <row r="104" spans="1:7" hidden="1">
      <c r="A104" s="251">
        <v>44120</v>
      </c>
      <c r="B104" s="1" t="s">
        <v>245</v>
      </c>
      <c r="C104" s="1" t="s">
        <v>240</v>
      </c>
      <c r="D104" s="1"/>
      <c r="E104" s="1">
        <v>1</v>
      </c>
      <c r="F104" s="1">
        <v>6</v>
      </c>
      <c r="G104"/>
    </row>
    <row r="105" spans="1:7" hidden="1">
      <c r="A105" s="250">
        <v>44121</v>
      </c>
      <c r="B105" s="2" t="s">
        <v>245</v>
      </c>
      <c r="C105" s="2" t="s">
        <v>240</v>
      </c>
      <c r="D105" s="2"/>
      <c r="E105" s="2">
        <v>1</v>
      </c>
      <c r="F105" s="2">
        <v>6</v>
      </c>
      <c r="G105"/>
    </row>
    <row r="106" spans="1:7" hidden="1">
      <c r="A106" s="251">
        <v>44123</v>
      </c>
      <c r="B106" s="1" t="s">
        <v>245</v>
      </c>
      <c r="C106" s="1" t="s">
        <v>241</v>
      </c>
      <c r="D106" s="1"/>
      <c r="E106" s="1">
        <v>1</v>
      </c>
      <c r="F106" s="1">
        <v>6</v>
      </c>
      <c r="G106"/>
    </row>
    <row r="107" spans="1:7" hidden="1">
      <c r="A107" s="250">
        <v>44124</v>
      </c>
      <c r="B107" s="2" t="s">
        <v>245</v>
      </c>
      <c r="C107" s="2" t="s">
        <v>241</v>
      </c>
      <c r="D107" s="2"/>
      <c r="E107" s="2">
        <v>1</v>
      </c>
      <c r="F107" s="2">
        <v>6</v>
      </c>
      <c r="G107"/>
    </row>
    <row r="108" spans="1:7" hidden="1">
      <c r="A108" s="251">
        <v>44125</v>
      </c>
      <c r="B108" s="1" t="s">
        <v>245</v>
      </c>
      <c r="C108" s="1" t="s">
        <v>241</v>
      </c>
      <c r="D108" s="1"/>
      <c r="E108" s="1">
        <v>1</v>
      </c>
      <c r="F108" s="1">
        <v>6</v>
      </c>
      <c r="G108"/>
    </row>
    <row r="109" spans="1:7" hidden="1">
      <c r="A109" s="250">
        <v>44126</v>
      </c>
      <c r="B109" s="2" t="s">
        <v>245</v>
      </c>
      <c r="C109" s="2" t="s">
        <v>146</v>
      </c>
      <c r="D109" s="2"/>
      <c r="E109" s="2">
        <v>1</v>
      </c>
      <c r="F109" s="2">
        <v>12</v>
      </c>
      <c r="G109"/>
    </row>
    <row r="110" spans="1:7" hidden="1">
      <c r="A110" s="251">
        <v>44159</v>
      </c>
      <c r="B110" s="1" t="s">
        <v>245</v>
      </c>
      <c r="C110" s="1" t="s">
        <v>241</v>
      </c>
      <c r="D110" s="1"/>
      <c r="E110" s="1">
        <v>1</v>
      </c>
      <c r="F110" s="1">
        <v>6</v>
      </c>
      <c r="G110"/>
    </row>
    <row r="111" spans="1:7" hidden="1">
      <c r="A111" s="250">
        <v>44160</v>
      </c>
      <c r="B111" s="2" t="s">
        <v>245</v>
      </c>
      <c r="C111" s="2" t="s">
        <v>241</v>
      </c>
      <c r="D111" s="2"/>
      <c r="E111" s="2">
        <v>1</v>
      </c>
      <c r="F111" s="2">
        <v>6</v>
      </c>
      <c r="G111"/>
    </row>
    <row r="112" spans="1:7" hidden="1">
      <c r="A112" s="251">
        <v>44162</v>
      </c>
      <c r="B112" s="1" t="s">
        <v>245</v>
      </c>
      <c r="C112" s="1" t="s">
        <v>241</v>
      </c>
      <c r="D112" s="1"/>
      <c r="E112" s="1">
        <v>1</v>
      </c>
      <c r="F112" s="1">
        <v>6</v>
      </c>
      <c r="G112"/>
    </row>
    <row r="113" spans="1:7" hidden="1">
      <c r="A113" s="250">
        <v>44164</v>
      </c>
      <c r="B113" s="2" t="s">
        <v>245</v>
      </c>
      <c r="C113" s="2" t="s">
        <v>241</v>
      </c>
      <c r="D113" s="2"/>
      <c r="E113" s="2">
        <v>1</v>
      </c>
      <c r="F113" s="2">
        <v>6</v>
      </c>
      <c r="G113"/>
    </row>
    <row r="114" spans="1:7">
      <c r="A114" s="251">
        <v>44169</v>
      </c>
      <c r="B114" s="1" t="s">
        <v>245</v>
      </c>
      <c r="C114" s="1" t="s">
        <v>140</v>
      </c>
      <c r="D114" s="253">
        <f>COUNTA(C114)</f>
        <v>1</v>
      </c>
      <c r="E114" s="1">
        <v>2</v>
      </c>
      <c r="F114" s="1">
        <v>6</v>
      </c>
    </row>
    <row r="115" spans="1:7" hidden="1">
      <c r="A115" s="250">
        <v>44170</v>
      </c>
      <c r="B115" s="2" t="s">
        <v>245</v>
      </c>
      <c r="C115" s="2" t="s">
        <v>241</v>
      </c>
      <c r="D115" s="2"/>
      <c r="E115" s="2">
        <v>2</v>
      </c>
      <c r="F115" s="2">
        <v>6</v>
      </c>
      <c r="G115"/>
    </row>
    <row r="116" spans="1:7">
      <c r="A116" s="251">
        <v>44172</v>
      </c>
      <c r="B116" s="1" t="s">
        <v>245</v>
      </c>
      <c r="C116" s="1" t="s">
        <v>140</v>
      </c>
      <c r="D116" s="253">
        <f>COUNTA(C116)</f>
        <v>1</v>
      </c>
      <c r="E116" s="1">
        <v>5</v>
      </c>
      <c r="F116" s="1">
        <v>10</v>
      </c>
      <c r="G116" s="254">
        <f>SUBTOTAL(9,D2:D128)</f>
        <v>26</v>
      </c>
    </row>
    <row r="117" spans="1:7" hidden="1">
      <c r="A117" s="250">
        <v>44173</v>
      </c>
      <c r="B117" s="2" t="s">
        <v>245</v>
      </c>
      <c r="C117" s="2" t="s">
        <v>241</v>
      </c>
      <c r="D117" s="2"/>
      <c r="E117" s="2">
        <v>5</v>
      </c>
      <c r="F117" s="2">
        <v>10</v>
      </c>
      <c r="G117"/>
    </row>
    <row r="118" spans="1:7" hidden="1">
      <c r="A118" s="251">
        <v>44175</v>
      </c>
      <c r="B118" s="1" t="s">
        <v>245</v>
      </c>
      <c r="C118" s="1" t="s">
        <v>241</v>
      </c>
      <c r="D118" s="1"/>
      <c r="E118" s="1">
        <v>5</v>
      </c>
      <c r="F118" s="1">
        <v>10</v>
      </c>
      <c r="G118"/>
    </row>
    <row r="119" spans="1:7" hidden="1">
      <c r="A119" s="250">
        <v>44177</v>
      </c>
      <c r="B119" s="2" t="s">
        <v>245</v>
      </c>
      <c r="C119" s="2" t="s">
        <v>241</v>
      </c>
      <c r="D119" s="2"/>
      <c r="E119" s="2">
        <v>5</v>
      </c>
      <c r="F119" s="2">
        <v>10</v>
      </c>
      <c r="G119"/>
    </row>
    <row r="120" spans="1:7" hidden="1">
      <c r="A120" s="251">
        <v>44178</v>
      </c>
      <c r="B120" s="1" t="s">
        <v>245</v>
      </c>
      <c r="C120" s="1" t="s">
        <v>144</v>
      </c>
      <c r="D120" s="1"/>
      <c r="E120" s="1">
        <v>38</v>
      </c>
      <c r="F120" s="1"/>
      <c r="G120"/>
    </row>
    <row r="121" spans="1:7">
      <c r="A121" s="250">
        <v>44179</v>
      </c>
      <c r="B121" s="2" t="s">
        <v>245</v>
      </c>
      <c r="C121" s="2" t="s">
        <v>229</v>
      </c>
      <c r="D121" s="2"/>
      <c r="E121" s="2"/>
      <c r="F121" s="2"/>
      <c r="G121"/>
    </row>
    <row r="122" spans="1:7">
      <c r="A122" s="251">
        <v>44183</v>
      </c>
      <c r="B122" s="1" t="s">
        <v>245</v>
      </c>
      <c r="C122" s="1" t="s">
        <v>250</v>
      </c>
      <c r="D122" s="1"/>
      <c r="E122" s="1"/>
      <c r="F122" s="1"/>
      <c r="G122"/>
    </row>
    <row r="123" spans="1:7" hidden="1">
      <c r="A123" s="250">
        <v>44127</v>
      </c>
      <c r="B123" s="2" t="s">
        <v>246</v>
      </c>
      <c r="C123" s="2" t="s">
        <v>240</v>
      </c>
      <c r="D123" s="2"/>
      <c r="E123" s="2">
        <v>1</v>
      </c>
      <c r="F123" s="2">
        <v>12</v>
      </c>
      <c r="G123"/>
    </row>
    <row r="124" spans="1:7" hidden="1">
      <c r="A124" s="251">
        <v>44129</v>
      </c>
      <c r="B124" s="1" t="s">
        <v>246</v>
      </c>
      <c r="C124" s="1" t="s">
        <v>240</v>
      </c>
      <c r="D124" s="1"/>
      <c r="E124" s="1">
        <v>1</v>
      </c>
      <c r="F124" s="1">
        <v>12</v>
      </c>
      <c r="G124"/>
    </row>
    <row r="125" spans="1:7" hidden="1">
      <c r="A125" s="250">
        <v>44131</v>
      </c>
      <c r="B125" s="2" t="s">
        <v>246</v>
      </c>
      <c r="C125" s="2" t="s">
        <v>241</v>
      </c>
      <c r="D125" s="2"/>
      <c r="E125" s="2">
        <v>1</v>
      </c>
      <c r="F125" s="2">
        <v>12</v>
      </c>
      <c r="G125"/>
    </row>
    <row r="126" spans="1:7" hidden="1">
      <c r="A126" s="251">
        <v>44132</v>
      </c>
      <c r="B126" s="1" t="s">
        <v>246</v>
      </c>
      <c r="C126" s="1" t="s">
        <v>241</v>
      </c>
      <c r="D126" s="1"/>
      <c r="E126" s="1">
        <v>1</v>
      </c>
      <c r="F126" s="1">
        <v>12</v>
      </c>
      <c r="G126"/>
    </row>
    <row r="127" spans="1:7" hidden="1">
      <c r="A127" s="250">
        <v>44133</v>
      </c>
      <c r="B127" s="2" t="s">
        <v>246</v>
      </c>
      <c r="C127" s="2" t="s">
        <v>241</v>
      </c>
      <c r="D127" s="2"/>
      <c r="E127" s="2">
        <v>1</v>
      </c>
      <c r="F127" s="2">
        <v>12</v>
      </c>
      <c r="G127"/>
    </row>
    <row r="128" spans="1:7" hidden="1">
      <c r="A128" s="251">
        <v>44134</v>
      </c>
      <c r="B128" s="1" t="s">
        <v>246</v>
      </c>
      <c r="C128" s="1" t="s">
        <v>241</v>
      </c>
      <c r="D128" s="1"/>
      <c r="E128" s="1">
        <v>1</v>
      </c>
      <c r="F128" s="1">
        <v>12</v>
      </c>
      <c r="G128"/>
    </row>
    <row r="129" spans="1:8" s="8" customFormat="1" hidden="1">
      <c r="A129" s="251"/>
      <c r="B129" s="1"/>
      <c r="C129" s="1"/>
      <c r="E129" s="1"/>
      <c r="F129" s="1"/>
      <c r="G129" s="11"/>
    </row>
    <row r="130" spans="1:8" hidden="1">
      <c r="A130" s="251">
        <v>44144</v>
      </c>
      <c r="B130" s="1" t="s">
        <v>246</v>
      </c>
      <c r="C130" s="1" t="s">
        <v>241</v>
      </c>
      <c r="D130" s="1"/>
      <c r="E130" s="1">
        <v>5</v>
      </c>
      <c r="F130" s="1">
        <v>10</v>
      </c>
      <c r="G130"/>
    </row>
    <row r="131" spans="1:8" hidden="1">
      <c r="A131" s="250">
        <v>44145</v>
      </c>
      <c r="B131" s="2" t="s">
        <v>246</v>
      </c>
      <c r="C131" s="2" t="s">
        <v>241</v>
      </c>
      <c r="D131" s="2"/>
      <c r="E131" s="2">
        <v>5</v>
      </c>
      <c r="F131" s="2">
        <v>10</v>
      </c>
      <c r="G131"/>
    </row>
    <row r="132" spans="1:8" hidden="1">
      <c r="A132" s="251">
        <v>44147</v>
      </c>
      <c r="B132" s="1" t="s">
        <v>246</v>
      </c>
      <c r="C132" s="1" t="s">
        <v>241</v>
      </c>
      <c r="D132" s="1"/>
      <c r="E132" s="1">
        <v>5</v>
      </c>
      <c r="F132" s="1">
        <v>10</v>
      </c>
      <c r="G132"/>
    </row>
    <row r="133" spans="1:8" hidden="1">
      <c r="A133" s="250">
        <v>44149</v>
      </c>
      <c r="B133" s="2" t="s">
        <v>246</v>
      </c>
      <c r="C133" s="2" t="s">
        <v>241</v>
      </c>
      <c r="D133" s="2"/>
      <c r="E133" s="2">
        <v>5</v>
      </c>
      <c r="F133" s="2">
        <v>10</v>
      </c>
      <c r="G133"/>
    </row>
    <row r="134" spans="1:8" hidden="1">
      <c r="A134" s="251">
        <v>44151</v>
      </c>
      <c r="B134" s="1" t="s">
        <v>246</v>
      </c>
      <c r="C134" s="1" t="s">
        <v>241</v>
      </c>
      <c r="D134" s="1"/>
      <c r="E134" s="1">
        <v>5</v>
      </c>
      <c r="F134" s="1">
        <v>10</v>
      </c>
      <c r="G134"/>
    </row>
    <row r="135" spans="1:8" hidden="1">
      <c r="A135" s="250">
        <v>44153</v>
      </c>
      <c r="B135" s="2" t="s">
        <v>246</v>
      </c>
      <c r="C135" s="2" t="s">
        <v>241</v>
      </c>
      <c r="D135" s="2"/>
      <c r="E135" s="2">
        <v>5</v>
      </c>
      <c r="F135" s="2">
        <v>10</v>
      </c>
      <c r="G135"/>
    </row>
    <row r="136" spans="1:8" hidden="1">
      <c r="G136"/>
    </row>
    <row r="137" spans="1:8" hidden="1">
      <c r="G137"/>
    </row>
    <row r="138" spans="1:8" s="8" customFormat="1"/>
    <row r="139" spans="1:8">
      <c r="A139" s="250">
        <v>44207</v>
      </c>
      <c r="B139" s="2" t="s">
        <v>245</v>
      </c>
      <c r="C139" s="2" t="s">
        <v>138</v>
      </c>
      <c r="D139" s="253">
        <f>COUNTA(C139)</f>
        <v>1</v>
      </c>
      <c r="E139" s="2">
        <v>1</v>
      </c>
      <c r="F139" s="2">
        <v>6</v>
      </c>
      <c r="G139" s="247"/>
    </row>
    <row r="140" spans="1:8" hidden="1">
      <c r="A140" s="251">
        <v>44208</v>
      </c>
      <c r="B140" s="1" t="s">
        <v>245</v>
      </c>
      <c r="C140" s="1" t="s">
        <v>241</v>
      </c>
      <c r="E140" s="1">
        <v>1</v>
      </c>
      <c r="F140" s="1">
        <v>6</v>
      </c>
      <c r="G140" s="246"/>
    </row>
    <row r="141" spans="1:8">
      <c r="A141" s="250">
        <v>44209</v>
      </c>
      <c r="B141" s="2" t="s">
        <v>245</v>
      </c>
      <c r="C141" s="2" t="s">
        <v>140</v>
      </c>
      <c r="D141" s="253">
        <f>COUNTA(C141)</f>
        <v>1</v>
      </c>
      <c r="E141" s="2"/>
      <c r="F141" s="2"/>
      <c r="H141" s="247" t="s">
        <v>259</v>
      </c>
    </row>
    <row r="142" spans="1:8" ht="13.9" customHeight="1">
      <c r="A142" s="251">
        <v>44209</v>
      </c>
      <c r="B142" s="1" t="s">
        <v>245</v>
      </c>
      <c r="C142" s="1" t="s">
        <v>250</v>
      </c>
      <c r="E142" s="1"/>
      <c r="F142" s="1"/>
      <c r="G142" s="11">
        <v>28</v>
      </c>
      <c r="H142" s="285" t="s">
        <v>260</v>
      </c>
    </row>
    <row r="143" spans="1:8">
      <c r="A143" s="250">
        <v>44212</v>
      </c>
      <c r="B143" s="2" t="s">
        <v>245</v>
      </c>
      <c r="C143" s="2" t="s">
        <v>138</v>
      </c>
      <c r="D143" s="253">
        <f>COUNTA(C143)</f>
        <v>1</v>
      </c>
      <c r="E143" s="2">
        <v>1</v>
      </c>
      <c r="F143" s="2">
        <v>6</v>
      </c>
      <c r="G143" s="247"/>
    </row>
    <row r="144" spans="1:8">
      <c r="A144" s="251">
        <v>44214</v>
      </c>
      <c r="B144" s="1" t="s">
        <v>245</v>
      </c>
      <c r="C144" s="1" t="s">
        <v>140</v>
      </c>
      <c r="D144" s="253">
        <f>COUNTA(C144)</f>
        <v>1</v>
      </c>
      <c r="E144" s="1">
        <v>1</v>
      </c>
      <c r="F144" s="1">
        <v>6</v>
      </c>
      <c r="G144" s="246"/>
    </row>
    <row r="145" spans="1:7" hidden="1">
      <c r="A145" s="250">
        <v>44216</v>
      </c>
      <c r="B145" s="2" t="s">
        <v>245</v>
      </c>
      <c r="C145" s="2" t="s">
        <v>241</v>
      </c>
      <c r="E145" s="2">
        <v>1</v>
      </c>
      <c r="F145" s="2">
        <v>6</v>
      </c>
      <c r="G145" s="247"/>
    </row>
    <row r="146" spans="1:7" hidden="1">
      <c r="A146" s="251">
        <v>44217</v>
      </c>
      <c r="B146" s="1" t="s">
        <v>245</v>
      </c>
      <c r="C146" s="1" t="s">
        <v>241</v>
      </c>
      <c r="E146" s="1">
        <v>1</v>
      </c>
      <c r="F146" s="1">
        <v>6</v>
      </c>
      <c r="G146" s="283"/>
    </row>
    <row r="147" spans="1:7">
      <c r="A147" s="250">
        <v>44221</v>
      </c>
      <c r="B147" s="2" t="s">
        <v>245</v>
      </c>
      <c r="C147" s="2" t="s">
        <v>140</v>
      </c>
      <c r="D147" s="253">
        <f>COUNTA(C147)</f>
        <v>1</v>
      </c>
      <c r="E147" s="2">
        <v>2</v>
      </c>
      <c r="F147" s="2">
        <v>6</v>
      </c>
      <c r="G147" s="284"/>
    </row>
    <row r="148" spans="1:7" hidden="1">
      <c r="A148" s="251">
        <v>44222</v>
      </c>
      <c r="B148" s="1" t="s">
        <v>245</v>
      </c>
      <c r="C148" s="1" t="s">
        <v>240</v>
      </c>
      <c r="E148" s="1">
        <v>2</v>
      </c>
      <c r="F148" s="1">
        <v>6</v>
      </c>
      <c r="G148" s="246"/>
    </row>
    <row r="149" spans="1:7" hidden="1">
      <c r="A149" s="250">
        <v>44223</v>
      </c>
      <c r="B149" s="2" t="s">
        <v>245</v>
      </c>
      <c r="C149" s="2" t="s">
        <v>241</v>
      </c>
      <c r="E149" s="2">
        <v>2</v>
      </c>
      <c r="F149" s="2">
        <v>6</v>
      </c>
      <c r="G149" s="247"/>
    </row>
    <row r="150" spans="1:7" hidden="1">
      <c r="A150" s="251">
        <v>44225</v>
      </c>
      <c r="B150" s="1" t="s">
        <v>245</v>
      </c>
      <c r="C150" s="1" t="s">
        <v>241</v>
      </c>
      <c r="E150" s="1">
        <v>2</v>
      </c>
      <c r="F150" s="1">
        <v>6</v>
      </c>
      <c r="G150" s="246"/>
    </row>
    <row r="151" spans="1:7" hidden="1">
      <c r="A151" s="250">
        <v>44227</v>
      </c>
      <c r="B151" s="2" t="s">
        <v>245</v>
      </c>
      <c r="C151" s="2" t="s">
        <v>241</v>
      </c>
      <c r="E151" s="2">
        <v>2</v>
      </c>
      <c r="F151" s="2">
        <v>6</v>
      </c>
      <c r="G151" s="247"/>
    </row>
    <row r="152" spans="1:7">
      <c r="G152"/>
    </row>
    <row r="153" spans="1:7">
      <c r="G153"/>
    </row>
    <row r="154" spans="1:7">
      <c r="A154" s="250">
        <v>44135</v>
      </c>
      <c r="B154" s="2" t="s">
        <v>246</v>
      </c>
      <c r="C154" s="2" t="s">
        <v>140</v>
      </c>
      <c r="D154" s="252">
        <f>COUNTA(C154)</f>
        <v>1</v>
      </c>
      <c r="E154" s="2">
        <v>1</v>
      </c>
      <c r="F154" s="2">
        <v>6</v>
      </c>
    </row>
    <row r="155" spans="1:7" hidden="1">
      <c r="A155" s="251">
        <v>44137</v>
      </c>
      <c r="B155" s="1" t="s">
        <v>246</v>
      </c>
      <c r="C155" s="1" t="s">
        <v>241</v>
      </c>
      <c r="D155" s="1"/>
      <c r="E155" s="1">
        <v>2</v>
      </c>
      <c r="F155" s="1">
        <v>6</v>
      </c>
      <c r="G155"/>
    </row>
    <row r="156" spans="1:7" hidden="1">
      <c r="A156" s="250">
        <v>44138</v>
      </c>
      <c r="B156" s="2" t="s">
        <v>246</v>
      </c>
      <c r="C156" s="2"/>
      <c r="D156" s="2"/>
      <c r="E156" s="2">
        <v>1</v>
      </c>
      <c r="F156" s="2">
        <v>6</v>
      </c>
      <c r="G156"/>
    </row>
    <row r="157" spans="1:7" hidden="1">
      <c r="A157" s="251">
        <v>44139</v>
      </c>
      <c r="B157" s="1" t="s">
        <v>246</v>
      </c>
      <c r="C157" s="1" t="s">
        <v>241</v>
      </c>
      <c r="D157" s="1"/>
      <c r="E157" s="1">
        <v>1</v>
      </c>
      <c r="F157" s="1">
        <v>6</v>
      </c>
      <c r="G157"/>
    </row>
    <row r="158" spans="1:7">
      <c r="A158" s="250">
        <v>44140</v>
      </c>
      <c r="B158" s="2" t="s">
        <v>246</v>
      </c>
      <c r="C158" s="2" t="s">
        <v>140</v>
      </c>
      <c r="D158" s="252">
        <f>COUNTA(C158)</f>
        <v>1</v>
      </c>
      <c r="E158" s="2">
        <v>6</v>
      </c>
      <c r="F158" s="2">
        <v>6</v>
      </c>
    </row>
    <row r="159" spans="1:7" hidden="1">
      <c r="A159" s="251">
        <v>44141</v>
      </c>
      <c r="B159" s="1" t="s">
        <v>246</v>
      </c>
      <c r="C159" s="1" t="s">
        <v>241</v>
      </c>
      <c r="D159" s="1"/>
      <c r="E159" s="1">
        <v>6</v>
      </c>
      <c r="F159" s="1">
        <v>6</v>
      </c>
      <c r="G159"/>
    </row>
    <row r="160" spans="1:7">
      <c r="A160" s="250">
        <v>44142</v>
      </c>
      <c r="B160" s="2" t="s">
        <v>246</v>
      </c>
      <c r="C160" s="2" t="s">
        <v>140</v>
      </c>
      <c r="D160" s="252">
        <f>COUNTA(C160)</f>
        <v>1</v>
      </c>
      <c r="E160" s="2"/>
      <c r="F160" s="2"/>
      <c r="G160" s="11">
        <f>SUBTOTAL(9,D2:D137)</f>
        <v>26</v>
      </c>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sheetData>
  <autoFilter ref="C1:C151" xr:uid="{9D47F62C-1DC4-429E-9658-1ADA98527302}">
    <filterColumn colId="0">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CBEA5-12D4-4C62-937D-0F27962907F6}">
  <sheetPr codeName="Sheet9" filterMode="1"/>
  <dimension ref="A1:H65"/>
  <sheetViews>
    <sheetView workbookViewId="0">
      <selection activeCell="E86" sqref="D86:E86"/>
    </sheetView>
  </sheetViews>
  <sheetFormatPr defaultRowHeight="14.25"/>
  <cols>
    <col min="1" max="1" width="15.53125" customWidth="1"/>
    <col min="2" max="2" width="29.46484375" customWidth="1"/>
    <col min="4" max="4" width="12.265625" style="8" customWidth="1"/>
    <col min="5" max="5" width="5" customWidth="1"/>
    <col min="6" max="6" width="6.53125" customWidth="1"/>
  </cols>
  <sheetData>
    <row r="1" spans="1:7">
      <c r="A1" s="248" t="s">
        <v>153</v>
      </c>
      <c r="B1" s="249" t="s">
        <v>152</v>
      </c>
      <c r="C1" s="249" t="s">
        <v>143</v>
      </c>
      <c r="D1" s="249" t="s">
        <v>256</v>
      </c>
      <c r="E1" s="249" t="s">
        <v>142</v>
      </c>
      <c r="F1" s="249" t="s">
        <v>150</v>
      </c>
      <c r="G1" s="255" t="s">
        <v>252</v>
      </c>
    </row>
    <row r="2" spans="1:7" hidden="1">
      <c r="A2" s="251">
        <v>43850</v>
      </c>
      <c r="B2" s="1" t="s">
        <v>211</v>
      </c>
      <c r="C2" s="1" t="s">
        <v>141</v>
      </c>
      <c r="D2" s="1"/>
      <c r="E2" s="1">
        <v>96</v>
      </c>
      <c r="F2" s="1">
        <v>96</v>
      </c>
    </row>
    <row r="3" spans="1:7" hidden="1">
      <c r="A3" s="250">
        <v>43851</v>
      </c>
      <c r="B3" s="2" t="s">
        <v>211</v>
      </c>
      <c r="C3" s="2" t="s">
        <v>145</v>
      </c>
      <c r="D3" s="2"/>
      <c r="E3" s="2"/>
      <c r="F3" s="2"/>
    </row>
    <row r="4" spans="1:7" hidden="1">
      <c r="A4" s="251">
        <v>43852</v>
      </c>
      <c r="B4" s="1" t="s">
        <v>211</v>
      </c>
      <c r="C4" s="1" t="s">
        <v>145</v>
      </c>
      <c r="D4" s="1"/>
      <c r="E4" s="1"/>
      <c r="F4" s="1"/>
    </row>
    <row r="5" spans="1:7" hidden="1">
      <c r="A5" s="250">
        <v>43855</v>
      </c>
      <c r="B5" s="2" t="s">
        <v>211</v>
      </c>
      <c r="C5" s="2" t="s">
        <v>139</v>
      </c>
      <c r="D5" s="2"/>
      <c r="E5" s="2">
        <v>96</v>
      </c>
      <c r="F5" s="2">
        <v>96</v>
      </c>
    </row>
    <row r="6" spans="1:7">
      <c r="A6" s="251">
        <v>43856</v>
      </c>
      <c r="B6" s="1" t="s">
        <v>230</v>
      </c>
      <c r="C6" s="1" t="s">
        <v>140</v>
      </c>
      <c r="D6" s="1">
        <f>COUNTA(C6)</f>
        <v>1</v>
      </c>
      <c r="E6" s="1">
        <v>1</v>
      </c>
      <c r="F6" s="1">
        <v>24</v>
      </c>
    </row>
    <row r="7" spans="1:7">
      <c r="A7" s="250">
        <v>43861</v>
      </c>
      <c r="B7" s="2" t="s">
        <v>230</v>
      </c>
      <c r="C7" s="2" t="s">
        <v>140</v>
      </c>
      <c r="D7" s="1">
        <f>COUNTA(C7)</f>
        <v>1</v>
      </c>
      <c r="E7" s="2">
        <v>1</v>
      </c>
      <c r="F7" s="2">
        <v>6</v>
      </c>
    </row>
    <row r="8" spans="1:7" hidden="1">
      <c r="A8" s="251">
        <v>43862</v>
      </c>
      <c r="B8" s="1" t="s">
        <v>230</v>
      </c>
      <c r="C8" s="1" t="s">
        <v>145</v>
      </c>
      <c r="D8" s="1"/>
      <c r="E8" s="1">
        <v>1</v>
      </c>
      <c r="F8" s="1">
        <v>6</v>
      </c>
    </row>
    <row r="9" spans="1:7">
      <c r="A9" s="250">
        <v>43864</v>
      </c>
      <c r="B9" s="2" t="s">
        <v>230</v>
      </c>
      <c r="C9" s="2" t="s">
        <v>140</v>
      </c>
      <c r="D9" s="1">
        <f>COUNTA(C9)</f>
        <v>1</v>
      </c>
      <c r="E9" s="2">
        <v>5</v>
      </c>
      <c r="F9" s="2">
        <v>6</v>
      </c>
    </row>
    <row r="10" spans="1:7" hidden="1">
      <c r="A10" s="251">
        <v>43865</v>
      </c>
      <c r="B10" s="1" t="s">
        <v>230</v>
      </c>
      <c r="C10" s="1" t="s">
        <v>145</v>
      </c>
      <c r="D10" s="1"/>
      <c r="E10" s="1">
        <v>5</v>
      </c>
      <c r="F10" s="1">
        <v>6</v>
      </c>
    </row>
    <row r="11" spans="1:7" hidden="1">
      <c r="A11" s="250">
        <v>43867</v>
      </c>
      <c r="B11" s="2" t="s">
        <v>230</v>
      </c>
      <c r="C11" s="2" t="s">
        <v>146</v>
      </c>
      <c r="D11" s="2"/>
      <c r="E11" s="2">
        <v>1</v>
      </c>
      <c r="F11" s="2">
        <v>96</v>
      </c>
    </row>
    <row r="12" spans="1:7" hidden="1">
      <c r="A12" s="251">
        <v>43871</v>
      </c>
      <c r="B12" s="1" t="s">
        <v>231</v>
      </c>
      <c r="C12" s="1" t="s">
        <v>139</v>
      </c>
      <c r="D12" s="1"/>
      <c r="E12" s="1">
        <v>1</v>
      </c>
      <c r="F12" s="1">
        <v>96</v>
      </c>
    </row>
    <row r="13" spans="1:7">
      <c r="A13" s="250">
        <v>43873</v>
      </c>
      <c r="B13" s="2" t="s">
        <v>231</v>
      </c>
      <c r="C13" s="2" t="s">
        <v>140</v>
      </c>
      <c r="D13" s="1">
        <f>COUNTA(C13)</f>
        <v>1</v>
      </c>
      <c r="E13" s="2">
        <v>1</v>
      </c>
      <c r="F13" s="2">
        <v>24</v>
      </c>
    </row>
    <row r="14" spans="1:7" hidden="1">
      <c r="A14" s="251">
        <v>43874</v>
      </c>
      <c r="B14" s="1" t="s">
        <v>231</v>
      </c>
      <c r="C14" s="1" t="s">
        <v>145</v>
      </c>
      <c r="D14" s="1"/>
      <c r="E14" s="1">
        <v>1</v>
      </c>
      <c r="F14" s="1">
        <v>24</v>
      </c>
    </row>
    <row r="15" spans="1:7">
      <c r="A15" s="250">
        <v>43875</v>
      </c>
      <c r="B15" s="2" t="s">
        <v>231</v>
      </c>
      <c r="C15" s="2" t="s">
        <v>140</v>
      </c>
      <c r="D15" s="1">
        <f>COUNTA(C15)</f>
        <v>1</v>
      </c>
      <c r="E15" s="2">
        <v>1</v>
      </c>
      <c r="F15" s="2">
        <v>6</v>
      </c>
    </row>
    <row r="16" spans="1:7" hidden="1">
      <c r="A16" s="251">
        <v>43876</v>
      </c>
      <c r="B16" s="1" t="s">
        <v>231</v>
      </c>
      <c r="C16" s="1" t="s">
        <v>145</v>
      </c>
      <c r="D16" s="1"/>
      <c r="E16" s="1">
        <v>1</v>
      </c>
      <c r="F16" s="1">
        <v>6</v>
      </c>
    </row>
    <row r="17" spans="1:6">
      <c r="A17" s="250">
        <v>43877</v>
      </c>
      <c r="B17" s="2" t="s">
        <v>231</v>
      </c>
      <c r="C17" s="2" t="s">
        <v>140</v>
      </c>
      <c r="D17" s="1">
        <f>COUNTA(C17)</f>
        <v>1</v>
      </c>
      <c r="E17" s="2">
        <v>1</v>
      </c>
      <c r="F17" s="2">
        <v>6</v>
      </c>
    </row>
    <row r="18" spans="1:6" hidden="1">
      <c r="A18" s="251">
        <v>43878</v>
      </c>
      <c r="B18" s="1" t="s">
        <v>231</v>
      </c>
      <c r="C18" s="1" t="s">
        <v>145</v>
      </c>
      <c r="D18" s="1"/>
      <c r="E18" s="1">
        <v>1</v>
      </c>
      <c r="F18" s="1">
        <v>6</v>
      </c>
    </row>
    <row r="19" spans="1:6">
      <c r="A19" s="250">
        <v>43880</v>
      </c>
      <c r="B19" s="2" t="s">
        <v>231</v>
      </c>
      <c r="C19" s="2" t="s">
        <v>140</v>
      </c>
      <c r="D19" s="1">
        <f>COUNTA(C19)</f>
        <v>1</v>
      </c>
      <c r="E19" s="2">
        <v>5</v>
      </c>
      <c r="F19" s="2">
        <v>6</v>
      </c>
    </row>
    <row r="20" spans="1:6" hidden="1">
      <c r="A20" s="251">
        <v>43881</v>
      </c>
      <c r="B20" s="1" t="s">
        <v>231</v>
      </c>
      <c r="C20" s="1" t="s">
        <v>145</v>
      </c>
      <c r="D20" s="1"/>
      <c r="E20" s="1">
        <v>5</v>
      </c>
      <c r="F20" s="1">
        <v>6</v>
      </c>
    </row>
    <row r="21" spans="1:6" hidden="1">
      <c r="A21" s="250">
        <v>43882</v>
      </c>
      <c r="B21" s="2" t="s">
        <v>231</v>
      </c>
      <c r="C21" s="2" t="s">
        <v>146</v>
      </c>
      <c r="D21" s="2"/>
      <c r="E21" s="2">
        <v>1</v>
      </c>
      <c r="F21" s="2">
        <v>96</v>
      </c>
    </row>
    <row r="22" spans="1:6" hidden="1">
      <c r="A22" s="251">
        <v>43882</v>
      </c>
      <c r="B22" s="1" t="s">
        <v>231</v>
      </c>
      <c r="C22" s="1" t="s">
        <v>144</v>
      </c>
      <c r="D22" s="1"/>
      <c r="E22" s="1"/>
      <c r="F22" s="1"/>
    </row>
    <row r="23" spans="1:6" hidden="1">
      <c r="A23" s="250">
        <v>43883</v>
      </c>
      <c r="B23" s="2" t="s">
        <v>232</v>
      </c>
      <c r="C23" s="2" t="s">
        <v>145</v>
      </c>
      <c r="D23" s="2"/>
      <c r="E23" s="2">
        <v>1</v>
      </c>
      <c r="F23" s="2">
        <v>96</v>
      </c>
    </row>
    <row r="24" spans="1:6" hidden="1">
      <c r="A24" s="251">
        <v>43883</v>
      </c>
      <c r="B24" s="1" t="s">
        <v>236</v>
      </c>
      <c r="C24" s="1" t="s">
        <v>145</v>
      </c>
      <c r="D24" s="1"/>
      <c r="E24" s="1">
        <v>1</v>
      </c>
      <c r="F24" s="1">
        <v>96</v>
      </c>
    </row>
    <row r="25" spans="1:6" hidden="1">
      <c r="A25" s="250">
        <v>43884</v>
      </c>
      <c r="B25" s="2" t="s">
        <v>232</v>
      </c>
      <c r="C25" s="2" t="s">
        <v>139</v>
      </c>
      <c r="D25" s="2"/>
      <c r="E25" s="2">
        <v>1</v>
      </c>
      <c r="F25" s="2">
        <v>96</v>
      </c>
    </row>
    <row r="26" spans="1:6">
      <c r="A26" s="251">
        <v>43884</v>
      </c>
      <c r="B26" s="1" t="s">
        <v>232</v>
      </c>
      <c r="C26" s="1" t="s">
        <v>140</v>
      </c>
      <c r="D26" s="1">
        <f>COUNTA(C26)</f>
        <v>1</v>
      </c>
      <c r="E26" s="1">
        <v>1</v>
      </c>
      <c r="F26" s="1">
        <v>24</v>
      </c>
    </row>
    <row r="27" spans="1:6" hidden="1">
      <c r="A27" s="250">
        <v>43884</v>
      </c>
      <c r="B27" s="2" t="s">
        <v>236</v>
      </c>
      <c r="C27" s="2" t="s">
        <v>139</v>
      </c>
      <c r="D27" s="2"/>
      <c r="E27" s="2">
        <v>1</v>
      </c>
      <c r="F27" s="2">
        <v>96</v>
      </c>
    </row>
    <row r="28" spans="1:6">
      <c r="A28" s="251">
        <v>43884</v>
      </c>
      <c r="B28" s="1" t="s">
        <v>236</v>
      </c>
      <c r="C28" s="1" t="s">
        <v>140</v>
      </c>
      <c r="D28" s="1">
        <f>COUNTA(C28)</f>
        <v>1</v>
      </c>
      <c r="E28" s="1">
        <v>1</v>
      </c>
      <c r="F28" s="1">
        <v>24</v>
      </c>
    </row>
    <row r="29" spans="1:6" hidden="1">
      <c r="A29" s="250">
        <v>43885</v>
      </c>
      <c r="B29" s="2" t="s">
        <v>232</v>
      </c>
      <c r="C29" s="2" t="s">
        <v>145</v>
      </c>
      <c r="D29" s="2"/>
      <c r="E29" s="2"/>
      <c r="F29" s="2"/>
    </row>
    <row r="30" spans="1:6" hidden="1">
      <c r="A30" s="251">
        <v>43885</v>
      </c>
      <c r="B30" s="1" t="s">
        <v>236</v>
      </c>
      <c r="C30" s="1" t="s">
        <v>145</v>
      </c>
      <c r="D30" s="1"/>
      <c r="E30" s="1"/>
      <c r="F30" s="1"/>
    </row>
    <row r="31" spans="1:6">
      <c r="A31" s="250">
        <v>43890</v>
      </c>
      <c r="B31" s="2" t="s">
        <v>232</v>
      </c>
      <c r="C31" s="2" t="s">
        <v>140</v>
      </c>
      <c r="D31" s="1">
        <f t="shared" ref="D31:D34" si="0">COUNTA(C31)</f>
        <v>1</v>
      </c>
      <c r="E31" s="2">
        <v>1</v>
      </c>
      <c r="F31" s="2">
        <v>6</v>
      </c>
    </row>
    <row r="32" spans="1:6">
      <c r="A32" s="251">
        <v>43890</v>
      </c>
      <c r="B32" s="1" t="s">
        <v>236</v>
      </c>
      <c r="C32" s="1" t="s">
        <v>140</v>
      </c>
      <c r="D32" s="1">
        <f t="shared" si="0"/>
        <v>1</v>
      </c>
      <c r="E32" s="1">
        <v>1</v>
      </c>
      <c r="F32" s="1">
        <v>6</v>
      </c>
    </row>
    <row r="33" spans="1:6">
      <c r="A33" s="250">
        <v>43891</v>
      </c>
      <c r="B33" s="2" t="s">
        <v>236</v>
      </c>
      <c r="C33" s="2" t="s">
        <v>140</v>
      </c>
      <c r="D33" s="1">
        <f t="shared" si="0"/>
        <v>1</v>
      </c>
      <c r="E33" s="2">
        <v>5</v>
      </c>
      <c r="F33" s="2">
        <v>6</v>
      </c>
    </row>
    <row r="34" spans="1:6">
      <c r="A34" s="251">
        <v>43891</v>
      </c>
      <c r="B34" s="1" t="s">
        <v>232</v>
      </c>
      <c r="C34" s="1" t="s">
        <v>140</v>
      </c>
      <c r="D34" s="1">
        <f t="shared" si="0"/>
        <v>1</v>
      </c>
      <c r="E34" s="1">
        <v>5</v>
      </c>
      <c r="F34" s="1">
        <v>6</v>
      </c>
    </row>
    <row r="35" spans="1:6" hidden="1">
      <c r="A35" s="250">
        <v>43892</v>
      </c>
      <c r="B35" s="2" t="s">
        <v>232</v>
      </c>
      <c r="C35" s="2" t="s">
        <v>145</v>
      </c>
      <c r="D35" s="2"/>
      <c r="E35" s="2">
        <v>5</v>
      </c>
      <c r="F35" s="2">
        <v>6</v>
      </c>
    </row>
    <row r="36" spans="1:6" hidden="1">
      <c r="A36" s="251">
        <v>43892</v>
      </c>
      <c r="B36" s="1" t="s">
        <v>236</v>
      </c>
      <c r="C36" s="1" t="s">
        <v>145</v>
      </c>
      <c r="D36" s="1"/>
      <c r="E36" s="1">
        <v>5</v>
      </c>
      <c r="F36" s="1">
        <v>6</v>
      </c>
    </row>
    <row r="37" spans="1:6" hidden="1">
      <c r="A37" s="250">
        <v>43897</v>
      </c>
      <c r="B37" s="2" t="s">
        <v>236</v>
      </c>
      <c r="C37" s="2" t="s">
        <v>144</v>
      </c>
      <c r="D37" s="2"/>
      <c r="E37" s="2">
        <v>5</v>
      </c>
      <c r="F37" s="2"/>
    </row>
    <row r="38" spans="1:6" hidden="1">
      <c r="A38" s="251">
        <v>43898</v>
      </c>
      <c r="B38" s="1" t="s">
        <v>232</v>
      </c>
      <c r="C38" s="1" t="s">
        <v>144</v>
      </c>
      <c r="D38" s="1"/>
      <c r="E38" s="1"/>
      <c r="F38" s="1"/>
    </row>
    <row r="39" spans="1:6">
      <c r="A39" s="250">
        <v>43928</v>
      </c>
      <c r="B39" s="2" t="s">
        <v>236</v>
      </c>
      <c r="C39" s="2" t="s">
        <v>229</v>
      </c>
      <c r="D39" s="2"/>
      <c r="E39" s="2"/>
      <c r="F39" s="2"/>
    </row>
    <row r="40" spans="1:6">
      <c r="A40" s="251">
        <v>44152</v>
      </c>
      <c r="B40" s="1" t="s">
        <v>236</v>
      </c>
      <c r="C40" s="1" t="s">
        <v>138</v>
      </c>
      <c r="D40" s="1">
        <f>COUNTA(C40)</f>
        <v>1</v>
      </c>
      <c r="E40" s="1">
        <v>1</v>
      </c>
      <c r="F40" s="1">
        <v>6</v>
      </c>
    </row>
    <row r="41" spans="1:6" hidden="1">
      <c r="A41" s="250">
        <v>44153</v>
      </c>
      <c r="B41" s="2" t="s">
        <v>236</v>
      </c>
      <c r="C41" s="2" t="s">
        <v>241</v>
      </c>
      <c r="D41" s="2"/>
      <c r="E41" s="2">
        <v>1</v>
      </c>
      <c r="F41" s="2">
        <v>6</v>
      </c>
    </row>
    <row r="42" spans="1:6" hidden="1">
      <c r="A42" s="251">
        <v>44155</v>
      </c>
      <c r="B42" s="1" t="s">
        <v>236</v>
      </c>
      <c r="C42" s="1" t="s">
        <v>241</v>
      </c>
      <c r="D42" s="1"/>
      <c r="E42" s="1">
        <v>1</v>
      </c>
      <c r="F42" s="1">
        <v>6</v>
      </c>
    </row>
    <row r="43" spans="1:6">
      <c r="A43" s="250">
        <v>44157</v>
      </c>
      <c r="B43" s="2" t="s">
        <v>236</v>
      </c>
      <c r="C43" s="2" t="s">
        <v>140</v>
      </c>
      <c r="D43" s="1">
        <f>COUNTA(C43)</f>
        <v>1</v>
      </c>
      <c r="E43" s="2">
        <v>5</v>
      </c>
      <c r="F43" s="2">
        <v>6</v>
      </c>
    </row>
    <row r="44" spans="1:6" hidden="1">
      <c r="A44" s="251">
        <v>44158</v>
      </c>
      <c r="B44" s="1" t="s">
        <v>236</v>
      </c>
      <c r="C44" s="1" t="s">
        <v>146</v>
      </c>
      <c r="D44" s="1"/>
      <c r="E44" s="1">
        <v>1</v>
      </c>
      <c r="F44" s="1">
        <v>6</v>
      </c>
    </row>
    <row r="45" spans="1:6">
      <c r="A45" s="250">
        <v>44159</v>
      </c>
      <c r="B45" s="2" t="s">
        <v>236</v>
      </c>
      <c r="C45" s="2" t="s">
        <v>140</v>
      </c>
      <c r="D45" s="1">
        <f>COUNTA(C45)</f>
        <v>1</v>
      </c>
      <c r="E45" s="2"/>
      <c r="F45" s="2"/>
    </row>
    <row r="46" spans="1:6" hidden="1">
      <c r="A46" s="251">
        <v>44159</v>
      </c>
      <c r="B46" s="1" t="s">
        <v>251</v>
      </c>
      <c r="C46" s="1" t="s">
        <v>241</v>
      </c>
      <c r="D46" s="1"/>
      <c r="E46" s="1">
        <v>1</v>
      </c>
      <c r="F46" s="1">
        <v>6</v>
      </c>
    </row>
    <row r="47" spans="1:6" hidden="1">
      <c r="A47" s="250">
        <v>44160</v>
      </c>
      <c r="B47" s="2" t="s">
        <v>251</v>
      </c>
      <c r="C47" s="2" t="s">
        <v>241</v>
      </c>
      <c r="D47" s="2"/>
      <c r="E47" s="2">
        <v>1</v>
      </c>
      <c r="F47" s="2">
        <v>6</v>
      </c>
    </row>
    <row r="48" spans="1:6" hidden="1">
      <c r="A48" s="251">
        <v>44162</v>
      </c>
      <c r="B48" s="1" t="s">
        <v>251</v>
      </c>
      <c r="C48" s="1" t="s">
        <v>241</v>
      </c>
      <c r="D48" s="1"/>
      <c r="E48" s="1">
        <v>1</v>
      </c>
      <c r="F48" s="1">
        <v>6</v>
      </c>
    </row>
    <row r="49" spans="1:8">
      <c r="A49" s="250">
        <v>44164</v>
      </c>
      <c r="B49" s="2" t="s">
        <v>251</v>
      </c>
      <c r="C49" s="2" t="s">
        <v>140</v>
      </c>
      <c r="D49" s="1">
        <f>COUNTA(C49)</f>
        <v>1</v>
      </c>
      <c r="E49" s="2">
        <v>2</v>
      </c>
      <c r="F49" s="2">
        <v>6</v>
      </c>
    </row>
    <row r="50" spans="1:8">
      <c r="A50" s="251">
        <v>44164</v>
      </c>
      <c r="B50" s="1" t="s">
        <v>236</v>
      </c>
      <c r="C50" s="1" t="s">
        <v>229</v>
      </c>
      <c r="D50" s="1"/>
      <c r="E50" s="1">
        <v>1</v>
      </c>
      <c r="F50" s="1"/>
    </row>
    <row r="51" spans="1:8">
      <c r="A51" s="250">
        <v>44165</v>
      </c>
      <c r="B51" s="2" t="s">
        <v>251</v>
      </c>
      <c r="C51" s="2" t="s">
        <v>140</v>
      </c>
      <c r="D51" s="1">
        <f>COUNTA(C51)</f>
        <v>1</v>
      </c>
      <c r="E51" s="2">
        <v>5</v>
      </c>
      <c r="F51" s="2">
        <v>10</v>
      </c>
    </row>
    <row r="52" spans="1:8" hidden="1">
      <c r="A52" s="251">
        <v>44166</v>
      </c>
      <c r="B52" s="1" t="s">
        <v>251</v>
      </c>
      <c r="C52" s="1" t="s">
        <v>241</v>
      </c>
      <c r="D52" s="1"/>
      <c r="E52" s="1">
        <v>5</v>
      </c>
      <c r="F52" s="1">
        <v>10</v>
      </c>
    </row>
    <row r="53" spans="1:8" hidden="1">
      <c r="A53" s="250">
        <v>44168</v>
      </c>
      <c r="B53" s="2" t="s">
        <v>251</v>
      </c>
      <c r="C53" s="2" t="s">
        <v>241</v>
      </c>
      <c r="D53" s="2"/>
      <c r="E53" s="2">
        <v>5</v>
      </c>
      <c r="F53" s="2">
        <v>10</v>
      </c>
    </row>
    <row r="54" spans="1:8" hidden="1">
      <c r="A54" s="251">
        <v>44170</v>
      </c>
      <c r="B54" s="1" t="s">
        <v>251</v>
      </c>
      <c r="C54" s="1" t="s">
        <v>241</v>
      </c>
      <c r="D54" s="1"/>
      <c r="E54" s="1">
        <v>5</v>
      </c>
      <c r="F54" s="1">
        <v>10</v>
      </c>
    </row>
    <row r="55" spans="1:8" hidden="1">
      <c r="A55" s="250">
        <v>44171</v>
      </c>
      <c r="B55" s="2" t="s">
        <v>251</v>
      </c>
      <c r="C55" s="2" t="s">
        <v>144</v>
      </c>
      <c r="D55" s="2"/>
      <c r="E55" s="2">
        <v>40</v>
      </c>
      <c r="F55" s="2"/>
    </row>
    <row r="56" spans="1:8">
      <c r="A56" s="251">
        <v>44179</v>
      </c>
      <c r="B56" s="1" t="s">
        <v>251</v>
      </c>
      <c r="C56" s="1" t="s">
        <v>229</v>
      </c>
      <c r="D56" s="1"/>
      <c r="E56" s="1"/>
      <c r="F56" s="1"/>
    </row>
    <row r="57" spans="1:8">
      <c r="A57" s="250">
        <v>44183</v>
      </c>
      <c r="B57" s="2" t="s">
        <v>251</v>
      </c>
      <c r="C57" s="2" t="s">
        <v>250</v>
      </c>
      <c r="E57" s="2"/>
      <c r="F57" s="2"/>
      <c r="G57" s="256">
        <f>SUM(D2:D56)</f>
        <v>18</v>
      </c>
    </row>
    <row r="58" spans="1:8">
      <c r="A58" s="251">
        <v>44207</v>
      </c>
      <c r="B58" s="1" t="s">
        <v>251</v>
      </c>
      <c r="C58" s="1" t="s">
        <v>138</v>
      </c>
      <c r="D58" s="8">
        <v>1</v>
      </c>
      <c r="E58" s="1">
        <v>1</v>
      </c>
      <c r="F58" s="1">
        <v>6</v>
      </c>
      <c r="G58" s="246"/>
    </row>
    <row r="59" spans="1:8" hidden="1">
      <c r="A59" s="250">
        <v>44208</v>
      </c>
      <c r="B59" s="2" t="s">
        <v>251</v>
      </c>
      <c r="C59" s="2" t="s">
        <v>241</v>
      </c>
      <c r="E59" s="2">
        <v>1</v>
      </c>
      <c r="F59" s="2">
        <v>6</v>
      </c>
      <c r="G59" s="247"/>
    </row>
    <row r="60" spans="1:8">
      <c r="A60" s="251">
        <v>44209</v>
      </c>
      <c r="B60" s="1" t="s">
        <v>251</v>
      </c>
      <c r="C60" s="1" t="s">
        <v>140</v>
      </c>
      <c r="D60" s="8">
        <v>1</v>
      </c>
      <c r="E60" s="1"/>
      <c r="F60" s="1"/>
      <c r="G60" s="286">
        <f>SUM(D2:D60)</f>
        <v>20</v>
      </c>
    </row>
    <row r="61" spans="1:8">
      <c r="A61" s="250">
        <v>44209</v>
      </c>
      <c r="B61" s="2" t="s">
        <v>251</v>
      </c>
      <c r="C61" s="2" t="s">
        <v>250</v>
      </c>
      <c r="E61" s="2"/>
      <c r="F61" s="2"/>
      <c r="H61" s="247" t="s">
        <v>260</v>
      </c>
    </row>
    <row r="62" spans="1:8">
      <c r="A62" s="251">
        <v>44212</v>
      </c>
      <c r="B62" s="1" t="s">
        <v>251</v>
      </c>
      <c r="C62" s="1" t="s">
        <v>138</v>
      </c>
      <c r="E62" s="1">
        <v>1</v>
      </c>
      <c r="F62" s="1">
        <v>6</v>
      </c>
      <c r="G62" s="246"/>
    </row>
    <row r="63" spans="1:8">
      <c r="A63" s="250">
        <v>44214</v>
      </c>
      <c r="B63" s="2" t="s">
        <v>251</v>
      </c>
      <c r="C63" s="2" t="s">
        <v>140</v>
      </c>
      <c r="E63" s="2">
        <v>1</v>
      </c>
      <c r="F63" s="2">
        <v>6</v>
      </c>
      <c r="G63" s="247"/>
    </row>
    <row r="64" spans="1:8" hidden="1">
      <c r="A64" s="251">
        <v>44216</v>
      </c>
      <c r="B64" s="1" t="s">
        <v>251</v>
      </c>
      <c r="C64" s="1" t="s">
        <v>241</v>
      </c>
      <c r="E64" s="1">
        <v>1</v>
      </c>
      <c r="F64" s="1">
        <v>6</v>
      </c>
      <c r="G64" s="246"/>
    </row>
    <row r="65" spans="1:7">
      <c r="A65" s="250">
        <v>44217</v>
      </c>
      <c r="B65" s="2" t="s">
        <v>251</v>
      </c>
      <c r="C65" s="2" t="s">
        <v>140</v>
      </c>
      <c r="E65" s="2"/>
      <c r="F65" s="2"/>
      <c r="G65" s="247"/>
    </row>
  </sheetData>
  <autoFilter ref="A1:G65" xr:uid="{9CD8FD80-2B94-4903-9049-68BB3AD6CCB1}">
    <filterColumn colId="2">
      <filters>
        <filter val="Extract DNA"/>
        <filter val="Passage"/>
        <filter val="Send out for analysis"/>
        <filter val="Thaw"/>
      </filters>
    </filterColumn>
  </autoFilter>
  <pageMargins left="0.7" right="0.7" top="0.75" bottom="0.75" header="0.3" footer="0.3"/>
  <pageSetup orientation="portrait"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645B1-896F-4B17-B941-A0AB1BEF5261}">
  <sheetPr codeName="Sheet12" filterMode="1"/>
  <dimension ref="A1:G74"/>
  <sheetViews>
    <sheetView workbookViewId="0">
      <selection activeCell="E86" sqref="D86:E86"/>
    </sheetView>
  </sheetViews>
  <sheetFormatPr defaultRowHeight="14.25"/>
  <cols>
    <col min="1" max="1" width="17" customWidth="1"/>
    <col min="2" max="2" width="31.53125" customWidth="1"/>
    <col min="4" max="4" width="11.53125" style="8" customWidth="1"/>
    <col min="5" max="5" width="5.46484375" customWidth="1"/>
  </cols>
  <sheetData>
    <row r="1" spans="1:7">
      <c r="A1" s="248" t="s">
        <v>153</v>
      </c>
      <c r="B1" s="249" t="s">
        <v>152</v>
      </c>
      <c r="C1" s="249" t="s">
        <v>143</v>
      </c>
      <c r="D1" s="249" t="s">
        <v>257</v>
      </c>
      <c r="E1" s="249" t="s">
        <v>142</v>
      </c>
      <c r="F1" s="249" t="s">
        <v>150</v>
      </c>
      <c r="G1" s="255" t="s">
        <v>258</v>
      </c>
    </row>
    <row r="2" spans="1:7">
      <c r="A2" s="250">
        <v>43890</v>
      </c>
      <c r="B2" s="2" t="s">
        <v>233</v>
      </c>
      <c r="C2" s="2" t="s">
        <v>140</v>
      </c>
      <c r="D2" s="2">
        <f>COUNTA(C2)</f>
        <v>1</v>
      </c>
      <c r="E2" s="2">
        <v>1</v>
      </c>
      <c r="F2" s="2">
        <v>24</v>
      </c>
    </row>
    <row r="3" spans="1:7" hidden="1">
      <c r="A3" s="251">
        <v>43891</v>
      </c>
      <c r="B3" s="1" t="s">
        <v>233</v>
      </c>
      <c r="C3" s="1" t="s">
        <v>145</v>
      </c>
      <c r="D3" s="1"/>
      <c r="E3" s="1">
        <v>1</v>
      </c>
      <c r="F3" s="1">
        <v>24</v>
      </c>
    </row>
    <row r="4" spans="1:7" hidden="1">
      <c r="A4" s="250">
        <v>43893</v>
      </c>
      <c r="B4" s="2" t="s">
        <v>233</v>
      </c>
      <c r="C4" s="2" t="s">
        <v>139</v>
      </c>
      <c r="D4" s="2"/>
      <c r="E4" s="2">
        <v>1</v>
      </c>
      <c r="F4" s="2">
        <v>24</v>
      </c>
    </row>
    <row r="5" spans="1:7">
      <c r="A5" s="251">
        <v>43893</v>
      </c>
      <c r="B5" s="1" t="s">
        <v>233</v>
      </c>
      <c r="C5" s="1" t="s">
        <v>140</v>
      </c>
      <c r="D5" s="2">
        <f>COUNTA(C5)</f>
        <v>1</v>
      </c>
      <c r="E5" s="1">
        <v>1</v>
      </c>
      <c r="F5" s="1">
        <v>6</v>
      </c>
    </row>
    <row r="6" spans="1:7" hidden="1">
      <c r="A6" s="250">
        <v>43894</v>
      </c>
      <c r="B6" s="2" t="s">
        <v>233</v>
      </c>
      <c r="C6" s="2" t="s">
        <v>145</v>
      </c>
      <c r="D6" s="2"/>
      <c r="E6" s="2">
        <v>1</v>
      </c>
      <c r="F6" s="2">
        <v>6</v>
      </c>
    </row>
    <row r="7" spans="1:7">
      <c r="A7" s="251">
        <v>43897</v>
      </c>
      <c r="B7" s="1" t="s">
        <v>233</v>
      </c>
      <c r="C7" s="1" t="s">
        <v>140</v>
      </c>
      <c r="D7" s="2">
        <f>COUNTA(C7)</f>
        <v>1</v>
      </c>
      <c r="E7" s="1">
        <v>5</v>
      </c>
      <c r="F7" s="1">
        <v>6</v>
      </c>
    </row>
    <row r="8" spans="1:7" hidden="1">
      <c r="A8" s="250">
        <v>43900</v>
      </c>
      <c r="B8" s="2" t="s">
        <v>233</v>
      </c>
      <c r="C8" s="2" t="s">
        <v>146</v>
      </c>
      <c r="D8" s="2"/>
      <c r="E8" s="2">
        <v>1</v>
      </c>
      <c r="F8" s="2">
        <v>96</v>
      </c>
    </row>
    <row r="9" spans="1:7" hidden="1">
      <c r="A9" s="251">
        <v>43900</v>
      </c>
      <c r="B9" s="1" t="s">
        <v>233</v>
      </c>
      <c r="C9" s="1" t="s">
        <v>144</v>
      </c>
      <c r="D9" s="1"/>
      <c r="E9" s="1"/>
      <c r="F9" s="1"/>
    </row>
    <row r="10" spans="1:7" hidden="1">
      <c r="A10" s="250">
        <v>43901</v>
      </c>
      <c r="B10" s="2" t="s">
        <v>233</v>
      </c>
      <c r="C10" s="2" t="s">
        <v>145</v>
      </c>
      <c r="D10" s="2"/>
      <c r="E10" s="2">
        <v>1</v>
      </c>
      <c r="F10" s="2">
        <v>96</v>
      </c>
    </row>
    <row r="11" spans="1:7" hidden="1">
      <c r="A11" s="251">
        <v>43901</v>
      </c>
      <c r="B11" s="1" t="s">
        <v>234</v>
      </c>
      <c r="C11" s="1" t="s">
        <v>139</v>
      </c>
      <c r="D11" s="1"/>
      <c r="E11" s="1"/>
      <c r="F11" s="1"/>
    </row>
    <row r="12" spans="1:7" hidden="1">
      <c r="A12" s="250">
        <v>43903</v>
      </c>
      <c r="B12" s="2" t="s">
        <v>234</v>
      </c>
      <c r="C12" s="2" t="s">
        <v>139</v>
      </c>
      <c r="D12" s="2"/>
      <c r="E12" s="2">
        <v>1</v>
      </c>
      <c r="F12" s="2">
        <v>96</v>
      </c>
    </row>
    <row r="13" spans="1:7" hidden="1">
      <c r="A13" s="251">
        <v>43907</v>
      </c>
      <c r="B13" s="1" t="s">
        <v>234</v>
      </c>
      <c r="C13" s="1" t="s">
        <v>139</v>
      </c>
      <c r="D13" s="1"/>
      <c r="E13" s="1">
        <v>1</v>
      </c>
      <c r="F13" s="1">
        <v>96</v>
      </c>
    </row>
    <row r="14" spans="1:7">
      <c r="A14" s="250">
        <v>43908</v>
      </c>
      <c r="B14" s="2" t="s">
        <v>234</v>
      </c>
      <c r="C14" s="2" t="s">
        <v>140</v>
      </c>
      <c r="D14" s="2">
        <f>COUNTA(C14)</f>
        <v>1</v>
      </c>
      <c r="E14" s="2">
        <v>1</v>
      </c>
      <c r="F14" s="2">
        <v>24</v>
      </c>
    </row>
    <row r="15" spans="1:7" hidden="1">
      <c r="A15" s="251">
        <v>43909</v>
      </c>
      <c r="B15" s="1" t="s">
        <v>234</v>
      </c>
      <c r="C15" s="1" t="s">
        <v>145</v>
      </c>
      <c r="D15" s="1"/>
      <c r="E15" s="1">
        <v>1</v>
      </c>
      <c r="F15" s="1">
        <v>24</v>
      </c>
    </row>
    <row r="16" spans="1:7">
      <c r="A16" s="250">
        <v>43912</v>
      </c>
      <c r="B16" s="2" t="s">
        <v>234</v>
      </c>
      <c r="C16" s="2" t="s">
        <v>140</v>
      </c>
      <c r="D16" s="2">
        <f>COUNTA(C16)</f>
        <v>1</v>
      </c>
      <c r="E16" s="2">
        <v>1</v>
      </c>
      <c r="F16" s="2">
        <v>6</v>
      </c>
    </row>
    <row r="17" spans="1:6" hidden="1">
      <c r="A17" s="251">
        <v>43913</v>
      </c>
      <c r="B17" s="1" t="s">
        <v>234</v>
      </c>
      <c r="C17" s="1" t="s">
        <v>145</v>
      </c>
      <c r="D17" s="1"/>
      <c r="E17" s="1">
        <v>1</v>
      </c>
      <c r="F17" s="1">
        <v>6</v>
      </c>
    </row>
    <row r="18" spans="1:6">
      <c r="A18" s="250">
        <v>43914</v>
      </c>
      <c r="B18" s="2" t="s">
        <v>234</v>
      </c>
      <c r="C18" s="2" t="s">
        <v>140</v>
      </c>
      <c r="D18" s="2">
        <f>COUNTA(C18)</f>
        <v>1</v>
      </c>
      <c r="E18" s="2">
        <v>5</v>
      </c>
      <c r="F18" s="2">
        <v>6</v>
      </c>
    </row>
    <row r="19" spans="1:6" hidden="1">
      <c r="A19" s="251">
        <v>43915</v>
      </c>
      <c r="B19" s="1" t="s">
        <v>234</v>
      </c>
      <c r="C19" s="1" t="s">
        <v>145</v>
      </c>
      <c r="D19" s="1"/>
      <c r="E19" s="1">
        <v>5</v>
      </c>
      <c r="F19" s="1">
        <v>6</v>
      </c>
    </row>
    <row r="20" spans="1:6">
      <c r="A20" s="250">
        <v>44104</v>
      </c>
      <c r="B20" s="2" t="s">
        <v>234</v>
      </c>
      <c r="C20" s="2" t="s">
        <v>138</v>
      </c>
      <c r="D20" s="2">
        <f>COUNTA(C20)</f>
        <v>1</v>
      </c>
      <c r="E20" s="2">
        <v>1</v>
      </c>
      <c r="F20" s="2">
        <v>6</v>
      </c>
    </row>
    <row r="21" spans="1:6" hidden="1">
      <c r="A21" s="251">
        <v>44105</v>
      </c>
      <c r="B21" s="1" t="s">
        <v>234</v>
      </c>
      <c r="C21" s="1" t="s">
        <v>241</v>
      </c>
      <c r="D21" s="1"/>
      <c r="E21" s="1">
        <v>1</v>
      </c>
      <c r="F21" s="1">
        <v>6</v>
      </c>
    </row>
    <row r="22" spans="1:6">
      <c r="A22" s="250">
        <v>44106</v>
      </c>
      <c r="B22" s="2" t="s">
        <v>234</v>
      </c>
      <c r="C22" s="2" t="s">
        <v>140</v>
      </c>
      <c r="D22" s="2">
        <f>COUNTA(C22)</f>
        <v>1</v>
      </c>
      <c r="E22" s="2">
        <v>5</v>
      </c>
      <c r="F22" s="2">
        <v>6</v>
      </c>
    </row>
    <row r="23" spans="1:6" hidden="1">
      <c r="A23" s="251">
        <v>44107</v>
      </c>
      <c r="B23" s="1" t="s">
        <v>234</v>
      </c>
      <c r="C23" s="1" t="s">
        <v>241</v>
      </c>
      <c r="D23" s="1"/>
      <c r="E23" s="1">
        <v>5</v>
      </c>
      <c r="F23" s="1">
        <v>6</v>
      </c>
    </row>
    <row r="24" spans="1:6" hidden="1">
      <c r="A24" s="250">
        <v>44109</v>
      </c>
      <c r="B24" s="2" t="s">
        <v>234</v>
      </c>
      <c r="C24" s="2" t="s">
        <v>241</v>
      </c>
      <c r="D24" s="2"/>
      <c r="E24" s="2">
        <v>5</v>
      </c>
      <c r="F24" s="2">
        <v>6</v>
      </c>
    </row>
    <row r="25" spans="1:6" hidden="1">
      <c r="A25" s="251">
        <v>44110</v>
      </c>
      <c r="B25" s="1" t="s">
        <v>234</v>
      </c>
      <c r="C25" s="1" t="s">
        <v>241</v>
      </c>
      <c r="D25" s="1"/>
      <c r="E25" s="1">
        <v>5</v>
      </c>
      <c r="F25" s="1">
        <v>6</v>
      </c>
    </row>
    <row r="26" spans="1:6" hidden="1">
      <c r="A26" s="250">
        <v>44111</v>
      </c>
      <c r="B26" s="2" t="s">
        <v>234</v>
      </c>
      <c r="C26" s="2" t="s">
        <v>146</v>
      </c>
      <c r="D26" s="2"/>
      <c r="E26" s="2">
        <v>1</v>
      </c>
      <c r="F26" s="2">
        <v>96</v>
      </c>
    </row>
    <row r="27" spans="1:6" hidden="1">
      <c r="A27" s="251">
        <v>44111</v>
      </c>
      <c r="B27" s="1" t="s">
        <v>234</v>
      </c>
      <c r="C27" s="1" t="s">
        <v>144</v>
      </c>
      <c r="D27" s="1"/>
      <c r="E27" s="1"/>
      <c r="F27" s="1"/>
    </row>
    <row r="28" spans="1:6" hidden="1">
      <c r="A28" s="250">
        <v>44112</v>
      </c>
      <c r="B28" s="2" t="s">
        <v>244</v>
      </c>
      <c r="C28" s="2" t="s">
        <v>139</v>
      </c>
      <c r="D28" s="2"/>
      <c r="E28" s="2">
        <v>1</v>
      </c>
      <c r="F28" s="2">
        <v>96</v>
      </c>
    </row>
    <row r="29" spans="1:6" hidden="1">
      <c r="A29" s="251">
        <v>44112</v>
      </c>
      <c r="B29" s="1" t="s">
        <v>244</v>
      </c>
      <c r="C29" s="1" t="s">
        <v>240</v>
      </c>
      <c r="D29" s="1"/>
      <c r="E29" s="1">
        <v>1</v>
      </c>
      <c r="F29" s="1">
        <v>96</v>
      </c>
    </row>
    <row r="30" spans="1:6" hidden="1">
      <c r="A30" s="250">
        <v>44113</v>
      </c>
      <c r="B30" s="2" t="s">
        <v>244</v>
      </c>
      <c r="C30" s="2" t="s">
        <v>240</v>
      </c>
      <c r="D30" s="2"/>
      <c r="E30" s="2">
        <v>1</v>
      </c>
      <c r="F30" s="2">
        <v>96</v>
      </c>
    </row>
    <row r="31" spans="1:6">
      <c r="A31" s="251">
        <v>44116</v>
      </c>
      <c r="B31" s="1" t="s">
        <v>244</v>
      </c>
      <c r="C31" s="1" t="s">
        <v>140</v>
      </c>
      <c r="D31" s="2">
        <f>COUNTA(C31)</f>
        <v>1</v>
      </c>
      <c r="E31" s="1">
        <v>1</v>
      </c>
      <c r="F31" s="1">
        <v>12</v>
      </c>
    </row>
    <row r="32" spans="1:6" hidden="1">
      <c r="A32" s="250">
        <v>44117</v>
      </c>
      <c r="B32" s="2" t="s">
        <v>244</v>
      </c>
      <c r="C32" s="2" t="s">
        <v>241</v>
      </c>
      <c r="D32" s="2"/>
      <c r="E32" s="2">
        <v>1</v>
      </c>
      <c r="F32" s="2">
        <v>12</v>
      </c>
    </row>
    <row r="33" spans="1:6" hidden="1">
      <c r="A33" s="251">
        <v>44118</v>
      </c>
      <c r="B33" s="1" t="s">
        <v>244</v>
      </c>
      <c r="C33" s="1" t="s">
        <v>139</v>
      </c>
      <c r="D33" s="1"/>
      <c r="E33" s="1">
        <v>1</v>
      </c>
      <c r="F33" s="1">
        <v>12</v>
      </c>
    </row>
    <row r="34" spans="1:6" hidden="1">
      <c r="A34" s="250">
        <v>44118</v>
      </c>
      <c r="B34" s="2" t="s">
        <v>244</v>
      </c>
      <c r="C34" s="2" t="s">
        <v>241</v>
      </c>
      <c r="D34" s="2"/>
      <c r="E34" s="2">
        <v>1</v>
      </c>
      <c r="F34" s="2">
        <v>12</v>
      </c>
    </row>
    <row r="35" spans="1:6">
      <c r="A35" s="251">
        <v>44119</v>
      </c>
      <c r="B35" s="1" t="s">
        <v>244</v>
      </c>
      <c r="C35" s="1" t="s">
        <v>140</v>
      </c>
      <c r="D35" s="2">
        <f>COUNTA(C35)</f>
        <v>1</v>
      </c>
      <c r="E35" s="1">
        <v>1</v>
      </c>
      <c r="F35" s="1">
        <v>6</v>
      </c>
    </row>
    <row r="36" spans="1:6" hidden="1">
      <c r="A36" s="250">
        <v>44120</v>
      </c>
      <c r="B36" s="2" t="s">
        <v>244</v>
      </c>
      <c r="C36" s="2" t="s">
        <v>240</v>
      </c>
      <c r="D36" s="2"/>
      <c r="E36" s="2">
        <v>1</v>
      </c>
      <c r="F36" s="2">
        <v>6</v>
      </c>
    </row>
    <row r="37" spans="1:6">
      <c r="A37" s="251">
        <v>44121</v>
      </c>
      <c r="B37" s="1" t="s">
        <v>244</v>
      </c>
      <c r="C37" s="1" t="s">
        <v>140</v>
      </c>
      <c r="D37" s="2">
        <f>COUNTA(C37)</f>
        <v>1</v>
      </c>
      <c r="E37" s="1">
        <v>5</v>
      </c>
      <c r="F37" s="1">
        <v>6</v>
      </c>
    </row>
    <row r="38" spans="1:6" hidden="1">
      <c r="A38" s="250">
        <v>44123</v>
      </c>
      <c r="B38" s="2" t="s">
        <v>244</v>
      </c>
      <c r="C38" s="2" t="s">
        <v>241</v>
      </c>
      <c r="D38" s="2"/>
      <c r="E38" s="2">
        <v>5</v>
      </c>
      <c r="F38" s="2">
        <v>6</v>
      </c>
    </row>
    <row r="39" spans="1:6" hidden="1">
      <c r="A39" s="251">
        <v>44124</v>
      </c>
      <c r="B39" s="1" t="s">
        <v>244</v>
      </c>
      <c r="C39" s="1" t="s">
        <v>241</v>
      </c>
      <c r="D39" s="1"/>
      <c r="E39" s="1">
        <v>5</v>
      </c>
      <c r="F39" s="1">
        <v>6</v>
      </c>
    </row>
    <row r="40" spans="1:6" hidden="1">
      <c r="A40" s="250">
        <v>44125</v>
      </c>
      <c r="B40" s="2" t="s">
        <v>244</v>
      </c>
      <c r="C40" s="2" t="s">
        <v>146</v>
      </c>
      <c r="D40" s="2"/>
      <c r="E40" s="2">
        <v>1</v>
      </c>
      <c r="F40" s="2">
        <v>12</v>
      </c>
    </row>
    <row r="41" spans="1:6" hidden="1">
      <c r="A41" s="251">
        <v>44126</v>
      </c>
      <c r="B41" s="1" t="s">
        <v>244</v>
      </c>
      <c r="C41" s="1" t="s">
        <v>144</v>
      </c>
      <c r="D41" s="1"/>
      <c r="E41" s="1">
        <v>4</v>
      </c>
      <c r="F41" s="1">
        <v>6</v>
      </c>
    </row>
    <row r="42" spans="1:6" hidden="1">
      <c r="A42" s="250">
        <v>44126</v>
      </c>
      <c r="B42" s="2" t="s">
        <v>247</v>
      </c>
      <c r="C42" s="2" t="s">
        <v>240</v>
      </c>
      <c r="D42" s="2"/>
      <c r="E42" s="2">
        <v>1</v>
      </c>
      <c r="F42" s="2">
        <v>12</v>
      </c>
    </row>
    <row r="43" spans="1:6" hidden="1">
      <c r="A43" s="251">
        <v>44127</v>
      </c>
      <c r="B43" s="1" t="s">
        <v>247</v>
      </c>
      <c r="C43" s="1" t="s">
        <v>240</v>
      </c>
      <c r="D43" s="1"/>
      <c r="E43" s="1">
        <v>1</v>
      </c>
      <c r="F43" s="1">
        <v>12</v>
      </c>
    </row>
    <row r="44" spans="1:6" hidden="1">
      <c r="A44" s="250">
        <v>44129</v>
      </c>
      <c r="B44" s="2" t="s">
        <v>247</v>
      </c>
      <c r="C44" s="2" t="s">
        <v>240</v>
      </c>
      <c r="D44" s="2"/>
      <c r="E44" s="2">
        <v>1</v>
      </c>
      <c r="F44" s="2">
        <v>12</v>
      </c>
    </row>
    <row r="45" spans="1:6" hidden="1">
      <c r="A45" s="251">
        <v>44131</v>
      </c>
      <c r="B45" s="1" t="s">
        <v>247</v>
      </c>
      <c r="C45" s="1" t="s">
        <v>241</v>
      </c>
      <c r="D45" s="1"/>
      <c r="E45" s="1">
        <v>1</v>
      </c>
      <c r="F45" s="1">
        <v>12</v>
      </c>
    </row>
    <row r="46" spans="1:6" hidden="1">
      <c r="A46" s="250">
        <v>44132</v>
      </c>
      <c r="B46" s="2" t="s">
        <v>247</v>
      </c>
      <c r="C46" s="2" t="s">
        <v>241</v>
      </c>
      <c r="D46" s="2"/>
      <c r="E46" s="2">
        <v>1</v>
      </c>
      <c r="F46" s="2">
        <v>12</v>
      </c>
    </row>
    <row r="47" spans="1:6" hidden="1">
      <c r="A47" s="251">
        <v>44133</v>
      </c>
      <c r="B47" s="1" t="s">
        <v>247</v>
      </c>
      <c r="C47" s="1" t="s">
        <v>241</v>
      </c>
      <c r="D47" s="1"/>
      <c r="E47" s="1">
        <v>1</v>
      </c>
      <c r="F47" s="1">
        <v>12</v>
      </c>
    </row>
    <row r="48" spans="1:6" hidden="1">
      <c r="A48" s="250">
        <v>44134</v>
      </c>
      <c r="B48" s="2" t="s">
        <v>247</v>
      </c>
      <c r="C48" s="2" t="s">
        <v>241</v>
      </c>
      <c r="D48" s="2"/>
      <c r="E48" s="2">
        <v>1</v>
      </c>
      <c r="F48" s="2">
        <v>12</v>
      </c>
    </row>
    <row r="49" spans="1:6">
      <c r="A49" s="251">
        <v>44135</v>
      </c>
      <c r="B49" s="1" t="s">
        <v>247</v>
      </c>
      <c r="C49" s="1" t="s">
        <v>140</v>
      </c>
      <c r="D49" s="2">
        <f>COUNTA(C49)</f>
        <v>1</v>
      </c>
      <c r="E49" s="1">
        <v>1</v>
      </c>
      <c r="F49" s="1">
        <v>6</v>
      </c>
    </row>
    <row r="50" spans="1:6" hidden="1">
      <c r="A50" s="250">
        <v>44137</v>
      </c>
      <c r="B50" s="2" t="s">
        <v>247</v>
      </c>
      <c r="C50" s="2" t="s">
        <v>241</v>
      </c>
      <c r="D50" s="2"/>
      <c r="E50" s="2">
        <v>1</v>
      </c>
      <c r="F50" s="2">
        <v>6</v>
      </c>
    </row>
    <row r="51" spans="1:6" hidden="1">
      <c r="A51" s="251">
        <v>44138</v>
      </c>
      <c r="B51" s="1" t="s">
        <v>247</v>
      </c>
      <c r="C51" s="1" t="s">
        <v>146</v>
      </c>
      <c r="D51" s="1"/>
      <c r="E51" s="1">
        <v>1</v>
      </c>
      <c r="F51" s="1">
        <v>12</v>
      </c>
    </row>
    <row r="52" spans="1:6" hidden="1">
      <c r="A52" s="250">
        <v>44139</v>
      </c>
      <c r="B52" s="2" t="s">
        <v>247</v>
      </c>
      <c r="C52" s="2" t="s">
        <v>241</v>
      </c>
      <c r="D52" s="2"/>
      <c r="E52" s="2">
        <v>1</v>
      </c>
      <c r="F52" s="2">
        <v>6</v>
      </c>
    </row>
    <row r="53" spans="1:6" hidden="1">
      <c r="A53" s="251">
        <v>44140</v>
      </c>
      <c r="B53" s="1" t="s">
        <v>247</v>
      </c>
      <c r="C53" s="1" t="s">
        <v>240</v>
      </c>
      <c r="D53" s="1"/>
      <c r="E53" s="1">
        <v>1</v>
      </c>
      <c r="F53" s="1">
        <v>6</v>
      </c>
    </row>
    <row r="54" spans="1:6" hidden="1">
      <c r="A54" s="250">
        <v>44141</v>
      </c>
      <c r="B54" s="2" t="s">
        <v>247</v>
      </c>
      <c r="C54" s="2" t="s">
        <v>241</v>
      </c>
      <c r="D54" s="2"/>
      <c r="E54" s="2">
        <v>1</v>
      </c>
      <c r="F54" s="2">
        <v>6</v>
      </c>
    </row>
    <row r="55" spans="1:6" hidden="1">
      <c r="A55" s="251">
        <v>44142</v>
      </c>
      <c r="B55" s="1" t="s">
        <v>247</v>
      </c>
      <c r="C55" s="1" t="s">
        <v>241</v>
      </c>
      <c r="D55" s="1"/>
      <c r="E55" s="1"/>
      <c r="F55" s="1"/>
    </row>
    <row r="56" spans="1:6" hidden="1">
      <c r="A56" s="250">
        <v>44144</v>
      </c>
      <c r="B56" s="2" t="s">
        <v>247</v>
      </c>
      <c r="C56" s="2" t="s">
        <v>145</v>
      </c>
      <c r="D56" s="2"/>
      <c r="E56" s="2">
        <v>1</v>
      </c>
      <c r="F56" s="2">
        <v>6</v>
      </c>
    </row>
    <row r="57" spans="1:6" hidden="1">
      <c r="A57" s="251">
        <v>44145</v>
      </c>
      <c r="B57" s="1" t="s">
        <v>247</v>
      </c>
      <c r="C57" s="1"/>
      <c r="D57" s="1"/>
      <c r="E57" s="1"/>
      <c r="F57" s="1"/>
    </row>
    <row r="58" spans="1:6" hidden="1">
      <c r="A58" s="250">
        <v>44139</v>
      </c>
      <c r="B58" s="2" t="s">
        <v>248</v>
      </c>
      <c r="C58" s="2" t="s">
        <v>240</v>
      </c>
      <c r="D58" s="2"/>
      <c r="E58" s="2">
        <v>1</v>
      </c>
      <c r="F58" s="2">
        <v>12</v>
      </c>
    </row>
    <row r="59" spans="1:6" hidden="1">
      <c r="A59" s="251">
        <v>44140</v>
      </c>
      <c r="B59" s="1" t="s">
        <v>248</v>
      </c>
      <c r="C59" s="1" t="s">
        <v>240</v>
      </c>
      <c r="D59" s="1"/>
      <c r="E59" s="1">
        <v>1</v>
      </c>
      <c r="F59" s="1">
        <v>12</v>
      </c>
    </row>
    <row r="60" spans="1:6" hidden="1">
      <c r="A60" s="250">
        <v>44141</v>
      </c>
      <c r="B60" s="2" t="s">
        <v>248</v>
      </c>
      <c r="C60" s="2" t="s">
        <v>241</v>
      </c>
      <c r="D60" s="2"/>
      <c r="E60" s="2">
        <v>1</v>
      </c>
      <c r="F60" s="2">
        <v>12</v>
      </c>
    </row>
    <row r="61" spans="1:6" hidden="1">
      <c r="A61" s="251">
        <v>44142</v>
      </c>
      <c r="B61" s="1" t="s">
        <v>248</v>
      </c>
      <c r="C61" s="1" t="s">
        <v>241</v>
      </c>
      <c r="D61" s="1"/>
      <c r="E61" s="1"/>
      <c r="F61" s="1"/>
    </row>
    <row r="62" spans="1:6" hidden="1">
      <c r="A62" s="250">
        <v>44144</v>
      </c>
      <c r="B62" s="2" t="s">
        <v>248</v>
      </c>
      <c r="C62" s="2" t="s">
        <v>241</v>
      </c>
      <c r="D62" s="2"/>
      <c r="E62" s="2">
        <v>1</v>
      </c>
      <c r="F62" s="2">
        <v>12</v>
      </c>
    </row>
    <row r="63" spans="1:6" hidden="1">
      <c r="A63" s="251">
        <v>44145</v>
      </c>
      <c r="B63" s="1" t="s">
        <v>248</v>
      </c>
      <c r="C63" s="1" t="s">
        <v>241</v>
      </c>
      <c r="D63" s="1"/>
      <c r="E63" s="1">
        <v>1</v>
      </c>
      <c r="F63" s="1">
        <v>12</v>
      </c>
    </row>
    <row r="64" spans="1:6">
      <c r="A64" s="250">
        <v>44147</v>
      </c>
      <c r="B64" s="2" t="s">
        <v>248</v>
      </c>
      <c r="C64" s="2" t="s">
        <v>140</v>
      </c>
      <c r="D64" s="2">
        <f>COUNTA(C64)</f>
        <v>1</v>
      </c>
      <c r="E64" s="2">
        <v>1</v>
      </c>
      <c r="F64" s="2">
        <v>6</v>
      </c>
    </row>
    <row r="65" spans="1:7" hidden="1">
      <c r="A65" s="251">
        <v>44148</v>
      </c>
      <c r="B65" s="1" t="s">
        <v>248</v>
      </c>
      <c r="C65" s="1" t="s">
        <v>241</v>
      </c>
      <c r="D65" s="1"/>
      <c r="E65" s="1">
        <v>1</v>
      </c>
      <c r="F65" s="1">
        <v>6</v>
      </c>
    </row>
    <row r="66" spans="1:7">
      <c r="A66" s="250">
        <v>44149</v>
      </c>
      <c r="B66" s="2" t="s">
        <v>248</v>
      </c>
      <c r="C66" s="2" t="s">
        <v>140</v>
      </c>
      <c r="D66" s="2">
        <f>COUNTA(C66)</f>
        <v>1</v>
      </c>
      <c r="E66" s="2">
        <v>5</v>
      </c>
      <c r="F66" s="2">
        <v>6</v>
      </c>
    </row>
    <row r="67" spans="1:7" hidden="1">
      <c r="A67" s="251">
        <v>44151</v>
      </c>
      <c r="B67" s="1" t="s">
        <v>248</v>
      </c>
      <c r="C67" s="1" t="s">
        <v>241</v>
      </c>
      <c r="D67" s="1"/>
      <c r="E67" s="1">
        <v>5</v>
      </c>
      <c r="F67" s="1">
        <v>6</v>
      </c>
    </row>
    <row r="68" spans="1:7" hidden="1">
      <c r="A68" s="250">
        <v>44153</v>
      </c>
      <c r="B68" s="2" t="s">
        <v>248</v>
      </c>
      <c r="C68" s="2" t="s">
        <v>241</v>
      </c>
      <c r="D68" s="2"/>
      <c r="E68" s="2">
        <v>5</v>
      </c>
      <c r="F68" s="2">
        <v>6</v>
      </c>
    </row>
    <row r="69" spans="1:7">
      <c r="A69" s="251">
        <v>44154</v>
      </c>
      <c r="B69" s="1" t="s">
        <v>248</v>
      </c>
      <c r="C69" s="1" t="s">
        <v>140</v>
      </c>
      <c r="D69" s="2">
        <f>COUNTA(C69)</f>
        <v>1</v>
      </c>
      <c r="E69" s="1">
        <v>5</v>
      </c>
      <c r="F69" s="1">
        <v>10</v>
      </c>
    </row>
    <row r="70" spans="1:7" hidden="1">
      <c r="A70" s="250">
        <v>44155</v>
      </c>
      <c r="B70" s="2" t="s">
        <v>248</v>
      </c>
      <c r="C70" s="2" t="s">
        <v>241</v>
      </c>
      <c r="D70" s="2"/>
      <c r="E70" s="2">
        <v>5</v>
      </c>
      <c r="F70" s="2">
        <v>10</v>
      </c>
    </row>
    <row r="71" spans="1:7" hidden="1">
      <c r="A71" s="251">
        <v>44157</v>
      </c>
      <c r="B71" s="1" t="s">
        <v>248</v>
      </c>
      <c r="C71" s="1" t="s">
        <v>241</v>
      </c>
      <c r="D71" s="1"/>
      <c r="E71" s="1">
        <v>5</v>
      </c>
      <c r="F71" s="1">
        <v>10</v>
      </c>
    </row>
    <row r="72" spans="1:7" hidden="1">
      <c r="A72" s="250">
        <v>44159</v>
      </c>
      <c r="B72" s="2" t="s">
        <v>248</v>
      </c>
      <c r="C72" s="2" t="s">
        <v>144</v>
      </c>
      <c r="D72" s="2"/>
      <c r="E72" s="2">
        <v>40</v>
      </c>
      <c r="F72" s="2"/>
    </row>
    <row r="73" spans="1:7">
      <c r="A73" s="251">
        <v>44164</v>
      </c>
      <c r="B73" s="1" t="s">
        <v>248</v>
      </c>
      <c r="C73" s="1" t="s">
        <v>229</v>
      </c>
      <c r="E73" s="1">
        <v>1</v>
      </c>
      <c r="F73" s="1"/>
      <c r="G73" s="254">
        <f>SUBTOTAL(9,D2:D72)</f>
        <v>15</v>
      </c>
    </row>
    <row r="74" spans="1:7" hidden="1">
      <c r="A74" s="250">
        <v>44168</v>
      </c>
      <c r="B74" s="2" t="s">
        <v>248</v>
      </c>
      <c r="C74" s="2" t="s">
        <v>250</v>
      </c>
      <c r="D74" s="2"/>
      <c r="E74" s="2"/>
      <c r="F74" s="2"/>
    </row>
  </sheetData>
  <autoFilter ref="A1:G74" xr:uid="{E08B70AB-57DB-4543-B0D7-2211DAA48BA6}">
    <filterColumn colId="2">
      <filters>
        <filter val="Extract DNA"/>
        <filter val="Passage"/>
        <filter val="Thaw"/>
      </filters>
    </filterColumn>
  </autoFilter>
  <pageMargins left="0.7" right="0.7" top="0.75" bottom="0.75" header="0.3" footer="0.3"/>
  <pageSetup orientation="portrait"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AD50F-302D-42A5-8E44-C17506C310F6}">
  <sheetPr codeName="WSNotes"/>
  <dimension ref="A1:B246"/>
  <sheetViews>
    <sheetView showGridLines="0" workbookViewId="0">
      <pane ySplit="1" topLeftCell="A217" activePane="bottomLeft" state="frozen"/>
      <selection activeCell="P50" sqref="P50"/>
      <selection pane="bottomLeft" activeCell="E198" sqref="E198"/>
    </sheetView>
  </sheetViews>
  <sheetFormatPr defaultColWidth="9.19921875" defaultRowHeight="11.65"/>
  <cols>
    <col min="1" max="1" width="12.796875" style="33" customWidth="1"/>
    <col min="2" max="2" width="60.796875" style="12" customWidth="1"/>
    <col min="3" max="16384" width="9.19921875" style="12"/>
  </cols>
  <sheetData>
    <row r="1" spans="1:2" s="31" customFormat="1">
      <c r="A1" s="32" t="s">
        <v>153</v>
      </c>
      <c r="B1" s="31" t="s">
        <v>148</v>
      </c>
    </row>
    <row r="2" spans="1:2">
      <c r="A2" s="33">
        <v>43844</v>
      </c>
    </row>
    <row r="3" spans="1:2">
      <c r="A3" s="33">
        <v>43851</v>
      </c>
    </row>
    <row r="4" spans="1:2">
      <c r="A4" s="33">
        <v>43855</v>
      </c>
    </row>
    <row r="5" spans="1:2">
      <c r="A5" s="33">
        <v>43846</v>
      </c>
    </row>
    <row r="6" spans="1:2">
      <c r="A6" s="33">
        <v>43849</v>
      </c>
    </row>
    <row r="7" spans="1:2">
      <c r="A7" s="33">
        <v>43919</v>
      </c>
    </row>
    <row r="8" spans="1:2">
      <c r="A8" s="33">
        <v>43911</v>
      </c>
    </row>
    <row r="9" spans="1:2">
      <c r="A9" s="33">
        <v>43853</v>
      </c>
    </row>
    <row r="10" spans="1:2">
      <c r="A10" s="33">
        <v>43857</v>
      </c>
    </row>
    <row r="11" spans="1:2">
      <c r="A11" s="33">
        <v>43858</v>
      </c>
    </row>
    <row r="12" spans="1:2">
      <c r="A12" s="33">
        <v>43859</v>
      </c>
    </row>
    <row r="13" spans="1:2">
      <c r="A13" s="33">
        <v>43843</v>
      </c>
    </row>
    <row r="14" spans="1:2">
      <c r="A14" s="33">
        <v>43888</v>
      </c>
    </row>
    <row r="15" spans="1:2">
      <c r="A15" s="33">
        <v>43852</v>
      </c>
    </row>
    <row r="16" spans="1:2">
      <c r="A16" s="33">
        <v>43860</v>
      </c>
    </row>
    <row r="17" spans="1:1">
      <c r="A17" s="33">
        <v>43866</v>
      </c>
    </row>
    <row r="18" spans="1:1">
      <c r="A18" s="33">
        <v>43870</v>
      </c>
    </row>
    <row r="19" spans="1:1">
      <c r="A19" s="33">
        <v>43868</v>
      </c>
    </row>
    <row r="20" spans="1:1">
      <c r="A20" s="33">
        <v>43872</v>
      </c>
    </row>
    <row r="21" spans="1:1">
      <c r="A21" s="33">
        <v>43887</v>
      </c>
    </row>
    <row r="22" spans="1:1">
      <c r="A22" s="33">
        <v>43889</v>
      </c>
    </row>
    <row r="23" spans="1:1">
      <c r="A23" s="33">
        <v>43850</v>
      </c>
    </row>
    <row r="24" spans="1:1">
      <c r="A24" s="33">
        <v>43856</v>
      </c>
    </row>
    <row r="25" spans="1:1">
      <c r="A25" s="33">
        <v>43861</v>
      </c>
    </row>
    <row r="26" spans="1:1">
      <c r="A26" s="33">
        <v>43862</v>
      </c>
    </row>
    <row r="27" spans="1:1">
      <c r="A27" s="33">
        <v>43865</v>
      </c>
    </row>
    <row r="28" spans="1:1">
      <c r="A28" s="33">
        <v>43864</v>
      </c>
    </row>
    <row r="29" spans="1:1">
      <c r="A29" s="33">
        <v>43867</v>
      </c>
    </row>
    <row r="30" spans="1:1">
      <c r="A30" s="33">
        <v>43869</v>
      </c>
    </row>
    <row r="31" spans="1:1">
      <c r="A31" s="33">
        <v>43871</v>
      </c>
    </row>
    <row r="32" spans="1:1">
      <c r="A32" s="33">
        <v>43873</v>
      </c>
    </row>
    <row r="33" spans="1:1">
      <c r="A33" s="33">
        <v>43875</v>
      </c>
    </row>
    <row r="34" spans="1:1">
      <c r="A34" s="33">
        <v>43876</v>
      </c>
    </row>
    <row r="35" spans="1:1">
      <c r="A35" s="33">
        <v>43877</v>
      </c>
    </row>
    <row r="36" spans="1:1">
      <c r="A36" s="33">
        <v>43878</v>
      </c>
    </row>
    <row r="37" spans="1:1">
      <c r="A37" s="33">
        <v>43879</v>
      </c>
    </row>
    <row r="38" spans="1:1">
      <c r="A38" s="33">
        <v>43880</v>
      </c>
    </row>
    <row r="39" spans="1:1">
      <c r="A39" s="33">
        <v>43881</v>
      </c>
    </row>
    <row r="40" spans="1:1">
      <c r="A40" s="33">
        <v>43893</v>
      </c>
    </row>
    <row r="41" spans="1:1">
      <c r="A41" s="33">
        <v>43894</v>
      </c>
    </row>
    <row r="42" spans="1:1">
      <c r="A42" s="33">
        <v>43895</v>
      </c>
    </row>
    <row r="43" spans="1:1">
      <c r="A43" s="33">
        <v>43896</v>
      </c>
    </row>
    <row r="44" spans="1:1">
      <c r="A44" s="33">
        <v>43898</v>
      </c>
    </row>
    <row r="45" spans="1:1">
      <c r="A45" s="33">
        <v>43899</v>
      </c>
    </row>
    <row r="46" spans="1:1">
      <c r="A46" s="33">
        <v>43900</v>
      </c>
    </row>
    <row r="47" spans="1:1">
      <c r="A47" s="33">
        <v>43901</v>
      </c>
    </row>
    <row r="48" spans="1:1">
      <c r="A48" s="33">
        <v>43902</v>
      </c>
    </row>
    <row r="49" spans="1:2">
      <c r="A49" s="33">
        <v>43903</v>
      </c>
    </row>
    <row r="50" spans="1:2">
      <c r="A50" s="33">
        <v>43904</v>
      </c>
    </row>
    <row r="51" spans="1:2">
      <c r="A51" s="33">
        <v>43905</v>
      </c>
    </row>
    <row r="52" spans="1:2">
      <c r="A52" s="33">
        <v>43906</v>
      </c>
    </row>
    <row r="53" spans="1:2">
      <c r="A53" s="33">
        <v>43907</v>
      </c>
      <c r="B53" s="12" t="s">
        <v>235</v>
      </c>
    </row>
    <row r="54" spans="1:2">
      <c r="A54" s="33">
        <v>43908</v>
      </c>
    </row>
    <row r="55" spans="1:2">
      <c r="A55" s="33">
        <v>43913</v>
      </c>
    </row>
    <row r="56" spans="1:2">
      <c r="A56" s="33">
        <v>43914</v>
      </c>
    </row>
    <row r="57" spans="1:2">
      <c r="A57" s="33">
        <v>43915</v>
      </c>
    </row>
    <row r="58" spans="1:2">
      <c r="A58" s="33">
        <v>43916</v>
      </c>
    </row>
    <row r="59" spans="1:2">
      <c r="A59" s="33">
        <v>44057</v>
      </c>
    </row>
    <row r="60" spans="1:2">
      <c r="A60" s="33">
        <v>43912</v>
      </c>
    </row>
    <row r="61" spans="1:2">
      <c r="A61" s="33">
        <v>43910</v>
      </c>
    </row>
    <row r="62" spans="1:2">
      <c r="A62" s="33">
        <v>43917</v>
      </c>
    </row>
    <row r="63" spans="1:2">
      <c r="A63" s="33">
        <v>43918</v>
      </c>
    </row>
    <row r="64" spans="1:2">
      <c r="A64" s="33">
        <v>43920</v>
      </c>
    </row>
    <row r="65" spans="1:2">
      <c r="A65" s="33">
        <v>43921</v>
      </c>
    </row>
    <row r="66" spans="1:2">
      <c r="A66" s="33">
        <v>43922</v>
      </c>
    </row>
    <row r="67" spans="1:2">
      <c r="A67" s="33">
        <v>43923</v>
      </c>
    </row>
    <row r="68" spans="1:2">
      <c r="A68" s="33">
        <v>43924</v>
      </c>
    </row>
    <row r="69" spans="1:2">
      <c r="A69" s="33">
        <v>43925</v>
      </c>
    </row>
    <row r="70" spans="1:2">
      <c r="A70" s="33">
        <v>43927</v>
      </c>
    </row>
    <row r="71" spans="1:2">
      <c r="A71" s="33">
        <v>43928</v>
      </c>
    </row>
    <row r="72" spans="1:2">
      <c r="A72" s="33">
        <v>44060</v>
      </c>
    </row>
    <row r="73" spans="1:2">
      <c r="A73" s="33">
        <v>44061</v>
      </c>
      <c r="B73" s="12" t="s">
        <v>238</v>
      </c>
    </row>
    <row r="74" spans="1:2">
      <c r="A74" s="33">
        <v>44074</v>
      </c>
    </row>
    <row r="75" spans="1:2">
      <c r="A75" s="33">
        <v>44075</v>
      </c>
    </row>
    <row r="76" spans="1:2">
      <c r="A76" s="33">
        <v>44081</v>
      </c>
    </row>
    <row r="77" spans="1:2">
      <c r="A77" s="33">
        <v>44090</v>
      </c>
    </row>
    <row r="78" spans="1:2">
      <c r="A78" s="33">
        <v>44092</v>
      </c>
    </row>
    <row r="79" spans="1:2">
      <c r="A79" s="33">
        <v>44102</v>
      </c>
    </row>
    <row r="80" spans="1:2">
      <c r="A80" s="33">
        <v>44080</v>
      </c>
    </row>
    <row r="81" spans="1:1">
      <c r="A81" s="33">
        <v>44082</v>
      </c>
    </row>
    <row r="82" spans="1:1">
      <c r="A82" s="33">
        <v>44083</v>
      </c>
    </row>
    <row r="83" spans="1:1">
      <c r="A83" s="33">
        <v>44086</v>
      </c>
    </row>
    <row r="84" spans="1:1">
      <c r="A84" s="33">
        <v>44089</v>
      </c>
    </row>
    <row r="85" spans="1:1">
      <c r="A85" s="33">
        <v>44088</v>
      </c>
    </row>
    <row r="86" spans="1:1">
      <c r="A86" s="33">
        <v>44099</v>
      </c>
    </row>
    <row r="87" spans="1:1">
      <c r="A87" s="33">
        <v>44098</v>
      </c>
    </row>
    <row r="88" spans="1:1">
      <c r="A88" s="33">
        <v>44095</v>
      </c>
    </row>
    <row r="89" spans="1:1">
      <c r="A89" s="33">
        <v>44094</v>
      </c>
    </row>
    <row r="90" spans="1:1">
      <c r="A90" s="33">
        <v>44062</v>
      </c>
    </row>
    <row r="91" spans="1:1">
      <c r="A91" s="33">
        <v>44064</v>
      </c>
    </row>
    <row r="92" spans="1:1">
      <c r="A92" s="33">
        <v>44065</v>
      </c>
    </row>
    <row r="93" spans="1:1">
      <c r="A93" s="33">
        <v>44066</v>
      </c>
    </row>
    <row r="94" spans="1:1">
      <c r="A94" s="33">
        <v>44067</v>
      </c>
    </row>
    <row r="95" spans="1:1">
      <c r="A95" s="33">
        <v>44068</v>
      </c>
    </row>
    <row r="96" spans="1:1">
      <c r="A96" s="33">
        <v>44069</v>
      </c>
    </row>
    <row r="97" spans="1:1">
      <c r="A97" s="33">
        <v>44070</v>
      </c>
    </row>
    <row r="98" spans="1:1">
      <c r="A98" s="33">
        <v>44071</v>
      </c>
    </row>
    <row r="99" spans="1:1">
      <c r="A99" s="33">
        <v>44072</v>
      </c>
    </row>
    <row r="100" spans="1:1">
      <c r="A100" s="33">
        <v>44076</v>
      </c>
    </row>
    <row r="101" spans="1:1">
      <c r="A101" s="33">
        <v>44077</v>
      </c>
    </row>
    <row r="102" spans="1:1">
      <c r="A102" s="33">
        <v>44078</v>
      </c>
    </row>
    <row r="103" spans="1:1">
      <c r="A103" s="33">
        <v>44079</v>
      </c>
    </row>
    <row r="104" spans="1:1">
      <c r="A104" s="33">
        <v>44101</v>
      </c>
    </row>
    <row r="105" spans="1:1">
      <c r="A105" s="33">
        <v>44100</v>
      </c>
    </row>
    <row r="106" spans="1:1">
      <c r="A106" s="33">
        <v>44104</v>
      </c>
    </row>
    <row r="107" spans="1:1">
      <c r="A107" s="33">
        <v>44105</v>
      </c>
    </row>
    <row r="108" spans="1:1">
      <c r="A108" s="33">
        <v>44106</v>
      </c>
    </row>
    <row r="109" spans="1:1">
      <c r="A109" s="33">
        <v>44109</v>
      </c>
    </row>
    <row r="110" spans="1:1">
      <c r="A110" s="33">
        <v>44107</v>
      </c>
    </row>
    <row r="111" spans="1:1">
      <c r="A111" s="33">
        <v>44110</v>
      </c>
    </row>
    <row r="112" spans="1:1">
      <c r="A112" s="33">
        <v>44111</v>
      </c>
    </row>
    <row r="113" spans="1:1">
      <c r="A113" s="33">
        <v>44112</v>
      </c>
    </row>
    <row r="114" spans="1:1">
      <c r="A114" s="33">
        <v>44113</v>
      </c>
    </row>
    <row r="115" spans="1:1">
      <c r="A115" s="33">
        <v>44116</v>
      </c>
    </row>
    <row r="116" spans="1:1">
      <c r="A116" s="33">
        <v>44117</v>
      </c>
    </row>
    <row r="117" spans="1:1">
      <c r="A117" s="33">
        <v>44118</v>
      </c>
    </row>
    <row r="118" spans="1:1">
      <c r="A118" s="33">
        <v>44119</v>
      </c>
    </row>
    <row r="119" spans="1:1">
      <c r="A119" s="33">
        <v>44120</v>
      </c>
    </row>
    <row r="120" spans="1:1">
      <c r="A120" s="33">
        <v>44121</v>
      </c>
    </row>
    <row r="121" spans="1:1">
      <c r="A121" s="33">
        <v>44123</v>
      </c>
    </row>
    <row r="122" spans="1:1">
      <c r="A122" s="33">
        <v>44097</v>
      </c>
    </row>
    <row r="123" spans="1:1">
      <c r="A123" s="33">
        <v>44103</v>
      </c>
    </row>
    <row r="124" spans="1:1">
      <c r="A124" s="33">
        <v>43882</v>
      </c>
    </row>
    <row r="125" spans="1:1">
      <c r="A125" s="33">
        <v>43883</v>
      </c>
    </row>
    <row r="126" spans="1:1">
      <c r="A126" s="33">
        <v>43885</v>
      </c>
    </row>
    <row r="127" spans="1:1">
      <c r="A127" s="33">
        <v>43890</v>
      </c>
    </row>
    <row r="128" spans="1:1">
      <c r="A128" s="33">
        <v>43891</v>
      </c>
    </row>
    <row r="129" spans="1:1">
      <c r="A129" s="33">
        <v>43892</v>
      </c>
    </row>
    <row r="130" spans="1:1">
      <c r="A130" s="33">
        <v>43897</v>
      </c>
    </row>
    <row r="131" spans="1:1">
      <c r="A131" s="33">
        <v>44125</v>
      </c>
    </row>
    <row r="132" spans="1:1">
      <c r="A132" s="33">
        <v>44127</v>
      </c>
    </row>
    <row r="133" spans="1:1">
      <c r="A133" s="33">
        <v>44133</v>
      </c>
    </row>
    <row r="134" spans="1:1">
      <c r="A134" s="33">
        <v>44132</v>
      </c>
    </row>
    <row r="135" spans="1:1">
      <c r="A135" s="33">
        <v>44130</v>
      </c>
    </row>
    <row r="136" spans="1:1">
      <c r="A136" s="33">
        <v>44129</v>
      </c>
    </row>
    <row r="137" spans="1:1">
      <c r="A137" s="33">
        <v>44126</v>
      </c>
    </row>
    <row r="138" spans="1:1">
      <c r="A138" s="33">
        <v>44135</v>
      </c>
    </row>
    <row r="139" spans="1:1">
      <c r="A139" s="33">
        <v>44134</v>
      </c>
    </row>
    <row r="140" spans="1:1">
      <c r="A140" s="33">
        <v>44141</v>
      </c>
    </row>
    <row r="141" spans="1:1">
      <c r="A141" s="33">
        <v>44137</v>
      </c>
    </row>
    <row r="142" spans="1:1">
      <c r="A142" s="33">
        <v>44131</v>
      </c>
    </row>
    <row r="143" spans="1:1">
      <c r="A143" s="33">
        <v>44139</v>
      </c>
    </row>
    <row r="144" spans="1:1">
      <c r="A144" s="33">
        <v>44140</v>
      </c>
    </row>
    <row r="145" spans="1:1">
      <c r="A145" s="33">
        <v>44142</v>
      </c>
    </row>
    <row r="146" spans="1:1">
      <c r="A146" s="33">
        <v>44144</v>
      </c>
    </row>
    <row r="147" spans="1:1">
      <c r="A147" s="33">
        <v>44145</v>
      </c>
    </row>
    <row r="148" spans="1:1">
      <c r="A148" s="33">
        <v>44147</v>
      </c>
    </row>
    <row r="149" spans="1:1">
      <c r="A149" s="33">
        <v>44149</v>
      </c>
    </row>
    <row r="150" spans="1:1">
      <c r="A150" s="33">
        <v>44151</v>
      </c>
    </row>
    <row r="151" spans="1:1">
      <c r="A151" s="33">
        <v>44152</v>
      </c>
    </row>
    <row r="152" spans="1:1">
      <c r="A152" s="33">
        <v>44153</v>
      </c>
    </row>
    <row r="153" spans="1:1">
      <c r="A153" s="33">
        <v>43884</v>
      </c>
    </row>
    <row r="154" spans="1:1">
      <c r="A154" s="33">
        <v>43886</v>
      </c>
    </row>
    <row r="155" spans="1:1">
      <c r="A155" s="33">
        <v>43874</v>
      </c>
    </row>
    <row r="156" spans="1:1">
      <c r="A156" s="33">
        <v>43909</v>
      </c>
    </row>
    <row r="157" spans="1:1">
      <c r="A157" s="33">
        <v>44154</v>
      </c>
    </row>
    <row r="158" spans="1:1">
      <c r="A158" s="33">
        <v>44155</v>
      </c>
    </row>
    <row r="159" spans="1:1">
      <c r="A159" s="33">
        <v>44157</v>
      </c>
    </row>
    <row r="160" spans="1:1">
      <c r="A160" s="33">
        <v>44158</v>
      </c>
    </row>
    <row r="161" spans="1:1">
      <c r="A161" s="33">
        <v>44160</v>
      </c>
    </row>
    <row r="162" spans="1:1">
      <c r="A162" s="33">
        <v>44162</v>
      </c>
    </row>
    <row r="163" spans="1:1">
      <c r="A163" s="33">
        <v>44165</v>
      </c>
    </row>
    <row r="164" spans="1:1">
      <c r="A164" s="33">
        <v>44164</v>
      </c>
    </row>
    <row r="165" spans="1:1">
      <c r="A165" s="33">
        <v>44166</v>
      </c>
    </row>
    <row r="166" spans="1:1">
      <c r="A166" s="33">
        <v>44168</v>
      </c>
    </row>
    <row r="167" spans="1:1">
      <c r="A167" s="33">
        <v>44169</v>
      </c>
    </row>
    <row r="168" spans="1:1">
      <c r="A168" s="33">
        <v>44170</v>
      </c>
    </row>
    <row r="169" spans="1:1">
      <c r="A169" s="33">
        <v>44171</v>
      </c>
    </row>
    <row r="170" spans="1:1">
      <c r="A170" s="33">
        <v>44172</v>
      </c>
    </row>
    <row r="171" spans="1:1">
      <c r="A171" s="33">
        <v>44173</v>
      </c>
    </row>
    <row r="172" spans="1:1">
      <c r="A172" s="33">
        <v>44175</v>
      </c>
    </row>
    <row r="173" spans="1:1">
      <c r="A173" s="33">
        <v>44148</v>
      </c>
    </row>
    <row r="174" spans="1:1">
      <c r="A174" s="33">
        <v>44159</v>
      </c>
    </row>
    <row r="175" spans="1:1">
      <c r="A175" s="33">
        <v>44138</v>
      </c>
    </row>
    <row r="176" spans="1:1">
      <c r="A176" s="33">
        <v>44177</v>
      </c>
    </row>
    <row r="177" spans="1:1">
      <c r="A177" s="33">
        <v>44178</v>
      </c>
    </row>
    <row r="178" spans="1:1">
      <c r="A178" s="33">
        <v>44179</v>
      </c>
    </row>
    <row r="179" spans="1:1">
      <c r="A179" s="33">
        <v>44183</v>
      </c>
    </row>
    <row r="180" spans="1:1">
      <c r="A180" s="33">
        <v>44201</v>
      </c>
    </row>
    <row r="181" spans="1:1">
      <c r="A181" s="33">
        <v>44203</v>
      </c>
    </row>
    <row r="182" spans="1:1">
      <c r="A182" s="33">
        <v>44202</v>
      </c>
    </row>
    <row r="183" spans="1:1">
      <c r="A183" s="33">
        <v>44204</v>
      </c>
    </row>
    <row r="184" spans="1:1">
      <c r="A184" s="33">
        <v>44207</v>
      </c>
    </row>
    <row r="185" spans="1:1">
      <c r="A185" s="33">
        <v>44206</v>
      </c>
    </row>
    <row r="186" spans="1:1">
      <c r="A186" s="33">
        <v>44208</v>
      </c>
    </row>
    <row r="187" spans="1:1">
      <c r="A187" s="33">
        <v>44210</v>
      </c>
    </row>
    <row r="188" spans="1:1">
      <c r="A188" s="33">
        <v>44216</v>
      </c>
    </row>
    <row r="189" spans="1:1">
      <c r="A189" s="33">
        <v>44214</v>
      </c>
    </row>
    <row r="190" spans="1:1">
      <c r="A190" s="33">
        <v>44217</v>
      </c>
    </row>
    <row r="191" spans="1:1">
      <c r="A191" s="33">
        <v>44209</v>
      </c>
    </row>
    <row r="192" spans="1:1">
      <c r="A192" s="33">
        <v>44211</v>
      </c>
    </row>
    <row r="193" spans="1:1">
      <c r="A193" s="33">
        <v>44212</v>
      </c>
    </row>
    <row r="194" spans="1:1">
      <c r="A194" s="33">
        <v>44218</v>
      </c>
    </row>
    <row r="195" spans="1:1">
      <c r="A195" s="33">
        <v>44124</v>
      </c>
    </row>
    <row r="196" spans="1:1">
      <c r="A196" s="33">
        <v>44220</v>
      </c>
    </row>
    <row r="197" spans="1:1">
      <c r="A197" s="33">
        <v>44219</v>
      </c>
    </row>
    <row r="198" spans="1:1">
      <c r="A198" s="33">
        <v>44221</v>
      </c>
    </row>
    <row r="199" spans="1:1">
      <c r="A199" s="33">
        <v>44222</v>
      </c>
    </row>
    <row r="200" spans="1:1">
      <c r="A200" s="33">
        <v>44223</v>
      </c>
    </row>
    <row r="201" spans="1:1">
      <c r="A201" s="33">
        <v>44224</v>
      </c>
    </row>
    <row r="202" spans="1:1">
      <c r="A202" s="33">
        <v>44225</v>
      </c>
    </row>
    <row r="203" spans="1:1">
      <c r="A203" s="33">
        <v>44226</v>
      </c>
    </row>
    <row r="204" spans="1:1">
      <c r="A204" s="33">
        <v>44227</v>
      </c>
    </row>
    <row r="205" spans="1:1">
      <c r="A205" s="33">
        <v>44228</v>
      </c>
    </row>
    <row r="206" spans="1:1">
      <c r="A206" s="33">
        <v>44229</v>
      </c>
    </row>
    <row r="207" spans="1:1">
      <c r="A207" s="33">
        <v>44230</v>
      </c>
    </row>
    <row r="208" spans="1:1">
      <c r="A208" s="33">
        <v>44231</v>
      </c>
    </row>
    <row r="209" spans="1:1">
      <c r="A209" s="33">
        <v>44232</v>
      </c>
    </row>
    <row r="210" spans="1:1">
      <c r="A210" s="33">
        <v>44235</v>
      </c>
    </row>
    <row r="211" spans="1:1">
      <c r="A211" s="33">
        <v>44236</v>
      </c>
    </row>
    <row r="212" spans="1:1">
      <c r="A212" s="33">
        <v>44237</v>
      </c>
    </row>
    <row r="213" spans="1:1">
      <c r="A213" s="33">
        <v>44233</v>
      </c>
    </row>
    <row r="214" spans="1:1">
      <c r="A214" s="33">
        <v>44240</v>
      </c>
    </row>
    <row r="215" spans="1:1">
      <c r="A215" s="33">
        <v>44242</v>
      </c>
    </row>
    <row r="216" spans="1:1">
      <c r="A216" s="33">
        <v>44244</v>
      </c>
    </row>
    <row r="217" spans="1:1">
      <c r="A217" s="33">
        <v>44239</v>
      </c>
    </row>
    <row r="218" spans="1:1">
      <c r="A218" s="33">
        <v>44238</v>
      </c>
    </row>
    <row r="219" spans="1:1">
      <c r="A219" s="33">
        <v>44241</v>
      </c>
    </row>
    <row r="220" spans="1:1">
      <c r="A220" s="33">
        <v>44246</v>
      </c>
    </row>
    <row r="221" spans="1:1">
      <c r="A221" s="33">
        <v>44247</v>
      </c>
    </row>
    <row r="222" spans="1:1">
      <c r="A222" s="33">
        <v>44248</v>
      </c>
    </row>
    <row r="223" spans="1:1">
      <c r="A223" s="33">
        <v>44249</v>
      </c>
    </row>
    <row r="224" spans="1:1">
      <c r="A224" s="33">
        <v>44250</v>
      </c>
    </row>
    <row r="225" spans="1:1">
      <c r="A225" s="33">
        <v>44252</v>
      </c>
    </row>
    <row r="226" spans="1:1">
      <c r="A226" s="33">
        <v>44253</v>
      </c>
    </row>
    <row r="227" spans="1:1">
      <c r="A227" s="33">
        <v>44254</v>
      </c>
    </row>
    <row r="228" spans="1:1">
      <c r="A228" s="33">
        <v>44251</v>
      </c>
    </row>
    <row r="229" spans="1:1">
      <c r="A229" s="33">
        <v>44257</v>
      </c>
    </row>
    <row r="230" spans="1:1">
      <c r="A230" s="33">
        <v>44256</v>
      </c>
    </row>
    <row r="231" spans="1:1">
      <c r="A231" s="33">
        <v>44255</v>
      </c>
    </row>
    <row r="232" spans="1:1">
      <c r="A232" s="33">
        <v>44258</v>
      </c>
    </row>
    <row r="233" spans="1:1">
      <c r="A233" s="33">
        <v>44243</v>
      </c>
    </row>
    <row r="234" spans="1:1">
      <c r="A234" s="33">
        <v>44245</v>
      </c>
    </row>
    <row r="235" spans="1:1">
      <c r="A235" s="33">
        <v>44266</v>
      </c>
    </row>
    <row r="236" spans="1:1">
      <c r="A236" s="33">
        <v>44265</v>
      </c>
    </row>
    <row r="237" spans="1:1">
      <c r="A237" s="33">
        <v>44260</v>
      </c>
    </row>
    <row r="238" spans="1:1">
      <c r="A238" s="33">
        <v>44259</v>
      </c>
    </row>
    <row r="239" spans="1:1">
      <c r="A239" s="33">
        <v>44261</v>
      </c>
    </row>
    <row r="240" spans="1:1">
      <c r="A240" s="33">
        <v>44262</v>
      </c>
    </row>
    <row r="241" spans="1:2">
      <c r="A241" s="33">
        <v>44263</v>
      </c>
    </row>
    <row r="242" spans="1:2">
      <c r="A242" s="33">
        <v>44267</v>
      </c>
    </row>
    <row r="243" spans="1:2">
      <c r="A243" s="33">
        <v>44264</v>
      </c>
      <c r="B243" s="12" t="s">
        <v>296</v>
      </c>
    </row>
    <row r="244" spans="1:2">
      <c r="A244" s="33">
        <v>44299</v>
      </c>
    </row>
    <row r="245" spans="1:2">
      <c r="A245" s="33">
        <v>44504</v>
      </c>
    </row>
    <row r="246" spans="1:2">
      <c r="A246" s="33">
        <v>44516</v>
      </c>
    </row>
  </sheetData>
  <conditionalFormatting sqref="A1:B1048576">
    <cfRule type="expression" dxfId="0" priority="1">
      <formula>$A1&lt;&gt;""</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8BFBB50C97D943AB8492C175B2AEE3" ma:contentTypeVersion="7" ma:contentTypeDescription="Create a new document." ma:contentTypeScope="" ma:versionID="8c087f37a47b635bf3972e640b85d334">
  <xsd:schema xmlns:xsd="http://www.w3.org/2001/XMLSchema" xmlns:xs="http://www.w3.org/2001/XMLSchema" xmlns:p="http://schemas.microsoft.com/office/2006/metadata/properties" xmlns:ns2="ce3c6246-506e-4a94-a91d-ff0ff608911f" xmlns:ns3="27fab723-c88c-422b-9bfc-223bee44e578" targetNamespace="http://schemas.microsoft.com/office/2006/metadata/properties" ma:root="true" ma:fieldsID="1743170891c15dfb2d06a0b545a96469" ns2:_="" ns3:_="">
    <xsd:import namespace="ce3c6246-506e-4a94-a91d-ff0ff608911f"/>
    <xsd:import namespace="27fab723-c88c-422b-9bfc-223bee44e57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e3c6246-506e-4a94-a91d-ff0ff608911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7fab723-c88c-422b-9bfc-223bee44e57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E1B7A9A-60D2-4DCA-BE53-6156BAD725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e3c6246-506e-4a94-a91d-ff0ff608911f"/>
    <ds:schemaRef ds:uri="27fab723-c88c-422b-9bfc-223bee44e5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16CFBC5-C5AC-4E62-A186-B4140D6EC80D}">
  <ds:schemaRefs>
    <ds:schemaRef ds:uri="ce3c6246-506e-4a94-a91d-ff0ff608911f"/>
    <ds:schemaRef ds:uri="http://purl.org/dc/terms/"/>
    <ds:schemaRef ds:uri="http://purl.org/dc/dcmitype/"/>
    <ds:schemaRef ds:uri="27fab723-c88c-422b-9bfc-223bee44e578"/>
    <ds:schemaRef ds:uri="http://schemas.openxmlformats.org/package/2006/metadata/core-properties"/>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http://purl.org/dc/elements/1.1/"/>
  </ds:schemaRefs>
</ds:datastoreItem>
</file>

<file path=customXml/itemProps3.xml><?xml version="1.0" encoding="utf-8"?>
<ds:datastoreItem xmlns:ds="http://schemas.openxmlformats.org/officeDocument/2006/customXml" ds:itemID="{08A81211-65BC-46F3-8A52-F8ADDD3E9E8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Documentation</vt:lpstr>
      <vt:lpstr>Calendar</vt:lpstr>
      <vt:lpstr>Metadata Template</vt:lpstr>
      <vt:lpstr>Data</vt:lpstr>
      <vt:lpstr>Cell Samples</vt:lpstr>
      <vt:lpstr>ActivityList</vt:lpstr>
      <vt:lpstr>Data validation criteria</vt:lpstr>
      <vt:lpstr>Passage#s200113_C6</vt:lpstr>
      <vt:lpstr>Passage#s200120_B9</vt:lpstr>
      <vt:lpstr>Passage#s200220_C10</vt:lpstr>
      <vt:lpstr>Notes</vt:lpstr>
      <vt:lpstr>cellnames</vt:lpstr>
      <vt:lpstr>DataEntry</vt:lpstr>
      <vt:lpstr>ReportGeneratorData</vt:lpstr>
      <vt:lpstr>StartDate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Stinson, Jeffrey R. (Fed)</dc:creator>
  <cp:keywords/>
  <dc:description/>
  <cp:lastModifiedBy>Plant, Anne L. Dr. (Fed)</cp:lastModifiedBy>
  <cp:revision/>
  <cp:lastPrinted>2020-07-12T19:39:32Z</cp:lastPrinted>
  <dcterms:created xsi:type="dcterms:W3CDTF">2018-10-02T20:00:49Z</dcterms:created>
  <dcterms:modified xsi:type="dcterms:W3CDTF">2022-01-04T18:45:51Z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0x010100498BFBB50C97D943AB8492C175B2AEE3</vt:lpwstr>
  </property>
</Properties>
</file>